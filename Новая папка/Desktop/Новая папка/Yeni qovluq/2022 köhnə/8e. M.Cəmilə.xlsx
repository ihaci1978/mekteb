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4240" windowHeight="13140" tabRatio="961" activeTab="4"/>
  </bookViews>
  <sheets>
    <sheet name="Şagirdlər" sheetId="21" r:id="rId1"/>
    <sheet name="Müəllimlər" sheetId="42" r:id="rId2"/>
    <sheet name="Tədris dili" sheetId="1" r:id="rId3"/>
    <sheet name="Əd" sheetId="43" r:id="rId4"/>
    <sheet name="Dövlət dili" sheetId="44" r:id="rId5"/>
    <sheet name="X-d" sheetId="45" r:id="rId6"/>
    <sheet name="ll X-d" sheetId="46" r:id="rId7"/>
    <sheet name="Riy" sheetId="47" r:id="rId8"/>
    <sheet name="İnf" sheetId="48" r:id="rId9"/>
    <sheet name="Az-t" sheetId="49" r:id="rId10"/>
    <sheet name="Ü-t" sheetId="50" r:id="rId11"/>
    <sheet name="Fiz" sheetId="53" r:id="rId12"/>
    <sheet name="Kim" sheetId="54" r:id="rId13"/>
    <sheet name="Bio" sheetId="55" r:id="rId14"/>
    <sheet name="Coğ" sheetId="56" r:id="rId15"/>
    <sheet name="Həy-b" sheetId="57" r:id="rId16"/>
    <sheet name="Texn" sheetId="58" r:id="rId17"/>
    <sheet name="Fiz-t" sheetId="59" r:id="rId18"/>
    <sheet name="Mus" sheetId="60" r:id="rId19"/>
    <sheet name="Təs-i" sheetId="61" r:id="rId20"/>
    <sheet name="Ç-h" sheetId="62" r:id="rId21"/>
    <sheet name="Əlavə" sheetId="63" r:id="rId22"/>
    <sheet name="Dinamika" sheetId="41" r:id="rId23"/>
    <sheet name="Kod" sheetId="20" r:id="rId2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43" i="20" l="1"/>
  <c r="I143" i="20"/>
  <c r="H143" i="20"/>
  <c r="G143" i="20"/>
  <c r="F143" i="20"/>
  <c r="J142" i="20"/>
  <c r="I142" i="20"/>
  <c r="H142" i="20"/>
  <c r="G142" i="20"/>
  <c r="F142" i="20"/>
  <c r="J141" i="20"/>
  <c r="I141" i="20"/>
  <c r="H141" i="20"/>
  <c r="G141" i="20"/>
  <c r="F141" i="20"/>
  <c r="J140" i="20"/>
  <c r="I140" i="20"/>
  <c r="H140" i="20"/>
  <c r="G140" i="20"/>
  <c r="F140" i="20"/>
  <c r="J139" i="20"/>
  <c r="I139" i="20"/>
  <c r="H139" i="20"/>
  <c r="G139" i="20"/>
  <c r="F139" i="20"/>
  <c r="J138" i="20"/>
  <c r="I138" i="20"/>
  <c r="H138" i="20"/>
  <c r="G138" i="20"/>
  <c r="F138" i="20"/>
  <c r="J136" i="20"/>
  <c r="I136" i="20"/>
  <c r="H136" i="20"/>
  <c r="G136" i="20"/>
  <c r="F136" i="20"/>
  <c r="J135" i="20"/>
  <c r="I135" i="20"/>
  <c r="H135" i="20"/>
  <c r="G135" i="20"/>
  <c r="F135" i="20"/>
  <c r="J134" i="20"/>
  <c r="I134" i="20"/>
  <c r="H134" i="20"/>
  <c r="G134" i="20"/>
  <c r="F134" i="20"/>
  <c r="J133" i="20"/>
  <c r="I133" i="20"/>
  <c r="H133" i="20"/>
  <c r="G133" i="20"/>
  <c r="F133" i="20"/>
  <c r="J132" i="20"/>
  <c r="I132" i="20"/>
  <c r="H132" i="20"/>
  <c r="G132" i="20"/>
  <c r="F132" i="20"/>
  <c r="J131" i="20"/>
  <c r="I131" i="20"/>
  <c r="H131" i="20"/>
  <c r="G131" i="20"/>
  <c r="F131" i="20"/>
  <c r="J129" i="20"/>
  <c r="I129" i="20"/>
  <c r="H129" i="20"/>
  <c r="G129" i="20"/>
  <c r="F129" i="20"/>
  <c r="J128" i="20"/>
  <c r="I128" i="20"/>
  <c r="H128" i="20"/>
  <c r="G128" i="20"/>
  <c r="F128" i="20"/>
  <c r="J127" i="20"/>
  <c r="I127" i="20"/>
  <c r="H127" i="20"/>
  <c r="G127" i="20"/>
  <c r="F127" i="20"/>
  <c r="J126" i="20"/>
  <c r="I126" i="20"/>
  <c r="H126" i="20"/>
  <c r="G126" i="20"/>
  <c r="F126" i="20"/>
  <c r="J125" i="20"/>
  <c r="I125" i="20"/>
  <c r="H125" i="20"/>
  <c r="G125" i="20"/>
  <c r="F125" i="20"/>
  <c r="J124" i="20"/>
  <c r="I124" i="20"/>
  <c r="H124" i="20"/>
  <c r="G124" i="20"/>
  <c r="F124" i="20"/>
  <c r="J122" i="20"/>
  <c r="I122" i="20"/>
  <c r="H122" i="20"/>
  <c r="G122" i="20"/>
  <c r="F122" i="20"/>
  <c r="J121" i="20"/>
  <c r="I121" i="20"/>
  <c r="H121" i="20"/>
  <c r="G121" i="20"/>
  <c r="F121" i="20"/>
  <c r="J120" i="20"/>
  <c r="I120" i="20"/>
  <c r="H120" i="20"/>
  <c r="G120" i="20"/>
  <c r="F120" i="20"/>
  <c r="J119" i="20"/>
  <c r="I119" i="20"/>
  <c r="H119" i="20"/>
  <c r="G119" i="20"/>
  <c r="F119" i="20"/>
  <c r="J118" i="20"/>
  <c r="I118" i="20"/>
  <c r="H118" i="20"/>
  <c r="G118" i="20"/>
  <c r="F118" i="20"/>
  <c r="J117" i="20"/>
  <c r="I117" i="20"/>
  <c r="H117" i="20"/>
  <c r="G117" i="20"/>
  <c r="F117" i="20"/>
  <c r="J115" i="20"/>
  <c r="I115" i="20"/>
  <c r="H115" i="20"/>
  <c r="G115" i="20"/>
  <c r="F115" i="20"/>
  <c r="J114" i="20"/>
  <c r="I114" i="20"/>
  <c r="H114" i="20"/>
  <c r="G114" i="20"/>
  <c r="F114" i="20"/>
  <c r="J113" i="20"/>
  <c r="I113" i="20"/>
  <c r="H113" i="20"/>
  <c r="G113" i="20"/>
  <c r="F113" i="20"/>
  <c r="J112" i="20"/>
  <c r="I112" i="20"/>
  <c r="H112" i="20"/>
  <c r="G112" i="20"/>
  <c r="F112" i="20"/>
  <c r="J111" i="20"/>
  <c r="I111" i="20"/>
  <c r="H111" i="20"/>
  <c r="G111" i="20"/>
  <c r="F111" i="20"/>
  <c r="J110" i="20"/>
  <c r="I110" i="20"/>
  <c r="H110" i="20"/>
  <c r="G110" i="20"/>
  <c r="F110" i="20"/>
  <c r="J108" i="20"/>
  <c r="I108" i="20"/>
  <c r="H108" i="20"/>
  <c r="G108" i="20"/>
  <c r="F108" i="20"/>
  <c r="J107" i="20"/>
  <c r="I107" i="20"/>
  <c r="H107" i="20"/>
  <c r="G107" i="20"/>
  <c r="F107" i="20"/>
  <c r="J106" i="20"/>
  <c r="I106" i="20"/>
  <c r="H106" i="20"/>
  <c r="G106" i="20"/>
  <c r="F106" i="20"/>
  <c r="J105" i="20"/>
  <c r="I105" i="20"/>
  <c r="H105" i="20"/>
  <c r="G105" i="20"/>
  <c r="F105" i="20"/>
  <c r="J104" i="20"/>
  <c r="I104" i="20"/>
  <c r="H104" i="20"/>
  <c r="G104" i="20"/>
  <c r="F104" i="20"/>
  <c r="J103" i="20"/>
  <c r="I103" i="20"/>
  <c r="H103" i="20"/>
  <c r="G103" i="20"/>
  <c r="F103" i="20"/>
  <c r="J101" i="20"/>
  <c r="I101" i="20"/>
  <c r="H101" i="20"/>
  <c r="G101" i="20"/>
  <c r="F101" i="20"/>
  <c r="J100" i="20"/>
  <c r="I100" i="20"/>
  <c r="H100" i="20"/>
  <c r="G100" i="20"/>
  <c r="F100" i="20"/>
  <c r="J99" i="20"/>
  <c r="I99" i="20"/>
  <c r="H99" i="20"/>
  <c r="G99" i="20"/>
  <c r="F99" i="20"/>
  <c r="J98" i="20"/>
  <c r="I98" i="20"/>
  <c r="H98" i="20"/>
  <c r="G98" i="20"/>
  <c r="F98" i="20"/>
  <c r="J97" i="20"/>
  <c r="I97" i="20"/>
  <c r="H97" i="20"/>
  <c r="G97" i="20"/>
  <c r="F97" i="20"/>
  <c r="J96" i="20"/>
  <c r="I96" i="20"/>
  <c r="H96" i="20"/>
  <c r="G96" i="20"/>
  <c r="F96" i="20"/>
  <c r="J94" i="20"/>
  <c r="I94" i="20"/>
  <c r="H94" i="20"/>
  <c r="G94" i="20"/>
  <c r="F94" i="20"/>
  <c r="J93" i="20"/>
  <c r="I93" i="20"/>
  <c r="H93" i="20"/>
  <c r="G93" i="20"/>
  <c r="F93" i="20"/>
  <c r="J92" i="20"/>
  <c r="I92" i="20"/>
  <c r="H92" i="20"/>
  <c r="G92" i="20"/>
  <c r="F92" i="20"/>
  <c r="J91" i="20"/>
  <c r="I91" i="20"/>
  <c r="H91" i="20"/>
  <c r="G91" i="20"/>
  <c r="F91" i="20"/>
  <c r="J90" i="20"/>
  <c r="I90" i="20"/>
  <c r="H90" i="20"/>
  <c r="G90" i="20"/>
  <c r="F90" i="20"/>
  <c r="J89" i="20"/>
  <c r="I89" i="20"/>
  <c r="H89" i="20"/>
  <c r="G89" i="20"/>
  <c r="F89" i="20"/>
  <c r="J87" i="20"/>
  <c r="I87" i="20"/>
  <c r="H87" i="20"/>
  <c r="G87" i="20"/>
  <c r="F87" i="20"/>
  <c r="J86" i="20"/>
  <c r="I86" i="20"/>
  <c r="H86" i="20"/>
  <c r="G86" i="20"/>
  <c r="F86" i="20"/>
  <c r="J85" i="20"/>
  <c r="I85" i="20"/>
  <c r="H85" i="20"/>
  <c r="G85" i="20"/>
  <c r="F85" i="20"/>
  <c r="J84" i="20"/>
  <c r="I84" i="20"/>
  <c r="H84" i="20"/>
  <c r="G84" i="20"/>
  <c r="F84" i="20"/>
  <c r="J83" i="20"/>
  <c r="I83" i="20"/>
  <c r="H83" i="20"/>
  <c r="G83" i="20"/>
  <c r="F83" i="20"/>
  <c r="J82" i="20"/>
  <c r="I82" i="20"/>
  <c r="H82" i="20"/>
  <c r="G82" i="20"/>
  <c r="F82" i="20"/>
  <c r="J80" i="20"/>
  <c r="I80" i="20"/>
  <c r="H80" i="20"/>
  <c r="G80" i="20"/>
  <c r="F80" i="20"/>
  <c r="J79" i="20"/>
  <c r="I79" i="20"/>
  <c r="H79" i="20"/>
  <c r="G79" i="20"/>
  <c r="F79" i="20"/>
  <c r="J78" i="20"/>
  <c r="I78" i="20"/>
  <c r="H78" i="20"/>
  <c r="G78" i="20"/>
  <c r="F78" i="20"/>
  <c r="J77" i="20"/>
  <c r="I77" i="20"/>
  <c r="H77" i="20"/>
  <c r="G77" i="20"/>
  <c r="F77" i="20"/>
  <c r="J76" i="20"/>
  <c r="I76" i="20"/>
  <c r="H76" i="20"/>
  <c r="G76" i="20"/>
  <c r="F76" i="20"/>
  <c r="J75" i="20"/>
  <c r="I75" i="20"/>
  <c r="H75" i="20"/>
  <c r="G75" i="20"/>
  <c r="F75" i="20"/>
  <c r="J73" i="20"/>
  <c r="I73" i="20"/>
  <c r="H73" i="20"/>
  <c r="G73" i="20"/>
  <c r="F73" i="20"/>
  <c r="J72" i="20"/>
  <c r="I72" i="20"/>
  <c r="H72" i="20"/>
  <c r="G72" i="20"/>
  <c r="F72" i="20"/>
  <c r="J71" i="20"/>
  <c r="I71" i="20"/>
  <c r="H71" i="20"/>
  <c r="G71" i="20"/>
  <c r="F71" i="20"/>
  <c r="J70" i="20"/>
  <c r="I70" i="20"/>
  <c r="H70" i="20"/>
  <c r="G70" i="20"/>
  <c r="F70" i="20"/>
  <c r="J69" i="20"/>
  <c r="I69" i="20"/>
  <c r="H69" i="20"/>
  <c r="G69" i="20"/>
  <c r="F69" i="20"/>
  <c r="J68" i="20"/>
  <c r="I68" i="20"/>
  <c r="H68" i="20"/>
  <c r="G68" i="20"/>
  <c r="F68" i="20"/>
  <c r="J66" i="20"/>
  <c r="I66" i="20"/>
  <c r="H66" i="20"/>
  <c r="G66" i="20"/>
  <c r="F66" i="20"/>
  <c r="J65" i="20"/>
  <c r="I65" i="20"/>
  <c r="H65" i="20"/>
  <c r="G65" i="20"/>
  <c r="F65" i="20"/>
  <c r="J64" i="20"/>
  <c r="I64" i="20"/>
  <c r="H64" i="20"/>
  <c r="G64" i="20"/>
  <c r="F64" i="20"/>
  <c r="J63" i="20"/>
  <c r="I63" i="20"/>
  <c r="H63" i="20"/>
  <c r="G63" i="20"/>
  <c r="F63" i="20"/>
  <c r="J62" i="20"/>
  <c r="I62" i="20"/>
  <c r="H62" i="20"/>
  <c r="G62" i="20"/>
  <c r="F62" i="20"/>
  <c r="J61" i="20"/>
  <c r="I61" i="20"/>
  <c r="H61" i="20"/>
  <c r="G61" i="20"/>
  <c r="F61" i="20"/>
  <c r="J59" i="20"/>
  <c r="I59" i="20"/>
  <c r="H59" i="20"/>
  <c r="G59" i="20"/>
  <c r="F59" i="20"/>
  <c r="J58" i="20"/>
  <c r="I58" i="20"/>
  <c r="H58" i="20"/>
  <c r="G58" i="20"/>
  <c r="F58" i="20"/>
  <c r="J57" i="20"/>
  <c r="I57" i="20"/>
  <c r="H57" i="20"/>
  <c r="G57" i="20"/>
  <c r="F57" i="20"/>
  <c r="J56" i="20"/>
  <c r="I56" i="20"/>
  <c r="H56" i="20"/>
  <c r="G56" i="20"/>
  <c r="F56" i="20"/>
  <c r="J55" i="20"/>
  <c r="I55" i="20"/>
  <c r="H55" i="20"/>
  <c r="G55" i="20"/>
  <c r="F55" i="20"/>
  <c r="J54" i="20"/>
  <c r="I54" i="20"/>
  <c r="H54" i="20"/>
  <c r="G54" i="20"/>
  <c r="F54" i="20"/>
  <c r="J52" i="20"/>
  <c r="I52" i="20"/>
  <c r="H52" i="20"/>
  <c r="G52" i="20"/>
  <c r="F52" i="20"/>
  <c r="J51" i="20"/>
  <c r="I51" i="20"/>
  <c r="H51" i="20"/>
  <c r="G51" i="20"/>
  <c r="F51" i="20"/>
  <c r="J50" i="20"/>
  <c r="I50" i="20"/>
  <c r="H50" i="20"/>
  <c r="G50" i="20"/>
  <c r="F50" i="20"/>
  <c r="J49" i="20"/>
  <c r="I49" i="20"/>
  <c r="H49" i="20"/>
  <c r="G49" i="20"/>
  <c r="F49" i="20"/>
  <c r="J48" i="20"/>
  <c r="I48" i="20"/>
  <c r="H48" i="20"/>
  <c r="G48" i="20"/>
  <c r="F48" i="20"/>
  <c r="J47" i="20"/>
  <c r="I47" i="20"/>
  <c r="H47" i="20"/>
  <c r="G47" i="20"/>
  <c r="F47" i="20"/>
  <c r="J45" i="20"/>
  <c r="I45" i="20"/>
  <c r="H45" i="20"/>
  <c r="G45" i="20"/>
  <c r="F45" i="20"/>
  <c r="J44" i="20"/>
  <c r="I44" i="20"/>
  <c r="H44" i="20"/>
  <c r="G44" i="20"/>
  <c r="F44" i="20"/>
  <c r="J43" i="20"/>
  <c r="I43" i="20"/>
  <c r="H43" i="20"/>
  <c r="G43" i="20"/>
  <c r="F43" i="20"/>
  <c r="J42" i="20"/>
  <c r="I42" i="20"/>
  <c r="H42" i="20"/>
  <c r="G42" i="20"/>
  <c r="F42" i="20"/>
  <c r="J41" i="20"/>
  <c r="I41" i="20"/>
  <c r="H41" i="20"/>
  <c r="G41" i="20"/>
  <c r="F41" i="20"/>
  <c r="J40" i="20"/>
  <c r="I40" i="20"/>
  <c r="H40" i="20"/>
  <c r="G40" i="20"/>
  <c r="F40" i="20"/>
  <c r="J38" i="20"/>
  <c r="I38" i="20"/>
  <c r="H38" i="20"/>
  <c r="G38" i="20"/>
  <c r="F38" i="20"/>
  <c r="J37" i="20"/>
  <c r="I37" i="20"/>
  <c r="H37" i="20"/>
  <c r="G37" i="20"/>
  <c r="F37" i="20"/>
  <c r="J36" i="20"/>
  <c r="I36" i="20"/>
  <c r="H36" i="20"/>
  <c r="G36" i="20"/>
  <c r="F36" i="20"/>
  <c r="J35" i="20"/>
  <c r="I35" i="20"/>
  <c r="H35" i="20"/>
  <c r="G35" i="20"/>
  <c r="F35" i="20"/>
  <c r="J34" i="20"/>
  <c r="I34" i="20"/>
  <c r="H34" i="20"/>
  <c r="G34" i="20"/>
  <c r="F34" i="20"/>
  <c r="J33" i="20"/>
  <c r="I33" i="20"/>
  <c r="H33" i="20"/>
  <c r="G33" i="20"/>
  <c r="F33" i="20"/>
  <c r="J31" i="20"/>
  <c r="I31" i="20"/>
  <c r="H31" i="20"/>
  <c r="G31" i="20"/>
  <c r="F31" i="20"/>
  <c r="J30" i="20"/>
  <c r="I30" i="20"/>
  <c r="H30" i="20"/>
  <c r="G30" i="20"/>
  <c r="F30" i="20"/>
  <c r="J29" i="20"/>
  <c r="I29" i="20"/>
  <c r="H29" i="20"/>
  <c r="G29" i="20"/>
  <c r="F29" i="20"/>
  <c r="J28" i="20"/>
  <c r="I28" i="20"/>
  <c r="H28" i="20"/>
  <c r="G28" i="20"/>
  <c r="F28" i="20"/>
  <c r="J27" i="20"/>
  <c r="I27" i="20"/>
  <c r="H27" i="20"/>
  <c r="G27" i="20"/>
  <c r="F27" i="20"/>
  <c r="J26" i="20"/>
  <c r="I26" i="20"/>
  <c r="H26" i="20"/>
  <c r="G26" i="20"/>
  <c r="F26" i="20"/>
  <c r="J24" i="20"/>
  <c r="I24" i="20"/>
  <c r="H24" i="20"/>
  <c r="G24" i="20"/>
  <c r="F24" i="20"/>
  <c r="J23" i="20"/>
  <c r="I23" i="20"/>
  <c r="H23" i="20"/>
  <c r="G23" i="20"/>
  <c r="F23" i="20"/>
  <c r="J22" i="20"/>
  <c r="I22" i="20"/>
  <c r="H22" i="20"/>
  <c r="G22" i="20"/>
  <c r="F22" i="20"/>
  <c r="J21" i="20"/>
  <c r="I21" i="20"/>
  <c r="H21" i="20"/>
  <c r="G21" i="20"/>
  <c r="F21" i="20"/>
  <c r="J20" i="20"/>
  <c r="I20" i="20"/>
  <c r="H20" i="20"/>
  <c r="G20" i="20"/>
  <c r="F20" i="20"/>
  <c r="J19" i="20"/>
  <c r="I19" i="20"/>
  <c r="H19" i="20"/>
  <c r="G19" i="20"/>
  <c r="F19" i="20"/>
  <c r="J17" i="20"/>
  <c r="I17" i="20"/>
  <c r="H17" i="20"/>
  <c r="G17" i="20"/>
  <c r="F17" i="20"/>
  <c r="J16" i="20"/>
  <c r="I16" i="20"/>
  <c r="H16" i="20"/>
  <c r="G16" i="20"/>
  <c r="F16" i="20"/>
  <c r="J15" i="20"/>
  <c r="I15" i="20"/>
  <c r="H15" i="20"/>
  <c r="G15" i="20"/>
  <c r="F15" i="20"/>
  <c r="J14" i="20"/>
  <c r="I14" i="20"/>
  <c r="H14" i="20"/>
  <c r="G14" i="20"/>
  <c r="F14" i="20"/>
  <c r="J13" i="20"/>
  <c r="I13" i="20"/>
  <c r="H13" i="20"/>
  <c r="G13" i="20"/>
  <c r="F13" i="20"/>
  <c r="J12" i="20"/>
  <c r="I12" i="20"/>
  <c r="H12" i="20"/>
  <c r="G12" i="20"/>
  <c r="F12" i="20"/>
  <c r="G5" i="20"/>
  <c r="G145" i="20" s="1"/>
  <c r="H5" i="20"/>
  <c r="I5" i="20"/>
  <c r="J5" i="20"/>
  <c r="G6" i="20"/>
  <c r="H6" i="20"/>
  <c r="I6" i="20"/>
  <c r="J6" i="20"/>
  <c r="G7" i="20"/>
  <c r="H7" i="20"/>
  <c r="I7" i="20"/>
  <c r="J7" i="20"/>
  <c r="G8" i="20"/>
  <c r="H8" i="20"/>
  <c r="I8" i="20"/>
  <c r="J8" i="20"/>
  <c r="J148" i="20" s="1"/>
  <c r="G9" i="20"/>
  <c r="H9" i="20"/>
  <c r="I9" i="20"/>
  <c r="J9" i="20"/>
  <c r="G10" i="20"/>
  <c r="G150" i="20" s="1"/>
  <c r="H10" i="20"/>
  <c r="I10" i="20"/>
  <c r="J10" i="20"/>
  <c r="F10" i="20"/>
  <c r="F150" i="20" s="1"/>
  <c r="F9" i="20"/>
  <c r="F8" i="20"/>
  <c r="F7" i="20"/>
  <c r="F6" i="20"/>
  <c r="F5" i="20"/>
  <c r="J146" i="20" l="1"/>
  <c r="F148" i="20"/>
  <c r="I148" i="20"/>
  <c r="I145" i="20"/>
  <c r="I149" i="20"/>
  <c r="H148" i="20"/>
  <c r="H146" i="20"/>
  <c r="H149" i="20"/>
  <c r="G147" i="20"/>
  <c r="J147" i="20"/>
  <c r="F149" i="20"/>
  <c r="H145" i="20"/>
  <c r="I146" i="20"/>
  <c r="G148" i="20"/>
  <c r="J149" i="20"/>
  <c r="H147" i="20"/>
  <c r="I150" i="20"/>
  <c r="H150" i="20"/>
  <c r="F147" i="20"/>
  <c r="G146" i="20"/>
  <c r="J145" i="20"/>
  <c r="F146" i="20"/>
  <c r="I147" i="20"/>
  <c r="G149" i="20"/>
  <c r="J150" i="20"/>
  <c r="F145" i="20"/>
  <c r="AG140" i="20" l="1"/>
  <c r="AG147" i="20" s="1"/>
  <c r="AG139" i="20"/>
  <c r="AG146" i="20" s="1"/>
  <c r="AG138" i="20"/>
  <c r="AG145" i="20" s="1"/>
  <c r="AG137" i="20"/>
  <c r="AG144" i="20" s="1"/>
  <c r="AP2" i="63"/>
  <c r="AP69" i="63" s="1"/>
  <c r="AB2" i="63"/>
  <c r="N2" i="63"/>
  <c r="J66" i="63"/>
  <c r="AG163" i="63" s="1"/>
  <c r="AG143" i="20" s="1"/>
  <c r="AG150" i="20" s="1"/>
  <c r="J65" i="63"/>
  <c r="AG162" i="63" s="1"/>
  <c r="AG142" i="20" s="1"/>
  <c r="AG149" i="20" s="1"/>
  <c r="J64" i="63"/>
  <c r="AG161" i="63" s="1"/>
  <c r="AG141" i="20" s="1"/>
  <c r="AG148" i="20" s="1"/>
  <c r="J63" i="63"/>
  <c r="AG160" i="63" s="1"/>
  <c r="AQ61" i="63"/>
  <c r="AJ61" i="63"/>
  <c r="AI61" i="63"/>
  <c r="AG61" i="63"/>
  <c r="AE61" i="63"/>
  <c r="AD61" i="63"/>
  <c r="AC61" i="63"/>
  <c r="AB61" i="63"/>
  <c r="AA61" i="63"/>
  <c r="Z61" i="63"/>
  <c r="Y61" i="63"/>
  <c r="W61" i="63"/>
  <c r="V61" i="63"/>
  <c r="T61" i="63"/>
  <c r="R61" i="63"/>
  <c r="Q61" i="63"/>
  <c r="P61" i="63"/>
  <c r="O61" i="63"/>
  <c r="N61" i="63"/>
  <c r="M61" i="63"/>
  <c r="L61" i="63"/>
  <c r="K61" i="63"/>
  <c r="AQ60" i="63"/>
  <c r="AJ60" i="63"/>
  <c r="AI60" i="63"/>
  <c r="AG60" i="63"/>
  <c r="AE60" i="63"/>
  <c r="AD60" i="63"/>
  <c r="AC60" i="63"/>
  <c r="AB60" i="63"/>
  <c r="AA60" i="63"/>
  <c r="Z60" i="63"/>
  <c r="Y60" i="63"/>
  <c r="W60" i="63"/>
  <c r="V60" i="63"/>
  <c r="T60" i="63"/>
  <c r="R60" i="63"/>
  <c r="Q60" i="63"/>
  <c r="P60" i="63"/>
  <c r="O60" i="63"/>
  <c r="N60" i="63"/>
  <c r="M60" i="63"/>
  <c r="L60" i="63"/>
  <c r="K60" i="63"/>
  <c r="AQ59" i="63"/>
  <c r="AJ59" i="63"/>
  <c r="AI59" i="63"/>
  <c r="AG59" i="63"/>
  <c r="AE59" i="63"/>
  <c r="AD59" i="63"/>
  <c r="AC59" i="63"/>
  <c r="AB59" i="63"/>
  <c r="AA59" i="63"/>
  <c r="Z59" i="63"/>
  <c r="Y59" i="63"/>
  <c r="W59" i="63"/>
  <c r="V59" i="63"/>
  <c r="T59" i="63"/>
  <c r="R59" i="63"/>
  <c r="Q59" i="63"/>
  <c r="P59" i="63"/>
  <c r="O59" i="63"/>
  <c r="N59" i="63"/>
  <c r="M59" i="63"/>
  <c r="L59" i="63"/>
  <c r="K59" i="63"/>
  <c r="AQ58" i="63"/>
  <c r="AJ58" i="63"/>
  <c r="AI58" i="63"/>
  <c r="AG58" i="63"/>
  <c r="AE58" i="63"/>
  <c r="AD58" i="63"/>
  <c r="AC58" i="63"/>
  <c r="AB58" i="63"/>
  <c r="AA58" i="63"/>
  <c r="Z58" i="63"/>
  <c r="Z62" i="63" s="1"/>
  <c r="Z66" i="63" s="1"/>
  <c r="Y58" i="63"/>
  <c r="W58" i="63"/>
  <c r="V58" i="63"/>
  <c r="T58" i="63"/>
  <c r="R58" i="63"/>
  <c r="Q58" i="63"/>
  <c r="P58" i="63"/>
  <c r="O58" i="63"/>
  <c r="N58" i="63"/>
  <c r="M58" i="63"/>
  <c r="L58" i="63"/>
  <c r="K58" i="63"/>
  <c r="AQ56" i="63"/>
  <c r="AF157" i="63" s="1"/>
  <c r="AF137" i="20" s="1"/>
  <c r="AJ56" i="63"/>
  <c r="W157" i="63" s="1"/>
  <c r="W137" i="20" s="1"/>
  <c r="AI56" i="63"/>
  <c r="V157" i="63" s="1"/>
  <c r="V137" i="20" s="1"/>
  <c r="AG56" i="63"/>
  <c r="Y157" i="63" s="1"/>
  <c r="Y137" i="20" s="1"/>
  <c r="AE56" i="63"/>
  <c r="AD56" i="63"/>
  <c r="AC56" i="63"/>
  <c r="AB56" i="63"/>
  <c r="AA56" i="63"/>
  <c r="Z56" i="63"/>
  <c r="Y56" i="63"/>
  <c r="U157" i="63" s="1"/>
  <c r="U137" i="20" s="1"/>
  <c r="W56" i="63"/>
  <c r="Q157" i="63" s="1"/>
  <c r="Q137" i="20" s="1"/>
  <c r="V56" i="63"/>
  <c r="P157" i="63" s="1"/>
  <c r="P137" i="20" s="1"/>
  <c r="T56" i="63"/>
  <c r="S157" i="63" s="1"/>
  <c r="S137" i="20" s="1"/>
  <c r="R56" i="63"/>
  <c r="Q56" i="63"/>
  <c r="P56" i="63"/>
  <c r="O56" i="63"/>
  <c r="N56" i="63"/>
  <c r="M56" i="63"/>
  <c r="L56" i="63"/>
  <c r="O157" i="63" s="1"/>
  <c r="O137" i="20" s="1"/>
  <c r="K56" i="63"/>
  <c r="N157" i="63" s="1"/>
  <c r="N137" i="20" s="1"/>
  <c r="AO55" i="63"/>
  <c r="AM55" i="63"/>
  <c r="AL55" i="63"/>
  <c r="AK55" i="63"/>
  <c r="AF55" i="63"/>
  <c r="AH55" i="63" s="1"/>
  <c r="X55" i="63"/>
  <c r="S55" i="63"/>
  <c r="U55" i="63" s="1"/>
  <c r="I55" i="63"/>
  <c r="H55" i="63"/>
  <c r="G55" i="63"/>
  <c r="F55" i="63"/>
  <c r="E55" i="63"/>
  <c r="D55" i="63"/>
  <c r="C55" i="63"/>
  <c r="B55" i="63"/>
  <c r="AO54" i="63"/>
  <c r="AL54" i="63"/>
  <c r="AK54" i="63"/>
  <c r="AF54" i="63"/>
  <c r="AH54" i="63" s="1"/>
  <c r="X54" i="63"/>
  <c r="AM54" i="63" s="1"/>
  <c r="U54" i="63"/>
  <c r="S54" i="63"/>
  <c r="I54" i="63"/>
  <c r="H54" i="63"/>
  <c r="G54" i="63"/>
  <c r="F54" i="63"/>
  <c r="E54" i="63"/>
  <c r="D54" i="63"/>
  <c r="C54" i="63"/>
  <c r="B54" i="63"/>
  <c r="AO53" i="63"/>
  <c r="AL53" i="63"/>
  <c r="AK53" i="63"/>
  <c r="AF53" i="63"/>
  <c r="AH53" i="63" s="1"/>
  <c r="X53" i="63"/>
  <c r="U53" i="63"/>
  <c r="S53" i="63"/>
  <c r="I53" i="63"/>
  <c r="H53" i="63"/>
  <c r="G53" i="63"/>
  <c r="F53" i="63"/>
  <c r="E53" i="63"/>
  <c r="D53" i="63"/>
  <c r="C53" i="63"/>
  <c r="B53" i="63"/>
  <c r="AO52" i="63"/>
  <c r="AL52" i="63"/>
  <c r="AK52" i="63"/>
  <c r="AF52" i="63"/>
  <c r="AH52" i="63" s="1"/>
  <c r="X52" i="63"/>
  <c r="AM52" i="63" s="1"/>
  <c r="S52" i="63"/>
  <c r="I52" i="63"/>
  <c r="H52" i="63"/>
  <c r="G52" i="63"/>
  <c r="F52" i="63"/>
  <c r="E52" i="63"/>
  <c r="D52" i="63"/>
  <c r="C52" i="63"/>
  <c r="B52" i="63"/>
  <c r="AO51" i="63"/>
  <c r="AL51" i="63"/>
  <c r="AK51" i="63"/>
  <c r="AF51" i="63"/>
  <c r="AH51" i="63" s="1"/>
  <c r="X51" i="63"/>
  <c r="S51" i="63"/>
  <c r="U51" i="63" s="1"/>
  <c r="I51" i="63"/>
  <c r="H51" i="63"/>
  <c r="G51" i="63"/>
  <c r="F51" i="63"/>
  <c r="E51" i="63"/>
  <c r="D51" i="63"/>
  <c r="C51" i="63"/>
  <c r="B51" i="63"/>
  <c r="AO50" i="63"/>
  <c r="AL50" i="63"/>
  <c r="AK50" i="63"/>
  <c r="AH50" i="63"/>
  <c r="AF50" i="63"/>
  <c r="X50" i="63"/>
  <c r="S50" i="63"/>
  <c r="I50" i="63"/>
  <c r="H50" i="63"/>
  <c r="G50" i="63"/>
  <c r="F50" i="63"/>
  <c r="E50" i="63"/>
  <c r="D50" i="63"/>
  <c r="C50" i="63"/>
  <c r="B50" i="63"/>
  <c r="AO49" i="63"/>
  <c r="AL49" i="63"/>
  <c r="AK49" i="63"/>
  <c r="AM49" i="63" s="1"/>
  <c r="AH49" i="63"/>
  <c r="AF49" i="63"/>
  <c r="X49" i="63"/>
  <c r="S49" i="63"/>
  <c r="I49" i="63"/>
  <c r="H49" i="63"/>
  <c r="G49" i="63"/>
  <c r="F49" i="63"/>
  <c r="E49" i="63"/>
  <c r="D49" i="63"/>
  <c r="C49" i="63"/>
  <c r="B49" i="63"/>
  <c r="AO48" i="63"/>
  <c r="AL48" i="63"/>
  <c r="AK48" i="63"/>
  <c r="AH48" i="63"/>
  <c r="AF48" i="63"/>
  <c r="X48" i="63"/>
  <c r="S48" i="63"/>
  <c r="U48" i="63" s="1"/>
  <c r="I48" i="63"/>
  <c r="H48" i="63"/>
  <c r="G48" i="63"/>
  <c r="F48" i="63"/>
  <c r="E48" i="63"/>
  <c r="D48" i="63"/>
  <c r="C48" i="63"/>
  <c r="B48" i="63"/>
  <c r="AO47" i="63"/>
  <c r="AL47" i="63"/>
  <c r="AK47" i="63"/>
  <c r="AF47" i="63"/>
  <c r="AH47" i="63" s="1"/>
  <c r="X47" i="63"/>
  <c r="AM47" i="63" s="1"/>
  <c r="S47" i="63"/>
  <c r="U47" i="63" s="1"/>
  <c r="I47" i="63"/>
  <c r="H47" i="63"/>
  <c r="G47" i="63"/>
  <c r="F47" i="63"/>
  <c r="E47" i="63"/>
  <c r="D47" i="63"/>
  <c r="C47" i="63"/>
  <c r="B47" i="63"/>
  <c r="AO46" i="63"/>
  <c r="AL46" i="63"/>
  <c r="AK46" i="63"/>
  <c r="AF46" i="63"/>
  <c r="AH46" i="63" s="1"/>
  <c r="X46" i="63"/>
  <c r="AM46" i="63" s="1"/>
  <c r="U46" i="63"/>
  <c r="S46" i="63"/>
  <c r="I46" i="63"/>
  <c r="H46" i="63"/>
  <c r="G46" i="63"/>
  <c r="F46" i="63"/>
  <c r="E46" i="63"/>
  <c r="D46" i="63"/>
  <c r="C46" i="63"/>
  <c r="B46" i="63"/>
  <c r="AO45" i="63"/>
  <c r="AL45" i="63"/>
  <c r="AK45" i="63"/>
  <c r="AF45" i="63"/>
  <c r="AH45" i="63" s="1"/>
  <c r="X45" i="63"/>
  <c r="U45" i="63"/>
  <c r="S45" i="63"/>
  <c r="I45" i="63"/>
  <c r="H45" i="63"/>
  <c r="G45" i="63"/>
  <c r="F45" i="63"/>
  <c r="E45" i="63"/>
  <c r="D45" i="63"/>
  <c r="C45" i="63"/>
  <c r="B45" i="63"/>
  <c r="AO44" i="63"/>
  <c r="AL44" i="63"/>
  <c r="AK44" i="63"/>
  <c r="AF44" i="63"/>
  <c r="AH44" i="63" s="1"/>
  <c r="X44" i="63"/>
  <c r="AM44" i="63" s="1"/>
  <c r="S44" i="63"/>
  <c r="U44" i="63" s="1"/>
  <c r="I44" i="63"/>
  <c r="H44" i="63"/>
  <c r="G44" i="63"/>
  <c r="F44" i="63"/>
  <c r="E44" i="63"/>
  <c r="D44" i="63"/>
  <c r="C44" i="63"/>
  <c r="B44" i="63"/>
  <c r="AO43" i="63"/>
  <c r="AL43" i="63"/>
  <c r="AK43" i="63"/>
  <c r="AF43" i="63"/>
  <c r="AH43" i="63" s="1"/>
  <c r="X43" i="63"/>
  <c r="AM43" i="63" s="1"/>
  <c r="U43" i="63"/>
  <c r="S43" i="63"/>
  <c r="I43" i="63"/>
  <c r="H43" i="63"/>
  <c r="G43" i="63"/>
  <c r="F43" i="63"/>
  <c r="E43" i="63"/>
  <c r="D43" i="63"/>
  <c r="C43" i="63"/>
  <c r="B43" i="63"/>
  <c r="AO42" i="63"/>
  <c r="AL42" i="63"/>
  <c r="AK42" i="63"/>
  <c r="AF42" i="63"/>
  <c r="AH42" i="63" s="1"/>
  <c r="X42" i="63"/>
  <c r="S42" i="63"/>
  <c r="U42" i="63" s="1"/>
  <c r="I42" i="63"/>
  <c r="H42" i="63"/>
  <c r="G42" i="63"/>
  <c r="F42" i="63"/>
  <c r="E42" i="63"/>
  <c r="D42" i="63"/>
  <c r="C42" i="63"/>
  <c r="B42" i="63"/>
  <c r="AO41" i="63"/>
  <c r="AL41" i="63"/>
  <c r="AK41" i="63"/>
  <c r="AM41" i="63" s="1"/>
  <c r="AF41" i="63"/>
  <c r="AH41" i="63" s="1"/>
  <c r="X41" i="63"/>
  <c r="U41" i="63"/>
  <c r="S41" i="63"/>
  <c r="I41" i="63"/>
  <c r="H41" i="63"/>
  <c r="G41" i="63"/>
  <c r="F41" i="63"/>
  <c r="E41" i="63"/>
  <c r="D41" i="63"/>
  <c r="C41" i="63"/>
  <c r="B41" i="63"/>
  <c r="AO40" i="63"/>
  <c r="AL40" i="63"/>
  <c r="AK40" i="63"/>
  <c r="AF40" i="63"/>
  <c r="AH40" i="63" s="1"/>
  <c r="X40" i="63"/>
  <c r="S40" i="63"/>
  <c r="U40" i="63" s="1"/>
  <c r="I40" i="63"/>
  <c r="H40" i="63"/>
  <c r="G40" i="63"/>
  <c r="F40" i="63"/>
  <c r="E40" i="63"/>
  <c r="D40" i="63"/>
  <c r="C40" i="63"/>
  <c r="B40" i="63"/>
  <c r="AO39" i="63"/>
  <c r="AL39" i="63"/>
  <c r="AK39" i="63"/>
  <c r="AF39" i="63"/>
  <c r="AH39" i="63" s="1"/>
  <c r="X39" i="63"/>
  <c r="AM39" i="63" s="1"/>
  <c r="S39" i="63"/>
  <c r="AN39" i="63" s="1"/>
  <c r="I39" i="63"/>
  <c r="H39" i="63"/>
  <c r="G39" i="63"/>
  <c r="F39" i="63"/>
  <c r="E39" i="63"/>
  <c r="D39" i="63"/>
  <c r="C39" i="63"/>
  <c r="B39" i="63"/>
  <c r="AO38" i="63"/>
  <c r="AL38" i="63"/>
  <c r="AK38" i="63"/>
  <c r="AH38" i="63"/>
  <c r="AF38" i="63"/>
  <c r="X38" i="63"/>
  <c r="AM38" i="63" s="1"/>
  <c r="S38" i="63"/>
  <c r="AN38" i="63" s="1"/>
  <c r="AP38" i="63" s="1"/>
  <c r="I38" i="63"/>
  <c r="H38" i="63"/>
  <c r="G38" i="63"/>
  <c r="F38" i="63"/>
  <c r="E38" i="63"/>
  <c r="D38" i="63"/>
  <c r="C38" i="63"/>
  <c r="B38" i="63"/>
  <c r="AO37" i="63"/>
  <c r="AL37" i="63"/>
  <c r="AK37" i="63"/>
  <c r="AH37" i="63"/>
  <c r="AF37" i="63"/>
  <c r="X37" i="63"/>
  <c r="S37" i="63"/>
  <c r="AN37" i="63" s="1"/>
  <c r="I37" i="63"/>
  <c r="H37" i="63"/>
  <c r="G37" i="63"/>
  <c r="F37" i="63"/>
  <c r="E37" i="63"/>
  <c r="D37" i="63"/>
  <c r="C37" i="63"/>
  <c r="B37" i="63"/>
  <c r="AO36" i="63"/>
  <c r="AM36" i="63"/>
  <c r="AL36" i="63"/>
  <c r="AK36" i="63"/>
  <c r="AF36" i="63"/>
  <c r="AH36" i="63" s="1"/>
  <c r="X36" i="63"/>
  <c r="S36" i="63"/>
  <c r="U36" i="63" s="1"/>
  <c r="I36" i="63"/>
  <c r="H36" i="63"/>
  <c r="G36" i="63"/>
  <c r="F36" i="63"/>
  <c r="E36" i="63"/>
  <c r="D36" i="63"/>
  <c r="C36" i="63"/>
  <c r="B36" i="63"/>
  <c r="AO35" i="63"/>
  <c r="AL35" i="63"/>
  <c r="AK35" i="63"/>
  <c r="AF35" i="63"/>
  <c r="AH35" i="63" s="1"/>
  <c r="X35" i="63"/>
  <c r="AM35" i="63" s="1"/>
  <c r="S35" i="63"/>
  <c r="AN35" i="63" s="1"/>
  <c r="AP35" i="63" s="1"/>
  <c r="I35" i="63"/>
  <c r="H35" i="63"/>
  <c r="G35" i="63"/>
  <c r="F35" i="63"/>
  <c r="E35" i="63"/>
  <c r="D35" i="63"/>
  <c r="C35" i="63"/>
  <c r="B35" i="63"/>
  <c r="AO34" i="63"/>
  <c r="AL34" i="63"/>
  <c r="AK34" i="63"/>
  <c r="AH34" i="63"/>
  <c r="AF34" i="63"/>
  <c r="X34" i="63"/>
  <c r="AM34" i="63" s="1"/>
  <c r="S34" i="63"/>
  <c r="AN34" i="63" s="1"/>
  <c r="AP34" i="63" s="1"/>
  <c r="I34" i="63"/>
  <c r="H34" i="63"/>
  <c r="G34" i="63"/>
  <c r="F34" i="63"/>
  <c r="E34" i="63"/>
  <c r="D34" i="63"/>
  <c r="C34" i="63"/>
  <c r="B34" i="63"/>
  <c r="AO33" i="63"/>
  <c r="AL33" i="63"/>
  <c r="AK33" i="63"/>
  <c r="AH33" i="63"/>
  <c r="AF33" i="63"/>
  <c r="X33" i="63"/>
  <c r="S33" i="63"/>
  <c r="AN33" i="63" s="1"/>
  <c r="I33" i="63"/>
  <c r="H33" i="63"/>
  <c r="G33" i="63"/>
  <c r="F33" i="63"/>
  <c r="E33" i="63"/>
  <c r="D33" i="63"/>
  <c r="C33" i="63"/>
  <c r="B33" i="63"/>
  <c r="AO32" i="63"/>
  <c r="AL32" i="63"/>
  <c r="AK32" i="63"/>
  <c r="AH32" i="63"/>
  <c r="AF32" i="63"/>
  <c r="X32" i="63"/>
  <c r="AM32" i="63" s="1"/>
  <c r="S32" i="63"/>
  <c r="U32" i="63" s="1"/>
  <c r="I32" i="63"/>
  <c r="H32" i="63"/>
  <c r="G32" i="63"/>
  <c r="F32" i="63"/>
  <c r="E32" i="63"/>
  <c r="D32" i="63"/>
  <c r="C32" i="63"/>
  <c r="B32" i="63"/>
  <c r="AO31" i="63"/>
  <c r="AL31" i="63"/>
  <c r="AK31" i="63"/>
  <c r="AF31" i="63"/>
  <c r="AH31" i="63" s="1"/>
  <c r="X31" i="63"/>
  <c r="AM31" i="63" s="1"/>
  <c r="U31" i="63"/>
  <c r="S31" i="63"/>
  <c r="I31" i="63"/>
  <c r="H31" i="63"/>
  <c r="G31" i="63"/>
  <c r="F31" i="63"/>
  <c r="E31" i="63"/>
  <c r="D31" i="63"/>
  <c r="C31" i="63"/>
  <c r="B31" i="63"/>
  <c r="AO30" i="63"/>
  <c r="AL30" i="63"/>
  <c r="AK30" i="63"/>
  <c r="AF30" i="63"/>
  <c r="AH30" i="63" s="1"/>
  <c r="X30" i="63"/>
  <c r="U30" i="63"/>
  <c r="S30" i="63"/>
  <c r="I30" i="63"/>
  <c r="H30" i="63"/>
  <c r="G30" i="63"/>
  <c r="F30" i="63"/>
  <c r="E30" i="63"/>
  <c r="D30" i="63"/>
  <c r="C30" i="63"/>
  <c r="B30" i="63"/>
  <c r="AO29" i="63"/>
  <c r="AL29" i="63"/>
  <c r="AK29" i="63"/>
  <c r="AM29" i="63" s="1"/>
  <c r="AF29" i="63"/>
  <c r="AH29" i="63" s="1"/>
  <c r="X29" i="63"/>
  <c r="U29" i="63"/>
  <c r="S29" i="63"/>
  <c r="I29" i="63"/>
  <c r="H29" i="63"/>
  <c r="G29" i="63"/>
  <c r="F29" i="63"/>
  <c r="E29" i="63"/>
  <c r="D29" i="63"/>
  <c r="C29" i="63"/>
  <c r="B29" i="63"/>
  <c r="AO28" i="63"/>
  <c r="AL28" i="63"/>
  <c r="AK28" i="63"/>
  <c r="AH28" i="63"/>
  <c r="AF28" i="63"/>
  <c r="X28" i="63"/>
  <c r="AM28" i="63" s="1"/>
  <c r="S28" i="63"/>
  <c r="U28" i="63" s="1"/>
  <c r="I28" i="63"/>
  <c r="H28" i="63"/>
  <c r="G28" i="63"/>
  <c r="F28" i="63"/>
  <c r="E28" i="63"/>
  <c r="D28" i="63"/>
  <c r="C28" i="63"/>
  <c r="B28" i="63"/>
  <c r="AO27" i="63"/>
  <c r="AL27" i="63"/>
  <c r="AK27" i="63"/>
  <c r="AF27" i="63"/>
  <c r="AH27" i="63" s="1"/>
  <c r="X27" i="63"/>
  <c r="S27" i="63"/>
  <c r="I27" i="63"/>
  <c r="H27" i="63"/>
  <c r="G27" i="63"/>
  <c r="F27" i="63"/>
  <c r="E27" i="63"/>
  <c r="D27" i="63"/>
  <c r="C27" i="63"/>
  <c r="B27" i="63"/>
  <c r="AO26" i="63"/>
  <c r="AL26" i="63"/>
  <c r="AK26" i="63"/>
  <c r="AH26" i="63"/>
  <c r="AF26" i="63"/>
  <c r="X26" i="63"/>
  <c r="AM26" i="63" s="1"/>
  <c r="S26" i="63"/>
  <c r="I26" i="63"/>
  <c r="H26" i="63"/>
  <c r="G26" i="63"/>
  <c r="F26" i="63"/>
  <c r="E26" i="63"/>
  <c r="D26" i="63"/>
  <c r="C26" i="63"/>
  <c r="B26" i="63"/>
  <c r="AO25" i="63"/>
  <c r="AL25" i="63"/>
  <c r="AK25" i="63"/>
  <c r="AH25" i="63"/>
  <c r="AF25" i="63"/>
  <c r="X25" i="63"/>
  <c r="S25" i="63"/>
  <c r="I25" i="63"/>
  <c r="H25" i="63"/>
  <c r="G25" i="63"/>
  <c r="F25" i="63"/>
  <c r="E25" i="63"/>
  <c r="D25" i="63"/>
  <c r="C25" i="63"/>
  <c r="B25" i="63"/>
  <c r="AO24" i="63"/>
  <c r="AL24" i="63"/>
  <c r="AK24" i="63"/>
  <c r="AH24" i="63"/>
  <c r="AF24" i="63"/>
  <c r="X24" i="63"/>
  <c r="AM24" i="63" s="1"/>
  <c r="S24" i="63"/>
  <c r="U24" i="63" s="1"/>
  <c r="I24" i="63"/>
  <c r="H24" i="63"/>
  <c r="G24" i="63"/>
  <c r="F24" i="63"/>
  <c r="E24" i="63"/>
  <c r="D24" i="63"/>
  <c r="C24" i="63"/>
  <c r="B24" i="63"/>
  <c r="AO23" i="63"/>
  <c r="AL23" i="63"/>
  <c r="AK23" i="63"/>
  <c r="AF23" i="63"/>
  <c r="AH23" i="63" s="1"/>
  <c r="X23" i="63"/>
  <c r="AM23" i="63" s="1"/>
  <c r="U23" i="63"/>
  <c r="S23" i="63"/>
  <c r="I23" i="63"/>
  <c r="H23" i="63"/>
  <c r="G23" i="63"/>
  <c r="F23" i="63"/>
  <c r="E23" i="63"/>
  <c r="D23" i="63"/>
  <c r="C23" i="63"/>
  <c r="B23" i="63"/>
  <c r="AO22" i="63"/>
  <c r="AL22" i="63"/>
  <c r="AK22" i="63"/>
  <c r="AF22" i="63"/>
  <c r="AH22" i="63" s="1"/>
  <c r="X22" i="63"/>
  <c r="U22" i="63"/>
  <c r="S22" i="63"/>
  <c r="I22" i="63"/>
  <c r="H22" i="63"/>
  <c r="G22" i="63"/>
  <c r="F22" i="63"/>
  <c r="E22" i="63"/>
  <c r="D22" i="63"/>
  <c r="C22" i="63"/>
  <c r="B22" i="63"/>
  <c r="AO21" i="63"/>
  <c r="AL21" i="63"/>
  <c r="AK21" i="63"/>
  <c r="AM21" i="63" s="1"/>
  <c r="AF21" i="63"/>
  <c r="AH21" i="63" s="1"/>
  <c r="X21" i="63"/>
  <c r="U21" i="63"/>
  <c r="S21" i="63"/>
  <c r="I21" i="63"/>
  <c r="H21" i="63"/>
  <c r="G21" i="63"/>
  <c r="F21" i="63"/>
  <c r="E21" i="63"/>
  <c r="D21" i="63"/>
  <c r="C21" i="63"/>
  <c r="B21" i="63"/>
  <c r="AO20" i="63"/>
  <c r="AL20" i="63"/>
  <c r="AK20" i="63"/>
  <c r="AF20" i="63"/>
  <c r="AH20" i="63" s="1"/>
  <c r="X20" i="63"/>
  <c r="S20" i="63"/>
  <c r="U20" i="63" s="1"/>
  <c r="I20" i="63"/>
  <c r="H20" i="63"/>
  <c r="G20" i="63"/>
  <c r="F20" i="63"/>
  <c r="E20" i="63"/>
  <c r="D20" i="63"/>
  <c r="C20" i="63"/>
  <c r="B20" i="63"/>
  <c r="AO19" i="63"/>
  <c r="AL19" i="63"/>
  <c r="AK19" i="63"/>
  <c r="AF19" i="63"/>
  <c r="AH19" i="63" s="1"/>
  <c r="X19" i="63"/>
  <c r="S19" i="63"/>
  <c r="I19" i="63"/>
  <c r="H19" i="63"/>
  <c r="G19" i="63"/>
  <c r="F19" i="63"/>
  <c r="E19" i="63"/>
  <c r="D19" i="63"/>
  <c r="C19" i="63"/>
  <c r="B19" i="63"/>
  <c r="AO18" i="63"/>
  <c r="AL18" i="63"/>
  <c r="AK18" i="63"/>
  <c r="AH18" i="63"/>
  <c r="AF18" i="63"/>
  <c r="X18" i="63"/>
  <c r="AM18" i="63" s="1"/>
  <c r="S18" i="63"/>
  <c r="AN18" i="63" s="1"/>
  <c r="AP18" i="63" s="1"/>
  <c r="I18" i="63"/>
  <c r="H18" i="63"/>
  <c r="G18" i="63"/>
  <c r="F18" i="63"/>
  <c r="E18" i="63"/>
  <c r="D18" i="63"/>
  <c r="C18" i="63"/>
  <c r="B18" i="63"/>
  <c r="AO17" i="63"/>
  <c r="AL17" i="63"/>
  <c r="AK17" i="63"/>
  <c r="AF17" i="63"/>
  <c r="AH17" i="63" s="1"/>
  <c r="X17" i="63"/>
  <c r="S17" i="63"/>
  <c r="I17" i="63"/>
  <c r="H17" i="63"/>
  <c r="G17" i="63"/>
  <c r="F17" i="63"/>
  <c r="E17" i="63"/>
  <c r="D17" i="63"/>
  <c r="C17" i="63"/>
  <c r="B17" i="63"/>
  <c r="AO16" i="63"/>
  <c r="AL16" i="63"/>
  <c r="AK16" i="63"/>
  <c r="AF16" i="63"/>
  <c r="AH16" i="63" s="1"/>
  <c r="X16" i="63"/>
  <c r="S16" i="63"/>
  <c r="U16" i="63" s="1"/>
  <c r="I16" i="63"/>
  <c r="H16" i="63"/>
  <c r="G16" i="63"/>
  <c r="F16" i="63"/>
  <c r="E16" i="63"/>
  <c r="D16" i="63"/>
  <c r="C16" i="63"/>
  <c r="B16" i="63"/>
  <c r="AO15" i="63"/>
  <c r="AL15" i="63"/>
  <c r="AK15" i="63"/>
  <c r="AF15" i="63"/>
  <c r="AH15" i="63" s="1"/>
  <c r="X15" i="63"/>
  <c r="AM15" i="63" s="1"/>
  <c r="S15" i="63"/>
  <c r="U15" i="63" s="1"/>
  <c r="I15" i="63"/>
  <c r="H15" i="63"/>
  <c r="G15" i="63"/>
  <c r="F15" i="63"/>
  <c r="E15" i="63"/>
  <c r="D15" i="63"/>
  <c r="C15" i="63"/>
  <c r="B15" i="63"/>
  <c r="AO14" i="63"/>
  <c r="AL14" i="63"/>
  <c r="AK14" i="63"/>
  <c r="AF14" i="63"/>
  <c r="AH14" i="63" s="1"/>
  <c r="X14" i="63"/>
  <c r="U14" i="63"/>
  <c r="S14" i="63"/>
  <c r="I14" i="63"/>
  <c r="H14" i="63"/>
  <c r="G14" i="63"/>
  <c r="F14" i="63"/>
  <c r="E14" i="63"/>
  <c r="D14" i="63"/>
  <c r="C14" i="63"/>
  <c r="B14" i="63"/>
  <c r="AO13" i="63"/>
  <c r="AL13" i="63"/>
  <c r="AK13" i="63"/>
  <c r="AF13" i="63"/>
  <c r="AH13" i="63" s="1"/>
  <c r="X13" i="63"/>
  <c r="S13" i="63"/>
  <c r="U13" i="63" s="1"/>
  <c r="I13" i="63"/>
  <c r="H13" i="63"/>
  <c r="G13" i="63"/>
  <c r="F13" i="63"/>
  <c r="E13" i="63"/>
  <c r="D13" i="63"/>
  <c r="C13" i="63"/>
  <c r="B13" i="63"/>
  <c r="AO12" i="63"/>
  <c r="AM12" i="63"/>
  <c r="AL12" i="63"/>
  <c r="AK12" i="63"/>
  <c r="AF12" i="63"/>
  <c r="AH12" i="63" s="1"/>
  <c r="X12" i="63"/>
  <c r="S12" i="63"/>
  <c r="I12" i="63"/>
  <c r="H12" i="63"/>
  <c r="G12" i="63"/>
  <c r="F12" i="63"/>
  <c r="E12" i="63"/>
  <c r="D12" i="63"/>
  <c r="C12" i="63"/>
  <c r="B12" i="63"/>
  <c r="AO11" i="63"/>
  <c r="AL11" i="63"/>
  <c r="AK11" i="63"/>
  <c r="AF11" i="63"/>
  <c r="AH11" i="63" s="1"/>
  <c r="X11" i="63"/>
  <c r="AM11" i="63" s="1"/>
  <c r="S11" i="63"/>
  <c r="AN11" i="63" s="1"/>
  <c r="AP11" i="63" s="1"/>
  <c r="I11" i="63"/>
  <c r="H11" i="63"/>
  <c r="G11" i="63"/>
  <c r="F11" i="63"/>
  <c r="E11" i="63"/>
  <c r="D11" i="63"/>
  <c r="C11" i="63"/>
  <c r="B11" i="63"/>
  <c r="AO10" i="63"/>
  <c r="AL10" i="63"/>
  <c r="AK10" i="63"/>
  <c r="AH10" i="63"/>
  <c r="AF10" i="63"/>
  <c r="X10" i="63"/>
  <c r="AM10" i="63" s="1"/>
  <c r="S10" i="63"/>
  <c r="AN10" i="63" s="1"/>
  <c r="AP10" i="63" s="1"/>
  <c r="I10" i="63"/>
  <c r="H10" i="63"/>
  <c r="G10" i="63"/>
  <c r="F10" i="63"/>
  <c r="E10" i="63"/>
  <c r="D10" i="63"/>
  <c r="C10" i="63"/>
  <c r="B10" i="63"/>
  <c r="AO9" i="63"/>
  <c r="AL9" i="63"/>
  <c r="AK9" i="63"/>
  <c r="AF9" i="63"/>
  <c r="AH9" i="63" s="1"/>
  <c r="X9" i="63"/>
  <c r="S9" i="63"/>
  <c r="I9" i="63"/>
  <c r="H9" i="63"/>
  <c r="G9" i="63"/>
  <c r="F9" i="63"/>
  <c r="E9" i="63"/>
  <c r="D9" i="63"/>
  <c r="C9" i="63"/>
  <c r="B9" i="63"/>
  <c r="AO8" i="63"/>
  <c r="AL8" i="63"/>
  <c r="AK8" i="63"/>
  <c r="AF8" i="63"/>
  <c r="AH8" i="63" s="1"/>
  <c r="X8" i="63"/>
  <c r="S8" i="63"/>
  <c r="U8" i="63" s="1"/>
  <c r="I8" i="63"/>
  <c r="H8" i="63"/>
  <c r="G8" i="63"/>
  <c r="F8" i="63"/>
  <c r="E8" i="63"/>
  <c r="D8" i="63"/>
  <c r="C8" i="63"/>
  <c r="B8" i="63"/>
  <c r="AO7" i="63"/>
  <c r="AL7" i="63"/>
  <c r="AK7" i="63"/>
  <c r="AF7" i="63"/>
  <c r="AH7" i="63" s="1"/>
  <c r="X7" i="63"/>
  <c r="AM7" i="63" s="1"/>
  <c r="S7" i="63"/>
  <c r="I7" i="63"/>
  <c r="H7" i="63"/>
  <c r="G7" i="63"/>
  <c r="F7" i="63"/>
  <c r="E7" i="63"/>
  <c r="D7" i="63"/>
  <c r="C7" i="63"/>
  <c r="B7" i="63"/>
  <c r="AO6" i="63"/>
  <c r="AL6" i="63"/>
  <c r="AK6" i="63"/>
  <c r="AF6" i="63"/>
  <c r="AH6" i="63" s="1"/>
  <c r="X6" i="63"/>
  <c r="S6" i="63"/>
  <c r="I6" i="63"/>
  <c r="H6" i="63"/>
  <c r="G6" i="63"/>
  <c r="F6" i="63"/>
  <c r="E6" i="63"/>
  <c r="D6" i="63"/>
  <c r="C6" i="63"/>
  <c r="B6" i="63"/>
  <c r="AB69" i="63"/>
  <c r="N69" i="63"/>
  <c r="H2" i="63"/>
  <c r="E2" i="63"/>
  <c r="C2" i="63"/>
  <c r="C56" i="63" s="1"/>
  <c r="AG134" i="20"/>
  <c r="AG133" i="20"/>
  <c r="AG132" i="20"/>
  <c r="AG131" i="20"/>
  <c r="AG130" i="20"/>
  <c r="AP2" i="62"/>
  <c r="AP69" i="62" s="1"/>
  <c r="AB2" i="62"/>
  <c r="AB69" i="62" s="1"/>
  <c r="N2" i="62"/>
  <c r="N69" i="62" s="1"/>
  <c r="J66" i="62"/>
  <c r="AG163" i="62" s="1"/>
  <c r="AG136" i="20" s="1"/>
  <c r="J65" i="62"/>
  <c r="AG162" i="62" s="1"/>
  <c r="AG135" i="20" s="1"/>
  <c r="J64" i="62"/>
  <c r="AG161" i="62" s="1"/>
  <c r="J63" i="62"/>
  <c r="AG160" i="62" s="1"/>
  <c r="AQ61" i="62"/>
  <c r="AJ61" i="62"/>
  <c r="AI61" i="62"/>
  <c r="AG61" i="62"/>
  <c r="AE61" i="62"/>
  <c r="AD61" i="62"/>
  <c r="AC61" i="62"/>
  <c r="AB61" i="62"/>
  <c r="AA61" i="62"/>
  <c r="Z61" i="62"/>
  <c r="Y61" i="62"/>
  <c r="W61" i="62"/>
  <c r="V61" i="62"/>
  <c r="T61" i="62"/>
  <c r="R61" i="62"/>
  <c r="Q61" i="62"/>
  <c r="P61" i="62"/>
  <c r="O61" i="62"/>
  <c r="N61" i="62"/>
  <c r="M61" i="62"/>
  <c r="L61" i="62"/>
  <c r="K61" i="62"/>
  <c r="AQ60" i="62"/>
  <c r="AJ60" i="62"/>
  <c r="AI60" i="62"/>
  <c r="AG60" i="62"/>
  <c r="AE60" i="62"/>
  <c r="AD60" i="62"/>
  <c r="AC60" i="62"/>
  <c r="AB60" i="62"/>
  <c r="AA60" i="62"/>
  <c r="Z60" i="62"/>
  <c r="Y60" i="62"/>
  <c r="W60" i="62"/>
  <c r="V60" i="62"/>
  <c r="T60" i="62"/>
  <c r="R60" i="62"/>
  <c r="Q60" i="62"/>
  <c r="P60" i="62"/>
  <c r="O60" i="62"/>
  <c r="N60" i="62"/>
  <c r="M60" i="62"/>
  <c r="L60" i="62"/>
  <c r="K60" i="62"/>
  <c r="AQ59" i="62"/>
  <c r="AJ59" i="62"/>
  <c r="AI59" i="62"/>
  <c r="AG59" i="62"/>
  <c r="AE59" i="62"/>
  <c r="AD59" i="62"/>
  <c r="AC59" i="62"/>
  <c r="AB59" i="62"/>
  <c r="AA59" i="62"/>
  <c r="Z59" i="62"/>
  <c r="Y59" i="62"/>
  <c r="W59" i="62"/>
  <c r="V59" i="62"/>
  <c r="T59" i="62"/>
  <c r="R59" i="62"/>
  <c r="Q59" i="62"/>
  <c r="P59" i="62"/>
  <c r="O59" i="62"/>
  <c r="N59" i="62"/>
  <c r="M59" i="62"/>
  <c r="L59" i="62"/>
  <c r="K59" i="62"/>
  <c r="AQ58" i="62"/>
  <c r="AJ58" i="62"/>
  <c r="AI58" i="62"/>
  <c r="AG58" i="62"/>
  <c r="AG62" i="62" s="1"/>
  <c r="AG66" i="62" s="1"/>
  <c r="Y163" i="62" s="1"/>
  <c r="Y136" i="20" s="1"/>
  <c r="AE58" i="62"/>
  <c r="AD58" i="62"/>
  <c r="AC58" i="62"/>
  <c r="AB58" i="62"/>
  <c r="AA58" i="62"/>
  <c r="Z58" i="62"/>
  <c r="Y58" i="62"/>
  <c r="W58" i="62"/>
  <c r="W62" i="62" s="1"/>
  <c r="W63" i="62" s="1"/>
  <c r="Q160" i="62" s="1"/>
  <c r="Q133" i="20" s="1"/>
  <c r="V58" i="62"/>
  <c r="T58" i="62"/>
  <c r="R58" i="62"/>
  <c r="Q58" i="62"/>
  <c r="P58" i="62"/>
  <c r="O58" i="62"/>
  <c r="N58" i="62"/>
  <c r="M58" i="62"/>
  <c r="L58" i="62"/>
  <c r="K58" i="62"/>
  <c r="AQ56" i="62"/>
  <c r="AF157" i="62" s="1"/>
  <c r="AF130" i="20" s="1"/>
  <c r="AJ56" i="62"/>
  <c r="W157" i="62" s="1"/>
  <c r="W130" i="20" s="1"/>
  <c r="AI56" i="62"/>
  <c r="V157" i="62" s="1"/>
  <c r="V130" i="20" s="1"/>
  <c r="AG56" i="62"/>
  <c r="Y157" i="62" s="1"/>
  <c r="Y130" i="20" s="1"/>
  <c r="AE56" i="62"/>
  <c r="AD56" i="62"/>
  <c r="AC56" i="62"/>
  <c r="AB56" i="62"/>
  <c r="AA56" i="62"/>
  <c r="Z56" i="62"/>
  <c r="Y56" i="62"/>
  <c r="U157" i="62" s="1"/>
  <c r="U130" i="20" s="1"/>
  <c r="W56" i="62"/>
  <c r="Q157" i="62" s="1"/>
  <c r="Q130" i="20" s="1"/>
  <c r="V56" i="62"/>
  <c r="P157" i="62" s="1"/>
  <c r="P130" i="20" s="1"/>
  <c r="T56" i="62"/>
  <c r="S157" i="62" s="1"/>
  <c r="S130" i="20" s="1"/>
  <c r="R56" i="62"/>
  <c r="Q56" i="62"/>
  <c r="P56" i="62"/>
  <c r="O56" i="62"/>
  <c r="N56" i="62"/>
  <c r="M56" i="62"/>
  <c r="L56" i="62"/>
  <c r="O157" i="62" s="1"/>
  <c r="O130" i="20" s="1"/>
  <c r="K56" i="62"/>
  <c r="N157" i="62" s="1"/>
  <c r="N130" i="20" s="1"/>
  <c r="AO55" i="62"/>
  <c r="AL55" i="62"/>
  <c r="AK55" i="62"/>
  <c r="AH55" i="62"/>
  <c r="AF55" i="62"/>
  <c r="X55" i="62"/>
  <c r="AM55" i="62" s="1"/>
  <c r="S55" i="62"/>
  <c r="AN55" i="62" s="1"/>
  <c r="I55" i="62"/>
  <c r="H55" i="62"/>
  <c r="G55" i="62"/>
  <c r="F55" i="62"/>
  <c r="E55" i="62"/>
  <c r="D55" i="62"/>
  <c r="C55" i="62"/>
  <c r="B55" i="62"/>
  <c r="AO54" i="62"/>
  <c r="AL54" i="62"/>
  <c r="AK54" i="62"/>
  <c r="AF54" i="62"/>
  <c r="AH54" i="62" s="1"/>
  <c r="X54" i="62"/>
  <c r="U54" i="62"/>
  <c r="S54" i="62"/>
  <c r="I54" i="62"/>
  <c r="H54" i="62"/>
  <c r="G54" i="62"/>
  <c r="F54" i="62"/>
  <c r="E54" i="62"/>
  <c r="D54" i="62"/>
  <c r="C54" i="62"/>
  <c r="B54" i="62"/>
  <c r="AO53" i="62"/>
  <c r="AL53" i="62"/>
  <c r="AK53" i="62"/>
  <c r="AF53" i="62"/>
  <c r="AH53" i="62" s="1"/>
  <c r="X53" i="62"/>
  <c r="U53" i="62"/>
  <c r="S53" i="62"/>
  <c r="I53" i="62"/>
  <c r="H53" i="62"/>
  <c r="G53" i="62"/>
  <c r="F53" i="62"/>
  <c r="E53" i="62"/>
  <c r="D53" i="62"/>
  <c r="C53" i="62"/>
  <c r="B53" i="62"/>
  <c r="AO52" i="62"/>
  <c r="AL52" i="62"/>
  <c r="AK52" i="62"/>
  <c r="AH52" i="62"/>
  <c r="AF52" i="62"/>
  <c r="X52" i="62"/>
  <c r="AM52" i="62" s="1"/>
  <c r="S52" i="62"/>
  <c r="U52" i="62" s="1"/>
  <c r="I52" i="62"/>
  <c r="H52" i="62"/>
  <c r="G52" i="62"/>
  <c r="F52" i="62"/>
  <c r="E52" i="62"/>
  <c r="D52" i="62"/>
  <c r="C52" i="62"/>
  <c r="B52" i="62"/>
  <c r="AO51" i="62"/>
  <c r="AL51" i="62"/>
  <c r="AK51" i="62"/>
  <c r="AF51" i="62"/>
  <c r="AH51" i="62" s="1"/>
  <c r="X51" i="62"/>
  <c r="S51" i="62"/>
  <c r="U51" i="62" s="1"/>
  <c r="I51" i="62"/>
  <c r="H51" i="62"/>
  <c r="G51" i="62"/>
  <c r="F51" i="62"/>
  <c r="E51" i="62"/>
  <c r="D51" i="62"/>
  <c r="C51" i="62"/>
  <c r="B51" i="62"/>
  <c r="AO50" i="62"/>
  <c r="AL50" i="62"/>
  <c r="AK50" i="62"/>
  <c r="AF50" i="62"/>
  <c r="AH50" i="62" s="1"/>
  <c r="X50" i="62"/>
  <c r="AM50" i="62" s="1"/>
  <c r="S50" i="62"/>
  <c r="AN50" i="62" s="1"/>
  <c r="I50" i="62"/>
  <c r="H50" i="62"/>
  <c r="G50" i="62"/>
  <c r="F50" i="62"/>
  <c r="E50" i="62"/>
  <c r="D50" i="62"/>
  <c r="C50" i="62"/>
  <c r="B50" i="62"/>
  <c r="AO49" i="62"/>
  <c r="AN49" i="62"/>
  <c r="AL49" i="62"/>
  <c r="AK49" i="62"/>
  <c r="AF49" i="62"/>
  <c r="AH49" i="62" s="1"/>
  <c r="X49" i="62"/>
  <c r="S49" i="62"/>
  <c r="U49" i="62" s="1"/>
  <c r="I49" i="62"/>
  <c r="H49" i="62"/>
  <c r="G49" i="62"/>
  <c r="F49" i="62"/>
  <c r="E49" i="62"/>
  <c r="D49" i="62"/>
  <c r="C49" i="62"/>
  <c r="B49" i="62"/>
  <c r="AO48" i="62"/>
  <c r="AL48" i="62"/>
  <c r="AK48" i="62"/>
  <c r="AF48" i="62"/>
  <c r="AH48" i="62" s="1"/>
  <c r="X48" i="62"/>
  <c r="AM48" i="62" s="1"/>
  <c r="S48" i="62"/>
  <c r="U48" i="62" s="1"/>
  <c r="I48" i="62"/>
  <c r="H48" i="62"/>
  <c r="G48" i="62"/>
  <c r="F48" i="62"/>
  <c r="E48" i="62"/>
  <c r="D48" i="62"/>
  <c r="C48" i="62"/>
  <c r="B48" i="62"/>
  <c r="AO47" i="62"/>
  <c r="AL47" i="62"/>
  <c r="AK47" i="62"/>
  <c r="AF47" i="62"/>
  <c r="AH47" i="62" s="1"/>
  <c r="X47" i="62"/>
  <c r="S47" i="62"/>
  <c r="U47" i="62" s="1"/>
  <c r="I47" i="62"/>
  <c r="H47" i="62"/>
  <c r="G47" i="62"/>
  <c r="F47" i="62"/>
  <c r="E47" i="62"/>
  <c r="D47" i="62"/>
  <c r="C47" i="62"/>
  <c r="B47" i="62"/>
  <c r="AO46" i="62"/>
  <c r="AP46" i="62" s="1"/>
  <c r="AL46" i="62"/>
  <c r="AK46" i="62"/>
  <c r="AF46" i="62"/>
  <c r="AH46" i="62" s="1"/>
  <c r="X46" i="62"/>
  <c r="S46" i="62"/>
  <c r="AN46" i="62" s="1"/>
  <c r="I46" i="62"/>
  <c r="H46" i="62"/>
  <c r="G46" i="62"/>
  <c r="F46" i="62"/>
  <c r="E46" i="62"/>
  <c r="D46" i="62"/>
  <c r="C46" i="62"/>
  <c r="B46" i="62"/>
  <c r="AO45" i="62"/>
  <c r="AL45" i="62"/>
  <c r="AK45" i="62"/>
  <c r="AH45" i="62"/>
  <c r="AF45" i="62"/>
  <c r="X45" i="62"/>
  <c r="AM45" i="62" s="1"/>
  <c r="S45" i="62"/>
  <c r="AN45" i="62" s="1"/>
  <c r="I45" i="62"/>
  <c r="H45" i="62"/>
  <c r="G45" i="62"/>
  <c r="F45" i="62"/>
  <c r="E45" i="62"/>
  <c r="D45" i="62"/>
  <c r="C45" i="62"/>
  <c r="B45" i="62"/>
  <c r="AO44" i="62"/>
  <c r="AM44" i="62"/>
  <c r="AL44" i="62"/>
  <c r="AK44" i="62"/>
  <c r="AF44" i="62"/>
  <c r="AH44" i="62" s="1"/>
  <c r="X44" i="62"/>
  <c r="U44" i="62"/>
  <c r="S44" i="62"/>
  <c r="I44" i="62"/>
  <c r="H44" i="62"/>
  <c r="G44" i="62"/>
  <c r="F44" i="62"/>
  <c r="E44" i="62"/>
  <c r="D44" i="62"/>
  <c r="C44" i="62"/>
  <c r="B44" i="62"/>
  <c r="AO43" i="62"/>
  <c r="AL43" i="62"/>
  <c r="AK43" i="62"/>
  <c r="AF43" i="62"/>
  <c r="AH43" i="62" s="1"/>
  <c r="X43" i="62"/>
  <c r="S43" i="62"/>
  <c r="U43" i="62" s="1"/>
  <c r="I43" i="62"/>
  <c r="H43" i="62"/>
  <c r="G43" i="62"/>
  <c r="F43" i="62"/>
  <c r="E43" i="62"/>
  <c r="D43" i="62"/>
  <c r="C43" i="62"/>
  <c r="B43" i="62"/>
  <c r="AO42" i="62"/>
  <c r="AL42" i="62"/>
  <c r="AK42" i="62"/>
  <c r="AF42" i="62"/>
  <c r="AH42" i="62" s="1"/>
  <c r="X42" i="62"/>
  <c r="U42" i="62"/>
  <c r="S42" i="62"/>
  <c r="I42" i="62"/>
  <c r="H42" i="62"/>
  <c r="G42" i="62"/>
  <c r="F42" i="62"/>
  <c r="E42" i="62"/>
  <c r="D42" i="62"/>
  <c r="C42" i="62"/>
  <c r="B42" i="62"/>
  <c r="AO41" i="62"/>
  <c r="AL41" i="62"/>
  <c r="AK41" i="62"/>
  <c r="AH41" i="62"/>
  <c r="AF41" i="62"/>
  <c r="X41" i="62"/>
  <c r="AM41" i="62" s="1"/>
  <c r="S41" i="62"/>
  <c r="U41" i="62" s="1"/>
  <c r="I41" i="62"/>
  <c r="H41" i="62"/>
  <c r="G41" i="62"/>
  <c r="F41" i="62"/>
  <c r="E41" i="62"/>
  <c r="D41" i="62"/>
  <c r="C41" i="62"/>
  <c r="B41" i="62"/>
  <c r="AO40" i="62"/>
  <c r="AL40" i="62"/>
  <c r="AK40" i="62"/>
  <c r="AM40" i="62" s="1"/>
  <c r="AF40" i="62"/>
  <c r="AH40" i="62" s="1"/>
  <c r="X40" i="62"/>
  <c r="S40" i="62"/>
  <c r="U40" i="62" s="1"/>
  <c r="I40" i="62"/>
  <c r="H40" i="62"/>
  <c r="G40" i="62"/>
  <c r="F40" i="62"/>
  <c r="E40" i="62"/>
  <c r="D40" i="62"/>
  <c r="C40" i="62"/>
  <c r="B40" i="62"/>
  <c r="AO39" i="62"/>
  <c r="AL39" i="62"/>
  <c r="AK39" i="62"/>
  <c r="AF39" i="62"/>
  <c r="AH39" i="62" s="1"/>
  <c r="X39" i="62"/>
  <c r="AM39" i="62" s="1"/>
  <c r="S39" i="62"/>
  <c r="U39" i="62" s="1"/>
  <c r="I39" i="62"/>
  <c r="H39" i="62"/>
  <c r="G39" i="62"/>
  <c r="F39" i="62"/>
  <c r="E39" i="62"/>
  <c r="D39" i="62"/>
  <c r="C39" i="62"/>
  <c r="B39" i="62"/>
  <c r="AO38" i="62"/>
  <c r="AL38" i="62"/>
  <c r="AK38" i="62"/>
  <c r="AF38" i="62"/>
  <c r="AH38" i="62" s="1"/>
  <c r="X38" i="62"/>
  <c r="S38" i="62"/>
  <c r="I38" i="62"/>
  <c r="H38" i="62"/>
  <c r="G38" i="62"/>
  <c r="F38" i="62"/>
  <c r="E38" i="62"/>
  <c r="D38" i="62"/>
  <c r="C38" i="62"/>
  <c r="B38" i="62"/>
  <c r="AO37" i="62"/>
  <c r="AL37" i="62"/>
  <c r="AK37" i="62"/>
  <c r="AH37" i="62"/>
  <c r="AF37" i="62"/>
  <c r="X37" i="62"/>
  <c r="AM37" i="62" s="1"/>
  <c r="S37" i="62"/>
  <c r="I37" i="62"/>
  <c r="H37" i="62"/>
  <c r="G37" i="62"/>
  <c r="F37" i="62"/>
  <c r="E37" i="62"/>
  <c r="D37" i="62"/>
  <c r="C37" i="62"/>
  <c r="B37" i="62"/>
  <c r="AO36" i="62"/>
  <c r="AL36" i="62"/>
  <c r="AK36" i="62"/>
  <c r="AM36" i="62" s="1"/>
  <c r="AF36" i="62"/>
  <c r="AH36" i="62" s="1"/>
  <c r="X36" i="62"/>
  <c r="U36" i="62"/>
  <c r="S36" i="62"/>
  <c r="I36" i="62"/>
  <c r="H36" i="62"/>
  <c r="G36" i="62"/>
  <c r="F36" i="62"/>
  <c r="E36" i="62"/>
  <c r="D36" i="62"/>
  <c r="C36" i="62"/>
  <c r="B36" i="62"/>
  <c r="AO35" i="62"/>
  <c r="AL35" i="62"/>
  <c r="AK35" i="62"/>
  <c r="AF35" i="62"/>
  <c r="AH35" i="62" s="1"/>
  <c r="X35" i="62"/>
  <c r="S35" i="62"/>
  <c r="U35" i="62" s="1"/>
  <c r="I35" i="62"/>
  <c r="H35" i="62"/>
  <c r="G35" i="62"/>
  <c r="F35" i="62"/>
  <c r="E35" i="62"/>
  <c r="D35" i="62"/>
  <c r="C35" i="62"/>
  <c r="B35" i="62"/>
  <c r="AO34" i="62"/>
  <c r="AL34" i="62"/>
  <c r="AK34" i="62"/>
  <c r="AF34" i="62"/>
  <c r="AH34" i="62" s="1"/>
  <c r="X34" i="62"/>
  <c r="U34" i="62"/>
  <c r="S34" i="62"/>
  <c r="I34" i="62"/>
  <c r="H34" i="62"/>
  <c r="G34" i="62"/>
  <c r="F34" i="62"/>
  <c r="E34" i="62"/>
  <c r="D34" i="62"/>
  <c r="C34" i="62"/>
  <c r="B34" i="62"/>
  <c r="AO33" i="62"/>
  <c r="AL33" i="62"/>
  <c r="AK33" i="62"/>
  <c r="AF33" i="62"/>
  <c r="AH33" i="62" s="1"/>
  <c r="X33" i="62"/>
  <c r="S33" i="62"/>
  <c r="U33" i="62" s="1"/>
  <c r="I33" i="62"/>
  <c r="H33" i="62"/>
  <c r="G33" i="62"/>
  <c r="F33" i="62"/>
  <c r="E33" i="62"/>
  <c r="D33" i="62"/>
  <c r="C33" i="62"/>
  <c r="B33" i="62"/>
  <c r="AO32" i="62"/>
  <c r="AL32" i="62"/>
  <c r="AK32" i="62"/>
  <c r="AF32" i="62"/>
  <c r="AH32" i="62" s="1"/>
  <c r="X32" i="62"/>
  <c r="AM32" i="62" s="1"/>
  <c r="S32" i="62"/>
  <c r="U32" i="62" s="1"/>
  <c r="I32" i="62"/>
  <c r="H32" i="62"/>
  <c r="G32" i="62"/>
  <c r="F32" i="62"/>
  <c r="E32" i="62"/>
  <c r="D32" i="62"/>
  <c r="C32" i="62"/>
  <c r="B32" i="62"/>
  <c r="AO31" i="62"/>
  <c r="AL31" i="62"/>
  <c r="AK31" i="62"/>
  <c r="AF31" i="62"/>
  <c r="AH31" i="62" s="1"/>
  <c r="X31" i="62"/>
  <c r="S31" i="62"/>
  <c r="U31" i="62" s="1"/>
  <c r="I31" i="62"/>
  <c r="H31" i="62"/>
  <c r="G31" i="62"/>
  <c r="F31" i="62"/>
  <c r="E31" i="62"/>
  <c r="D31" i="62"/>
  <c r="C31" i="62"/>
  <c r="B31" i="62"/>
  <c r="AO30" i="62"/>
  <c r="AL30" i="62"/>
  <c r="AK30" i="62"/>
  <c r="AF30" i="62"/>
  <c r="AH30" i="62" s="1"/>
  <c r="X30" i="62"/>
  <c r="AM30" i="62" s="1"/>
  <c r="S30" i="62"/>
  <c r="AN30" i="62" s="1"/>
  <c r="I30" i="62"/>
  <c r="H30" i="62"/>
  <c r="G30" i="62"/>
  <c r="F30" i="62"/>
  <c r="E30" i="62"/>
  <c r="D30" i="62"/>
  <c r="C30" i="62"/>
  <c r="B30" i="62"/>
  <c r="AO29" i="62"/>
  <c r="AM29" i="62"/>
  <c r="AL29" i="62"/>
  <c r="AK29" i="62"/>
  <c r="AF29" i="62"/>
  <c r="AH29" i="62" s="1"/>
  <c r="X29" i="62"/>
  <c r="U29" i="62"/>
  <c r="S29" i="62"/>
  <c r="I29" i="62"/>
  <c r="H29" i="62"/>
  <c r="G29" i="62"/>
  <c r="F29" i="62"/>
  <c r="E29" i="62"/>
  <c r="D29" i="62"/>
  <c r="C29" i="62"/>
  <c r="B29" i="62"/>
  <c r="AO28" i="62"/>
  <c r="AL28" i="62"/>
  <c r="AK28" i="62"/>
  <c r="AH28" i="62"/>
  <c r="AF28" i="62"/>
  <c r="X28" i="62"/>
  <c r="AM28" i="62" s="1"/>
  <c r="S28" i="62"/>
  <c r="I28" i="62"/>
  <c r="H28" i="62"/>
  <c r="G28" i="62"/>
  <c r="F28" i="62"/>
  <c r="E28" i="62"/>
  <c r="D28" i="62"/>
  <c r="C28" i="62"/>
  <c r="B28" i="62"/>
  <c r="AO27" i="62"/>
  <c r="AL27" i="62"/>
  <c r="AK27" i="62"/>
  <c r="AH27" i="62"/>
  <c r="AF27" i="62"/>
  <c r="X27" i="62"/>
  <c r="AM27" i="62" s="1"/>
  <c r="S27" i="62"/>
  <c r="U27" i="62" s="1"/>
  <c r="I27" i="62"/>
  <c r="H27" i="62"/>
  <c r="G27" i="62"/>
  <c r="F27" i="62"/>
  <c r="E27" i="62"/>
  <c r="D27" i="62"/>
  <c r="C27" i="62"/>
  <c r="B27" i="62"/>
  <c r="AO26" i="62"/>
  <c r="AL26" i="62"/>
  <c r="AK26" i="62"/>
  <c r="AF26" i="62"/>
  <c r="AH26" i="62" s="1"/>
  <c r="X26" i="62"/>
  <c r="AM26" i="62" s="1"/>
  <c r="S26" i="62"/>
  <c r="AN26" i="62" s="1"/>
  <c r="I26" i="62"/>
  <c r="H26" i="62"/>
  <c r="G26" i="62"/>
  <c r="F26" i="62"/>
  <c r="E26" i="62"/>
  <c r="D26" i="62"/>
  <c r="C26" i="62"/>
  <c r="B26" i="62"/>
  <c r="AO25" i="62"/>
  <c r="AL25" i="62"/>
  <c r="AK25" i="62"/>
  <c r="AH25" i="62"/>
  <c r="AF25" i="62"/>
  <c r="X25" i="62"/>
  <c r="AM25" i="62" s="1"/>
  <c r="S25" i="62"/>
  <c r="U25" i="62" s="1"/>
  <c r="I25" i="62"/>
  <c r="H25" i="62"/>
  <c r="G25" i="62"/>
  <c r="F25" i="62"/>
  <c r="E25" i="62"/>
  <c r="D25" i="62"/>
  <c r="C25" i="62"/>
  <c r="B25" i="62"/>
  <c r="AO24" i="62"/>
  <c r="AL24" i="62"/>
  <c r="AK24" i="62"/>
  <c r="AF24" i="62"/>
  <c r="AH24" i="62" s="1"/>
  <c r="X24" i="62"/>
  <c r="AM24" i="62" s="1"/>
  <c r="S24" i="62"/>
  <c r="U24" i="62" s="1"/>
  <c r="I24" i="62"/>
  <c r="H24" i="62"/>
  <c r="G24" i="62"/>
  <c r="F24" i="62"/>
  <c r="E24" i="62"/>
  <c r="D24" i="62"/>
  <c r="C24" i="62"/>
  <c r="B24" i="62"/>
  <c r="AO23" i="62"/>
  <c r="AL23" i="62"/>
  <c r="AK23" i="62"/>
  <c r="AF23" i="62"/>
  <c r="AH23" i="62" s="1"/>
  <c r="X23" i="62"/>
  <c r="AM23" i="62" s="1"/>
  <c r="U23" i="62"/>
  <c r="S23" i="62"/>
  <c r="I23" i="62"/>
  <c r="H23" i="62"/>
  <c r="G23" i="62"/>
  <c r="F23" i="62"/>
  <c r="E23" i="62"/>
  <c r="D23" i="62"/>
  <c r="C23" i="62"/>
  <c r="B23" i="62"/>
  <c r="AO22" i="62"/>
  <c r="AL22" i="62"/>
  <c r="AK22" i="62"/>
  <c r="AF22" i="62"/>
  <c r="AH22" i="62" s="1"/>
  <c r="X22" i="62"/>
  <c r="AM22" i="62" s="1"/>
  <c r="S22" i="62"/>
  <c r="I22" i="62"/>
  <c r="H22" i="62"/>
  <c r="G22" i="62"/>
  <c r="F22" i="62"/>
  <c r="E22" i="62"/>
  <c r="D22" i="62"/>
  <c r="C22" i="62"/>
  <c r="B22" i="62"/>
  <c r="AO21" i="62"/>
  <c r="AL21" i="62"/>
  <c r="AK21" i="62"/>
  <c r="AF21" i="62"/>
  <c r="AH21" i="62" s="1"/>
  <c r="X21" i="62"/>
  <c r="AM21" i="62" s="1"/>
  <c r="S21" i="62"/>
  <c r="I21" i="62"/>
  <c r="H21" i="62"/>
  <c r="G21" i="62"/>
  <c r="F21" i="62"/>
  <c r="E21" i="62"/>
  <c r="D21" i="62"/>
  <c r="C21" i="62"/>
  <c r="B21" i="62"/>
  <c r="AO20" i="62"/>
  <c r="AL20" i="62"/>
  <c r="AK20" i="62"/>
  <c r="AH20" i="62"/>
  <c r="AF20" i="62"/>
  <c r="X20" i="62"/>
  <c r="AM20" i="62" s="1"/>
  <c r="S20" i="62"/>
  <c r="U20" i="62" s="1"/>
  <c r="I20" i="62"/>
  <c r="H20" i="62"/>
  <c r="G20" i="62"/>
  <c r="F20" i="62"/>
  <c r="E20" i="62"/>
  <c r="D20" i="62"/>
  <c r="C20" i="62"/>
  <c r="B20" i="62"/>
  <c r="AO19" i="62"/>
  <c r="AL19" i="62"/>
  <c r="AK19" i="62"/>
  <c r="AH19" i="62"/>
  <c r="AF19" i="62"/>
  <c r="X19" i="62"/>
  <c r="AM19" i="62" s="1"/>
  <c r="S19" i="62"/>
  <c r="U19" i="62" s="1"/>
  <c r="I19" i="62"/>
  <c r="H19" i="62"/>
  <c r="G19" i="62"/>
  <c r="F19" i="62"/>
  <c r="E19" i="62"/>
  <c r="D19" i="62"/>
  <c r="C19" i="62"/>
  <c r="B19" i="62"/>
  <c r="AO18" i="62"/>
  <c r="AL18" i="62"/>
  <c r="AK18" i="62"/>
  <c r="AF18" i="62"/>
  <c r="AH18" i="62" s="1"/>
  <c r="X18" i="62"/>
  <c r="S18" i="62"/>
  <c r="I18" i="62"/>
  <c r="H18" i="62"/>
  <c r="G18" i="62"/>
  <c r="F18" i="62"/>
  <c r="E18" i="62"/>
  <c r="D18" i="62"/>
  <c r="C18" i="62"/>
  <c r="B18" i="62"/>
  <c r="AO17" i="62"/>
  <c r="AL17" i="62"/>
  <c r="AK17" i="62"/>
  <c r="AF17" i="62"/>
  <c r="AH17" i="62" s="1"/>
  <c r="X17" i="62"/>
  <c r="S17" i="62"/>
  <c r="U17" i="62" s="1"/>
  <c r="I17" i="62"/>
  <c r="H17" i="62"/>
  <c r="G17" i="62"/>
  <c r="F17" i="62"/>
  <c r="E17" i="62"/>
  <c r="D17" i="62"/>
  <c r="C17" i="62"/>
  <c r="B17" i="62"/>
  <c r="AO16" i="62"/>
  <c r="AL16" i="62"/>
  <c r="AK16" i="62"/>
  <c r="AF16" i="62"/>
  <c r="AH16" i="62" s="1"/>
  <c r="X16" i="62"/>
  <c r="S16" i="62"/>
  <c r="U16" i="62" s="1"/>
  <c r="I16" i="62"/>
  <c r="H16" i="62"/>
  <c r="G16" i="62"/>
  <c r="F16" i="62"/>
  <c r="E16" i="62"/>
  <c r="D16" i="62"/>
  <c r="C16" i="62"/>
  <c r="B16" i="62"/>
  <c r="AO15" i="62"/>
  <c r="AL15" i="62"/>
  <c r="AK15" i="62"/>
  <c r="AF15" i="62"/>
  <c r="AH15" i="62" s="1"/>
  <c r="X15" i="62"/>
  <c r="AM15" i="62" s="1"/>
  <c r="S15" i="62"/>
  <c r="U15" i="62" s="1"/>
  <c r="I15" i="62"/>
  <c r="H15" i="62"/>
  <c r="G15" i="62"/>
  <c r="F15" i="62"/>
  <c r="E15" i="62"/>
  <c r="D15" i="62"/>
  <c r="C15" i="62"/>
  <c r="B15" i="62"/>
  <c r="AO14" i="62"/>
  <c r="AL14" i="62"/>
  <c r="AK14" i="62"/>
  <c r="AH14" i="62"/>
  <c r="AF14" i="62"/>
  <c r="X14" i="62"/>
  <c r="S14" i="62"/>
  <c r="U14" i="62" s="1"/>
  <c r="I14" i="62"/>
  <c r="H14" i="62"/>
  <c r="G14" i="62"/>
  <c r="F14" i="62"/>
  <c r="E14" i="62"/>
  <c r="D14" i="62"/>
  <c r="C14" i="62"/>
  <c r="B14" i="62"/>
  <c r="AO13" i="62"/>
  <c r="AL13" i="62"/>
  <c r="AK13" i="62"/>
  <c r="AH13" i="62"/>
  <c r="AF13" i="62"/>
  <c r="X13" i="62"/>
  <c r="AM13" i="62" s="1"/>
  <c r="S13" i="62"/>
  <c r="U13" i="62" s="1"/>
  <c r="I13" i="62"/>
  <c r="H13" i="62"/>
  <c r="G13" i="62"/>
  <c r="F13" i="62"/>
  <c r="E13" i="62"/>
  <c r="D13" i="62"/>
  <c r="C13" i="62"/>
  <c r="B13" i="62"/>
  <c r="AO12" i="62"/>
  <c r="AM12" i="62"/>
  <c r="AL12" i="62"/>
  <c r="AK12" i="62"/>
  <c r="AF12" i="62"/>
  <c r="AH12" i="62" s="1"/>
  <c r="X12" i="62"/>
  <c r="S12" i="62"/>
  <c r="I12" i="62"/>
  <c r="H12" i="62"/>
  <c r="G12" i="62"/>
  <c r="F12" i="62"/>
  <c r="E12" i="62"/>
  <c r="D12" i="62"/>
  <c r="C12" i="62"/>
  <c r="B12" i="62"/>
  <c r="AO11" i="62"/>
  <c r="AL11" i="62"/>
  <c r="AK11" i="62"/>
  <c r="AH11" i="62"/>
  <c r="AF11" i="62"/>
  <c r="X11" i="62"/>
  <c r="AM11" i="62" s="1"/>
  <c r="S11" i="62"/>
  <c r="U11" i="62" s="1"/>
  <c r="I11" i="62"/>
  <c r="H11" i="62"/>
  <c r="G11" i="62"/>
  <c r="F11" i="62"/>
  <c r="E11" i="62"/>
  <c r="D11" i="62"/>
  <c r="C11" i="62"/>
  <c r="B11" i="62"/>
  <c r="AO10" i="62"/>
  <c r="AL10" i="62"/>
  <c r="AK10" i="62"/>
  <c r="AK58" i="62" s="1"/>
  <c r="AF10" i="62"/>
  <c r="AH10" i="62" s="1"/>
  <c r="X10" i="62"/>
  <c r="S10" i="62"/>
  <c r="AN10" i="62" s="1"/>
  <c r="I10" i="62"/>
  <c r="H10" i="62"/>
  <c r="G10" i="62"/>
  <c r="F10" i="62"/>
  <c r="E10" i="62"/>
  <c r="D10" i="62"/>
  <c r="C10" i="62"/>
  <c r="B10" i="62"/>
  <c r="AO9" i="62"/>
  <c r="AL9" i="62"/>
  <c r="AK9" i="62"/>
  <c r="AH9" i="62"/>
  <c r="AF9" i="62"/>
  <c r="X9" i="62"/>
  <c r="AM9" i="62" s="1"/>
  <c r="S9" i="62"/>
  <c r="U9" i="62" s="1"/>
  <c r="I9" i="62"/>
  <c r="H9" i="62"/>
  <c r="G9" i="62"/>
  <c r="F9" i="62"/>
  <c r="E9" i="62"/>
  <c r="D9" i="62"/>
  <c r="C9" i="62"/>
  <c r="B9" i="62"/>
  <c r="AO8" i="62"/>
  <c r="AL8" i="62"/>
  <c r="AK8" i="62"/>
  <c r="AF8" i="62"/>
  <c r="X8" i="62"/>
  <c r="AM8" i="62" s="1"/>
  <c r="S8" i="62"/>
  <c r="U8" i="62" s="1"/>
  <c r="I8" i="62"/>
  <c r="H8" i="62"/>
  <c r="G8" i="62"/>
  <c r="F8" i="62"/>
  <c r="E8" i="62"/>
  <c r="D8" i="62"/>
  <c r="C8" i="62"/>
  <c r="B8" i="62"/>
  <c r="AO7" i="62"/>
  <c r="AL7" i="62"/>
  <c r="AK7" i="62"/>
  <c r="AF7" i="62"/>
  <c r="AH7" i="62" s="1"/>
  <c r="X7" i="62"/>
  <c r="AM7" i="62" s="1"/>
  <c r="U7" i="62"/>
  <c r="S7" i="62"/>
  <c r="I7" i="62"/>
  <c r="H7" i="62"/>
  <c r="G7" i="62"/>
  <c r="F7" i="62"/>
  <c r="E7" i="62"/>
  <c r="D7" i="62"/>
  <c r="C7" i="62"/>
  <c r="B7" i="62"/>
  <c r="AO6" i="62"/>
  <c r="AL6" i="62"/>
  <c r="AK6" i="62"/>
  <c r="AF6" i="62"/>
  <c r="AH6" i="62" s="1"/>
  <c r="X6" i="62"/>
  <c r="U6" i="62"/>
  <c r="S6" i="62"/>
  <c r="I6" i="62"/>
  <c r="H6" i="62"/>
  <c r="G6" i="62"/>
  <c r="F6" i="62"/>
  <c r="E6" i="62"/>
  <c r="D6" i="62"/>
  <c r="C6" i="62"/>
  <c r="B6" i="62"/>
  <c r="H2" i="62"/>
  <c r="E2" i="62"/>
  <c r="C2" i="62"/>
  <c r="AG126" i="20"/>
  <c r="AG125" i="20"/>
  <c r="AG124" i="20"/>
  <c r="AG123" i="20"/>
  <c r="AP2" i="61"/>
  <c r="AB2" i="61"/>
  <c r="N2" i="61"/>
  <c r="AG161" i="61"/>
  <c r="AG127" i="20" s="1"/>
  <c r="J66" i="61"/>
  <c r="AG163" i="61" s="1"/>
  <c r="AG129" i="20" s="1"/>
  <c r="J65" i="61"/>
  <c r="AG162" i="61" s="1"/>
  <c r="AG128" i="20" s="1"/>
  <c r="J64" i="61"/>
  <c r="J63" i="61"/>
  <c r="AG160" i="61" s="1"/>
  <c r="AQ61" i="61"/>
  <c r="AJ61" i="61"/>
  <c r="AI61" i="61"/>
  <c r="AG61" i="61"/>
  <c r="AE61" i="61"/>
  <c r="AD61" i="61"/>
  <c r="AC61" i="61"/>
  <c r="AB61" i="61"/>
  <c r="AA61" i="61"/>
  <c r="Z61" i="61"/>
  <c r="Y61" i="61"/>
  <c r="W61" i="61"/>
  <c r="V61" i="61"/>
  <c r="T61" i="61"/>
  <c r="R61" i="61"/>
  <c r="Q61" i="61"/>
  <c r="P61" i="61"/>
  <c r="O61" i="61"/>
  <c r="N61" i="61"/>
  <c r="M61" i="61"/>
  <c r="L61" i="61"/>
  <c r="K61" i="61"/>
  <c r="AQ60" i="61"/>
  <c r="AJ60" i="61"/>
  <c r="AI60" i="61"/>
  <c r="AG60" i="61"/>
  <c r="AE60" i="61"/>
  <c r="AD60" i="61"/>
  <c r="AC60" i="61"/>
  <c r="AB60" i="61"/>
  <c r="AA60" i="61"/>
  <c r="Z60" i="61"/>
  <c r="Y60" i="61"/>
  <c r="W60" i="61"/>
  <c r="V60" i="61"/>
  <c r="T60" i="61"/>
  <c r="R60" i="61"/>
  <c r="Q60" i="61"/>
  <c r="P60" i="61"/>
  <c r="O60" i="61"/>
  <c r="N60" i="61"/>
  <c r="M60" i="61"/>
  <c r="L60" i="61"/>
  <c r="K60" i="61"/>
  <c r="AQ59" i="61"/>
  <c r="AJ59" i="61"/>
  <c r="AI59" i="61"/>
  <c r="AG59" i="61"/>
  <c r="AE59" i="61"/>
  <c r="AD59" i="61"/>
  <c r="AC59" i="61"/>
  <c r="AB59" i="61"/>
  <c r="AA59" i="61"/>
  <c r="Z59" i="61"/>
  <c r="Y59" i="61"/>
  <c r="W59" i="61"/>
  <c r="V59" i="61"/>
  <c r="T59" i="61"/>
  <c r="R59" i="61"/>
  <c r="Q59" i="61"/>
  <c r="P59" i="61"/>
  <c r="O59" i="61"/>
  <c r="N59" i="61"/>
  <c r="M59" i="61"/>
  <c r="L59" i="61"/>
  <c r="K59" i="61"/>
  <c r="AQ58" i="61"/>
  <c r="AJ58" i="61"/>
  <c r="AI58" i="61"/>
  <c r="AI62" i="61" s="1"/>
  <c r="AI63" i="61" s="1"/>
  <c r="V160" i="61" s="1"/>
  <c r="V126" i="20" s="1"/>
  <c r="AG58" i="61"/>
  <c r="AG62" i="61" s="1"/>
  <c r="AE58" i="61"/>
  <c r="AD58" i="61"/>
  <c r="AC58" i="61"/>
  <c r="AB58" i="61"/>
  <c r="AA58" i="61"/>
  <c r="Z58" i="61"/>
  <c r="Y58" i="61"/>
  <c r="Y62" i="61" s="1"/>
  <c r="W58" i="61"/>
  <c r="V58" i="61"/>
  <c r="T58" i="61"/>
  <c r="R58" i="61"/>
  <c r="R62" i="61" s="1"/>
  <c r="Q58" i="61"/>
  <c r="Q62" i="61" s="1"/>
  <c r="P58" i="61"/>
  <c r="O58" i="61"/>
  <c r="N58" i="61"/>
  <c r="M58" i="61"/>
  <c r="L58" i="61"/>
  <c r="K58" i="61"/>
  <c r="AQ56" i="61"/>
  <c r="AF157" i="61" s="1"/>
  <c r="AF123" i="20" s="1"/>
  <c r="AJ56" i="61"/>
  <c r="W157" i="61" s="1"/>
  <c r="W123" i="20" s="1"/>
  <c r="AI56" i="61"/>
  <c r="V157" i="61" s="1"/>
  <c r="V123" i="20" s="1"/>
  <c r="AG56" i="61"/>
  <c r="Y157" i="61" s="1"/>
  <c r="Y123" i="20" s="1"/>
  <c r="AE56" i="61"/>
  <c r="AD56" i="61"/>
  <c r="AC56" i="61"/>
  <c r="AB56" i="61"/>
  <c r="AA56" i="61"/>
  <c r="Z56" i="61"/>
  <c r="Y56" i="61"/>
  <c r="U157" i="61" s="1"/>
  <c r="U123" i="20" s="1"/>
  <c r="W56" i="61"/>
  <c r="Q157" i="61" s="1"/>
  <c r="Q123" i="20" s="1"/>
  <c r="V56" i="61"/>
  <c r="P157" i="61" s="1"/>
  <c r="P123" i="20" s="1"/>
  <c r="T56" i="61"/>
  <c r="S157" i="61" s="1"/>
  <c r="S123" i="20" s="1"/>
  <c r="R56" i="61"/>
  <c r="Q56" i="61"/>
  <c r="P56" i="61"/>
  <c r="O56" i="61"/>
  <c r="N56" i="61"/>
  <c r="M56" i="61"/>
  <c r="L56" i="61"/>
  <c r="O157" i="61" s="1"/>
  <c r="O123" i="20" s="1"/>
  <c r="K56" i="61"/>
  <c r="N157" i="61" s="1"/>
  <c r="N123" i="20" s="1"/>
  <c r="AO55" i="61"/>
  <c r="AL55" i="61"/>
  <c r="AK55" i="61"/>
  <c r="AM55" i="61" s="1"/>
  <c r="AF55" i="61"/>
  <c r="AH55" i="61" s="1"/>
  <c r="X55" i="61"/>
  <c r="U55" i="61"/>
  <c r="S55" i="61"/>
  <c r="I55" i="61"/>
  <c r="H55" i="61"/>
  <c r="G55" i="61"/>
  <c r="F55" i="61"/>
  <c r="E55" i="61"/>
  <c r="D55" i="61"/>
  <c r="C55" i="61"/>
  <c r="B55" i="61"/>
  <c r="AO54" i="61"/>
  <c r="AL54" i="61"/>
  <c r="AK54" i="61"/>
  <c r="AF54" i="61"/>
  <c r="AH54" i="61" s="1"/>
  <c r="X54" i="61"/>
  <c r="U54" i="61"/>
  <c r="S54" i="61"/>
  <c r="I54" i="61"/>
  <c r="H54" i="61"/>
  <c r="G54" i="61"/>
  <c r="F54" i="61"/>
  <c r="E54" i="61"/>
  <c r="D54" i="61"/>
  <c r="C54" i="61"/>
  <c r="B54" i="61"/>
  <c r="AO53" i="61"/>
  <c r="AL53" i="61"/>
  <c r="AK53" i="61"/>
  <c r="AM53" i="61" s="1"/>
  <c r="AF53" i="61"/>
  <c r="AH53" i="61" s="1"/>
  <c r="X53" i="61"/>
  <c r="S53" i="61"/>
  <c r="U53" i="61" s="1"/>
  <c r="I53" i="61"/>
  <c r="H53" i="61"/>
  <c r="G53" i="61"/>
  <c r="F53" i="61"/>
  <c r="E53" i="61"/>
  <c r="D53" i="61"/>
  <c r="C53" i="61"/>
  <c r="B53" i="61"/>
  <c r="AO52" i="61"/>
  <c r="AL52" i="61"/>
  <c r="AK52" i="61"/>
  <c r="AF52" i="61"/>
  <c r="AH52" i="61" s="1"/>
  <c r="X52" i="61"/>
  <c r="AM52" i="61" s="1"/>
  <c r="S52" i="61"/>
  <c r="U52" i="61" s="1"/>
  <c r="I52" i="61"/>
  <c r="H52" i="61"/>
  <c r="G52" i="61"/>
  <c r="F52" i="61"/>
  <c r="E52" i="61"/>
  <c r="D52" i="61"/>
  <c r="C52" i="61"/>
  <c r="B52" i="61"/>
  <c r="AO51" i="61"/>
  <c r="AL51" i="61"/>
  <c r="AK51" i="61"/>
  <c r="AF51" i="61"/>
  <c r="AH51" i="61" s="1"/>
  <c r="X51" i="61"/>
  <c r="S51" i="61"/>
  <c r="U51" i="61" s="1"/>
  <c r="I51" i="61"/>
  <c r="H51" i="61"/>
  <c r="G51" i="61"/>
  <c r="F51" i="61"/>
  <c r="E51" i="61"/>
  <c r="D51" i="61"/>
  <c r="C51" i="61"/>
  <c r="B51" i="61"/>
  <c r="AO50" i="61"/>
  <c r="AL50" i="61"/>
  <c r="AK50" i="61"/>
  <c r="AF50" i="61"/>
  <c r="AH50" i="61" s="1"/>
  <c r="X50" i="61"/>
  <c r="AM50" i="61" s="1"/>
  <c r="S50" i="61"/>
  <c r="U50" i="61" s="1"/>
  <c r="I50" i="61"/>
  <c r="H50" i="61"/>
  <c r="G50" i="61"/>
  <c r="F50" i="61"/>
  <c r="E50" i="61"/>
  <c r="D50" i="61"/>
  <c r="C50" i="61"/>
  <c r="B50" i="61"/>
  <c r="AO49" i="61"/>
  <c r="AL49" i="61"/>
  <c r="AK49" i="61"/>
  <c r="AF49" i="61"/>
  <c r="AH49" i="61" s="1"/>
  <c r="X49" i="61"/>
  <c r="AM49" i="61" s="1"/>
  <c r="S49" i="61"/>
  <c r="I49" i="61"/>
  <c r="H49" i="61"/>
  <c r="G49" i="61"/>
  <c r="F49" i="61"/>
  <c r="E49" i="61"/>
  <c r="D49" i="61"/>
  <c r="C49" i="61"/>
  <c r="B49" i="61"/>
  <c r="AO48" i="61"/>
  <c r="AL48" i="61"/>
  <c r="AK48" i="61"/>
  <c r="AM48" i="61" s="1"/>
  <c r="AF48" i="61"/>
  <c r="AH48" i="61" s="1"/>
  <c r="X48" i="61"/>
  <c r="U48" i="61"/>
  <c r="S48" i="61"/>
  <c r="I48" i="61"/>
  <c r="H48" i="61"/>
  <c r="G48" i="61"/>
  <c r="F48" i="61"/>
  <c r="E48" i="61"/>
  <c r="D48" i="61"/>
  <c r="C48" i="61"/>
  <c r="B48" i="61"/>
  <c r="AO47" i="61"/>
  <c r="AL47" i="61"/>
  <c r="AK47" i="61"/>
  <c r="AH47" i="61"/>
  <c r="AF47" i="61"/>
  <c r="X47" i="61"/>
  <c r="AM47" i="61" s="1"/>
  <c r="S47" i="61"/>
  <c r="I47" i="61"/>
  <c r="H47" i="61"/>
  <c r="G47" i="61"/>
  <c r="F47" i="61"/>
  <c r="E47" i="61"/>
  <c r="D47" i="61"/>
  <c r="C47" i="61"/>
  <c r="B47" i="61"/>
  <c r="AO46" i="61"/>
  <c r="AL46" i="61"/>
  <c r="AK46" i="61"/>
  <c r="AH46" i="61"/>
  <c r="AF46" i="61"/>
  <c r="X46" i="61"/>
  <c r="AM46" i="61" s="1"/>
  <c r="S46" i="61"/>
  <c r="I46" i="61"/>
  <c r="H46" i="61"/>
  <c r="G46" i="61"/>
  <c r="F46" i="61"/>
  <c r="E46" i="61"/>
  <c r="D46" i="61"/>
  <c r="C46" i="61"/>
  <c r="B46" i="61"/>
  <c r="AO45" i="61"/>
  <c r="AL45" i="61"/>
  <c r="AK45" i="61"/>
  <c r="AH45" i="61"/>
  <c r="AF45" i="61"/>
  <c r="X45" i="61"/>
  <c r="S45" i="61"/>
  <c r="U45" i="61" s="1"/>
  <c r="I45" i="61"/>
  <c r="H45" i="61"/>
  <c r="G45" i="61"/>
  <c r="F45" i="61"/>
  <c r="E45" i="61"/>
  <c r="D45" i="61"/>
  <c r="C45" i="61"/>
  <c r="B45" i="61"/>
  <c r="AO44" i="61"/>
  <c r="AL44" i="61"/>
  <c r="AK44" i="61"/>
  <c r="AF44" i="61"/>
  <c r="AH44" i="61" s="1"/>
  <c r="X44" i="61"/>
  <c r="AM44" i="61" s="1"/>
  <c r="S44" i="61"/>
  <c r="U44" i="61" s="1"/>
  <c r="I44" i="61"/>
  <c r="H44" i="61"/>
  <c r="G44" i="61"/>
  <c r="F44" i="61"/>
  <c r="E44" i="61"/>
  <c r="D44" i="61"/>
  <c r="C44" i="61"/>
  <c r="B44" i="61"/>
  <c r="AO43" i="61"/>
  <c r="AL43" i="61"/>
  <c r="AK43" i="61"/>
  <c r="AF43" i="61"/>
  <c r="AH43" i="61" s="1"/>
  <c r="X43" i="61"/>
  <c r="S43" i="61"/>
  <c r="U43" i="61" s="1"/>
  <c r="I43" i="61"/>
  <c r="H43" i="61"/>
  <c r="G43" i="61"/>
  <c r="F43" i="61"/>
  <c r="E43" i="61"/>
  <c r="D43" i="61"/>
  <c r="C43" i="61"/>
  <c r="B43" i="61"/>
  <c r="AO42" i="61"/>
  <c r="AL42" i="61"/>
  <c r="AK42" i="61"/>
  <c r="AF42" i="61"/>
  <c r="AH42" i="61" s="1"/>
  <c r="X42" i="61"/>
  <c r="AM42" i="61" s="1"/>
  <c r="S42" i="61"/>
  <c r="U42" i="61" s="1"/>
  <c r="I42" i="61"/>
  <c r="H42" i="61"/>
  <c r="G42" i="61"/>
  <c r="F42" i="61"/>
  <c r="E42" i="61"/>
  <c r="D42" i="61"/>
  <c r="C42" i="61"/>
  <c r="B42" i="61"/>
  <c r="AO41" i="61"/>
  <c r="AL41" i="61"/>
  <c r="AK41" i="61"/>
  <c r="AF41" i="61"/>
  <c r="AH41" i="61" s="1"/>
  <c r="X41" i="61"/>
  <c r="AM41" i="61" s="1"/>
  <c r="S41" i="61"/>
  <c r="I41" i="61"/>
  <c r="H41" i="61"/>
  <c r="G41" i="61"/>
  <c r="F41" i="61"/>
  <c r="E41" i="61"/>
  <c r="D41" i="61"/>
  <c r="C41" i="61"/>
  <c r="B41" i="61"/>
  <c r="AO40" i="61"/>
  <c r="AL40" i="61"/>
  <c r="AK40" i="61"/>
  <c r="AF40" i="61"/>
  <c r="AH40" i="61" s="1"/>
  <c r="X40" i="61"/>
  <c r="AM40" i="61" s="1"/>
  <c r="U40" i="61"/>
  <c r="S40" i="61"/>
  <c r="I40" i="61"/>
  <c r="H40" i="61"/>
  <c r="G40" i="61"/>
  <c r="F40" i="61"/>
  <c r="E40" i="61"/>
  <c r="D40" i="61"/>
  <c r="C40" i="61"/>
  <c r="B40" i="61"/>
  <c r="AO39" i="61"/>
  <c r="AL39" i="61"/>
  <c r="AK39" i="61"/>
  <c r="AF39" i="61"/>
  <c r="AH39" i="61" s="1"/>
  <c r="X39" i="61"/>
  <c r="AM39" i="61" s="1"/>
  <c r="S39" i="61"/>
  <c r="I39" i="61"/>
  <c r="H39" i="61"/>
  <c r="G39" i="61"/>
  <c r="F39" i="61"/>
  <c r="E39" i="61"/>
  <c r="D39" i="61"/>
  <c r="C39" i="61"/>
  <c r="B39" i="61"/>
  <c r="AO38" i="61"/>
  <c r="AL38" i="61"/>
  <c r="AK38" i="61"/>
  <c r="AF38" i="61"/>
  <c r="AH38" i="61" s="1"/>
  <c r="X38" i="61"/>
  <c r="AM38" i="61" s="1"/>
  <c r="S38" i="61"/>
  <c r="I38" i="61"/>
  <c r="H38" i="61"/>
  <c r="G38" i="61"/>
  <c r="F38" i="61"/>
  <c r="E38" i="61"/>
  <c r="D38" i="61"/>
  <c r="C38" i="61"/>
  <c r="B38" i="61"/>
  <c r="AO37" i="61"/>
  <c r="AL37" i="61"/>
  <c r="AK37" i="61"/>
  <c r="AM37" i="61" s="1"/>
  <c r="AH37" i="61"/>
  <c r="AF37" i="61"/>
  <c r="X37" i="61"/>
  <c r="S37" i="61"/>
  <c r="U37" i="61" s="1"/>
  <c r="I37" i="61"/>
  <c r="H37" i="61"/>
  <c r="G37" i="61"/>
  <c r="F37" i="61"/>
  <c r="E37" i="61"/>
  <c r="D37" i="61"/>
  <c r="C37" i="61"/>
  <c r="B37" i="61"/>
  <c r="AO36" i="61"/>
  <c r="AL36" i="61"/>
  <c r="AK36" i="61"/>
  <c r="AF36" i="61"/>
  <c r="AH36" i="61" s="1"/>
  <c r="X36" i="61"/>
  <c r="AM36" i="61" s="1"/>
  <c r="S36" i="61"/>
  <c r="U36" i="61" s="1"/>
  <c r="I36" i="61"/>
  <c r="H36" i="61"/>
  <c r="G36" i="61"/>
  <c r="F36" i="61"/>
  <c r="E36" i="61"/>
  <c r="D36" i="61"/>
  <c r="C36" i="61"/>
  <c r="B36" i="61"/>
  <c r="AO35" i="61"/>
  <c r="AL35" i="61"/>
  <c r="AK35" i="61"/>
  <c r="AF35" i="61"/>
  <c r="AH35" i="61" s="1"/>
  <c r="X35" i="61"/>
  <c r="S35" i="61"/>
  <c r="I35" i="61"/>
  <c r="H35" i="61"/>
  <c r="G35" i="61"/>
  <c r="F35" i="61"/>
  <c r="E35" i="61"/>
  <c r="D35" i="61"/>
  <c r="C35" i="61"/>
  <c r="B35" i="61"/>
  <c r="AO34" i="61"/>
  <c r="AL34" i="61"/>
  <c r="AK34" i="61"/>
  <c r="AH34" i="61"/>
  <c r="AF34" i="61"/>
  <c r="X34" i="61"/>
  <c r="S34" i="61"/>
  <c r="U34" i="61" s="1"/>
  <c r="I34" i="61"/>
  <c r="H34" i="61"/>
  <c r="G34" i="61"/>
  <c r="F34" i="61"/>
  <c r="E34" i="61"/>
  <c r="D34" i="61"/>
  <c r="C34" i="61"/>
  <c r="B34" i="61"/>
  <c r="AO33" i="61"/>
  <c r="AL33" i="61"/>
  <c r="AK33" i="61"/>
  <c r="AF33" i="61"/>
  <c r="AH33" i="61" s="1"/>
  <c r="X33" i="61"/>
  <c r="AM33" i="61" s="1"/>
  <c r="S33" i="61"/>
  <c r="I33" i="61"/>
  <c r="H33" i="61"/>
  <c r="G33" i="61"/>
  <c r="F33" i="61"/>
  <c r="E33" i="61"/>
  <c r="D33" i="61"/>
  <c r="C33" i="61"/>
  <c r="B33" i="61"/>
  <c r="AO32" i="61"/>
  <c r="AM32" i="61"/>
  <c r="AL32" i="61"/>
  <c r="AK32" i="61"/>
  <c r="AF32" i="61"/>
  <c r="AH32" i="61" s="1"/>
  <c r="X32" i="61"/>
  <c r="S32" i="61"/>
  <c r="I32" i="61"/>
  <c r="H32" i="61"/>
  <c r="G32" i="61"/>
  <c r="F32" i="61"/>
  <c r="E32" i="61"/>
  <c r="D32" i="61"/>
  <c r="C32" i="61"/>
  <c r="B32" i="61"/>
  <c r="AO31" i="61"/>
  <c r="AL31" i="61"/>
  <c r="AK31" i="61"/>
  <c r="AH31" i="61"/>
  <c r="AF31" i="61"/>
  <c r="X31" i="61"/>
  <c r="AM31" i="61" s="1"/>
  <c r="S31" i="61"/>
  <c r="I31" i="61"/>
  <c r="H31" i="61"/>
  <c r="G31" i="61"/>
  <c r="F31" i="61"/>
  <c r="E31" i="61"/>
  <c r="D31" i="61"/>
  <c r="C31" i="61"/>
  <c r="B31" i="61"/>
  <c r="AO30" i="61"/>
  <c r="AL30" i="61"/>
  <c r="AK30" i="61"/>
  <c r="AH30" i="61"/>
  <c r="AF30" i="61"/>
  <c r="X30" i="61"/>
  <c r="S30" i="61"/>
  <c r="I30" i="61"/>
  <c r="H30" i="61"/>
  <c r="G30" i="61"/>
  <c r="F30" i="61"/>
  <c r="E30" i="61"/>
  <c r="D30" i="61"/>
  <c r="C30" i="61"/>
  <c r="B30" i="61"/>
  <c r="AO29" i="61"/>
  <c r="AL29" i="61"/>
  <c r="AK29" i="61"/>
  <c r="AM29" i="61" s="1"/>
  <c r="AH29" i="61"/>
  <c r="AF29" i="61"/>
  <c r="X29" i="61"/>
  <c r="S29" i="61"/>
  <c r="U29" i="61" s="1"/>
  <c r="I29" i="61"/>
  <c r="H29" i="61"/>
  <c r="G29" i="61"/>
  <c r="F29" i="61"/>
  <c r="E29" i="61"/>
  <c r="D29" i="61"/>
  <c r="C29" i="61"/>
  <c r="B29" i="61"/>
  <c r="AO28" i="61"/>
  <c r="AL28" i="61"/>
  <c r="AK28" i="61"/>
  <c r="AF28" i="61"/>
  <c r="AH28" i="61" s="1"/>
  <c r="X28" i="61"/>
  <c r="AM28" i="61" s="1"/>
  <c r="S28" i="61"/>
  <c r="U28" i="61" s="1"/>
  <c r="I28" i="61"/>
  <c r="H28" i="61"/>
  <c r="G28" i="61"/>
  <c r="F28" i="61"/>
  <c r="E28" i="61"/>
  <c r="D28" i="61"/>
  <c r="C28" i="61"/>
  <c r="B28" i="61"/>
  <c r="AO27" i="61"/>
  <c r="AL27" i="61"/>
  <c r="AK27" i="61"/>
  <c r="AF27" i="61"/>
  <c r="AH27" i="61" s="1"/>
  <c r="X27" i="61"/>
  <c r="S27" i="61"/>
  <c r="U27" i="61" s="1"/>
  <c r="I27" i="61"/>
  <c r="H27" i="61"/>
  <c r="G27" i="61"/>
  <c r="F27" i="61"/>
  <c r="E27" i="61"/>
  <c r="D27" i="61"/>
  <c r="C27" i="61"/>
  <c r="B27" i="61"/>
  <c r="AO26" i="61"/>
  <c r="AL26" i="61"/>
  <c r="AK26" i="61"/>
  <c r="AF26" i="61"/>
  <c r="AH26" i="61" s="1"/>
  <c r="X26" i="61"/>
  <c r="S26" i="61"/>
  <c r="U26" i="61" s="1"/>
  <c r="I26" i="61"/>
  <c r="H26" i="61"/>
  <c r="G26" i="61"/>
  <c r="F26" i="61"/>
  <c r="E26" i="61"/>
  <c r="D26" i="61"/>
  <c r="C26" i="61"/>
  <c r="B26" i="61"/>
  <c r="AO25" i="61"/>
  <c r="AL25" i="61"/>
  <c r="AK25" i="61"/>
  <c r="AF25" i="61"/>
  <c r="AH25" i="61" s="1"/>
  <c r="X25" i="61"/>
  <c r="S25" i="61"/>
  <c r="I25" i="61"/>
  <c r="H25" i="61"/>
  <c r="G25" i="61"/>
  <c r="F25" i="61"/>
  <c r="E25" i="61"/>
  <c r="D25" i="61"/>
  <c r="C25" i="61"/>
  <c r="B25" i="61"/>
  <c r="AO24" i="61"/>
  <c r="AL24" i="61"/>
  <c r="AK24" i="61"/>
  <c r="AF24" i="61"/>
  <c r="AH24" i="61" s="1"/>
  <c r="X24" i="61"/>
  <c r="AM24" i="61" s="1"/>
  <c r="U24" i="61"/>
  <c r="S24" i="61"/>
  <c r="I24" i="61"/>
  <c r="H24" i="61"/>
  <c r="G24" i="61"/>
  <c r="F24" i="61"/>
  <c r="E24" i="61"/>
  <c r="D24" i="61"/>
  <c r="C24" i="61"/>
  <c r="B24" i="61"/>
  <c r="AO23" i="61"/>
  <c r="AL23" i="61"/>
  <c r="AK23" i="61"/>
  <c r="AF23" i="61"/>
  <c r="AH23" i="61" s="1"/>
  <c r="X23" i="61"/>
  <c r="AM23" i="61" s="1"/>
  <c r="S23" i="61"/>
  <c r="I23" i="61"/>
  <c r="H23" i="61"/>
  <c r="G23" i="61"/>
  <c r="F23" i="61"/>
  <c r="E23" i="61"/>
  <c r="D23" i="61"/>
  <c r="C23" i="61"/>
  <c r="B23" i="61"/>
  <c r="AO22" i="61"/>
  <c r="AL22" i="61"/>
  <c r="AK22" i="61"/>
  <c r="AF22" i="61"/>
  <c r="AH22" i="61" s="1"/>
  <c r="X22" i="61"/>
  <c r="AM22" i="61" s="1"/>
  <c r="S22" i="61"/>
  <c r="U22" i="61" s="1"/>
  <c r="I22" i="61"/>
  <c r="H22" i="61"/>
  <c r="G22" i="61"/>
  <c r="F22" i="61"/>
  <c r="E22" i="61"/>
  <c r="D22" i="61"/>
  <c r="C22" i="61"/>
  <c r="B22" i="61"/>
  <c r="AO21" i="61"/>
  <c r="AL21" i="61"/>
  <c r="AK21" i="61"/>
  <c r="AF21" i="61"/>
  <c r="AH21" i="61" s="1"/>
  <c r="X21" i="61"/>
  <c r="S21" i="61"/>
  <c r="U21" i="61" s="1"/>
  <c r="I21" i="61"/>
  <c r="H21" i="61"/>
  <c r="G21" i="61"/>
  <c r="F21" i="61"/>
  <c r="E21" i="61"/>
  <c r="D21" i="61"/>
  <c r="C21" i="61"/>
  <c r="B21" i="61"/>
  <c r="AO20" i="61"/>
  <c r="AL20" i="61"/>
  <c r="AK20" i="61"/>
  <c r="AF20" i="61"/>
  <c r="AH20" i="61" s="1"/>
  <c r="X20" i="61"/>
  <c r="S20" i="61"/>
  <c r="U20" i="61" s="1"/>
  <c r="I20" i="61"/>
  <c r="H20" i="61"/>
  <c r="G20" i="61"/>
  <c r="F20" i="61"/>
  <c r="E20" i="61"/>
  <c r="D20" i="61"/>
  <c r="C20" i="61"/>
  <c r="B20" i="61"/>
  <c r="AO19" i="61"/>
  <c r="AL19" i="61"/>
  <c r="AK19" i="61"/>
  <c r="AF19" i="61"/>
  <c r="AH19" i="61" s="1"/>
  <c r="X19" i="61"/>
  <c r="S19" i="61"/>
  <c r="U19" i="61" s="1"/>
  <c r="I19" i="61"/>
  <c r="H19" i="61"/>
  <c r="G19" i="61"/>
  <c r="F19" i="61"/>
  <c r="E19" i="61"/>
  <c r="D19" i="61"/>
  <c r="C19" i="61"/>
  <c r="B19" i="61"/>
  <c r="AO18" i="61"/>
  <c r="AL18" i="61"/>
  <c r="AK18" i="61"/>
  <c r="AF18" i="61"/>
  <c r="AH18" i="61" s="1"/>
  <c r="X18" i="61"/>
  <c r="S18" i="61"/>
  <c r="U18" i="61" s="1"/>
  <c r="I18" i="61"/>
  <c r="H18" i="61"/>
  <c r="G18" i="61"/>
  <c r="F18" i="61"/>
  <c r="E18" i="61"/>
  <c r="D18" i="61"/>
  <c r="C18" i="61"/>
  <c r="B18" i="61"/>
  <c r="AO17" i="61"/>
  <c r="AL17" i="61"/>
  <c r="AK17" i="61"/>
  <c r="AF17" i="61"/>
  <c r="AH17" i="61" s="1"/>
  <c r="X17" i="61"/>
  <c r="S17" i="61"/>
  <c r="U17" i="61" s="1"/>
  <c r="I17" i="61"/>
  <c r="H17" i="61"/>
  <c r="G17" i="61"/>
  <c r="F17" i="61"/>
  <c r="E17" i="61"/>
  <c r="D17" i="61"/>
  <c r="C17" i="61"/>
  <c r="B17" i="61"/>
  <c r="AO16" i="61"/>
  <c r="AL16" i="61"/>
  <c r="AK16" i="61"/>
  <c r="AF16" i="61"/>
  <c r="AH16" i="61" s="1"/>
  <c r="X16" i="61"/>
  <c r="S16" i="61"/>
  <c r="I16" i="61"/>
  <c r="H16" i="61"/>
  <c r="G16" i="61"/>
  <c r="F16" i="61"/>
  <c r="E16" i="61"/>
  <c r="D16" i="61"/>
  <c r="C16" i="61"/>
  <c r="B16" i="61"/>
  <c r="AO15" i="61"/>
  <c r="AL15" i="61"/>
  <c r="AK15" i="61"/>
  <c r="AF15" i="61"/>
  <c r="AH15" i="61" s="1"/>
  <c r="X15" i="61"/>
  <c r="AM15" i="61" s="1"/>
  <c r="S15" i="61"/>
  <c r="I15" i="61"/>
  <c r="H15" i="61"/>
  <c r="G15" i="61"/>
  <c r="F15" i="61"/>
  <c r="E15" i="61"/>
  <c r="D15" i="61"/>
  <c r="C15" i="61"/>
  <c r="B15" i="61"/>
  <c r="AO14" i="61"/>
  <c r="AL14" i="61"/>
  <c r="AK14" i="61"/>
  <c r="AF14" i="61"/>
  <c r="AH14" i="61" s="1"/>
  <c r="X14" i="61"/>
  <c r="S14" i="61"/>
  <c r="I14" i="61"/>
  <c r="H14" i="61"/>
  <c r="G14" i="61"/>
  <c r="F14" i="61"/>
  <c r="E14" i="61"/>
  <c r="D14" i="61"/>
  <c r="C14" i="61"/>
  <c r="B14" i="61"/>
  <c r="AO13" i="61"/>
  <c r="AL13" i="61"/>
  <c r="AK13" i="61"/>
  <c r="AM13" i="61" s="1"/>
  <c r="AH13" i="61"/>
  <c r="AF13" i="61"/>
  <c r="X13" i="61"/>
  <c r="S13" i="61"/>
  <c r="U13" i="61" s="1"/>
  <c r="I13" i="61"/>
  <c r="H13" i="61"/>
  <c r="G13" i="61"/>
  <c r="F13" i="61"/>
  <c r="E13" i="61"/>
  <c r="D13" i="61"/>
  <c r="C13" i="61"/>
  <c r="B13" i="61"/>
  <c r="AO12" i="61"/>
  <c r="AL12" i="61"/>
  <c r="AK12" i="61"/>
  <c r="AF12" i="61"/>
  <c r="AH12" i="61" s="1"/>
  <c r="X12" i="61"/>
  <c r="AM12" i="61" s="1"/>
  <c r="S12" i="61"/>
  <c r="U12" i="61" s="1"/>
  <c r="I12" i="61"/>
  <c r="H12" i="61"/>
  <c r="G12" i="61"/>
  <c r="F12" i="61"/>
  <c r="E12" i="61"/>
  <c r="D12" i="61"/>
  <c r="C12" i="61"/>
  <c r="B12" i="61"/>
  <c r="AO11" i="61"/>
  <c r="AL11" i="61"/>
  <c r="AK11" i="61"/>
  <c r="AF11" i="61"/>
  <c r="AH11" i="61" s="1"/>
  <c r="X11" i="61"/>
  <c r="S11" i="61"/>
  <c r="U11" i="61" s="1"/>
  <c r="I11" i="61"/>
  <c r="H11" i="61"/>
  <c r="G11" i="61"/>
  <c r="F11" i="61"/>
  <c r="E11" i="61"/>
  <c r="D11" i="61"/>
  <c r="C11" i="61"/>
  <c r="B11" i="61"/>
  <c r="AO10" i="61"/>
  <c r="AL10" i="61"/>
  <c r="AK10" i="61"/>
  <c r="AF10" i="61"/>
  <c r="AH10" i="61" s="1"/>
  <c r="X10" i="61"/>
  <c r="AM10" i="61" s="1"/>
  <c r="S10" i="61"/>
  <c r="U10" i="61" s="1"/>
  <c r="I10" i="61"/>
  <c r="H10" i="61"/>
  <c r="G10" i="61"/>
  <c r="F10" i="61"/>
  <c r="E10" i="61"/>
  <c r="C10" i="61"/>
  <c r="B10" i="61"/>
  <c r="AO9" i="61"/>
  <c r="AL9" i="61"/>
  <c r="AK9" i="61"/>
  <c r="AM9" i="61" s="1"/>
  <c r="AF9" i="61"/>
  <c r="AH9" i="61" s="1"/>
  <c r="X9" i="61"/>
  <c r="S9" i="61"/>
  <c r="U9" i="61" s="1"/>
  <c r="I9" i="61"/>
  <c r="H9" i="61"/>
  <c r="G9" i="61"/>
  <c r="F9" i="61"/>
  <c r="E9" i="61"/>
  <c r="D9" i="61"/>
  <c r="C9" i="61"/>
  <c r="B9" i="61"/>
  <c r="AO8" i="61"/>
  <c r="AL8" i="61"/>
  <c r="AK8" i="61"/>
  <c r="AF8" i="61"/>
  <c r="AH8" i="61" s="1"/>
  <c r="X8" i="61"/>
  <c r="AM8" i="61" s="1"/>
  <c r="S8" i="61"/>
  <c r="U8" i="61" s="1"/>
  <c r="I8" i="61"/>
  <c r="H8" i="61"/>
  <c r="G8" i="61"/>
  <c r="F8" i="61"/>
  <c r="E8" i="61"/>
  <c r="D8" i="61"/>
  <c r="C8" i="61"/>
  <c r="B8" i="61"/>
  <c r="AO7" i="61"/>
  <c r="AL7" i="61"/>
  <c r="AK7" i="61"/>
  <c r="AF7" i="61"/>
  <c r="AH7" i="61" s="1"/>
  <c r="X7" i="61"/>
  <c r="AM7" i="61" s="1"/>
  <c r="S7" i="61"/>
  <c r="U7" i="61" s="1"/>
  <c r="I7" i="61"/>
  <c r="H7" i="61"/>
  <c r="G7" i="61"/>
  <c r="F7" i="61"/>
  <c r="E7" i="61"/>
  <c r="D7" i="61"/>
  <c r="C7" i="61"/>
  <c r="B7" i="61"/>
  <c r="AO6" i="61"/>
  <c r="AL6" i="61"/>
  <c r="AK6" i="61"/>
  <c r="AF6" i="61"/>
  <c r="X6" i="61"/>
  <c r="S6" i="61"/>
  <c r="U6" i="61" s="1"/>
  <c r="I6" i="61"/>
  <c r="H6" i="61"/>
  <c r="G6" i="61"/>
  <c r="F6" i="61"/>
  <c r="E6" i="61"/>
  <c r="D6" i="61"/>
  <c r="C6" i="61"/>
  <c r="B6" i="61"/>
  <c r="AP69" i="61"/>
  <c r="AB69" i="61"/>
  <c r="N69" i="61"/>
  <c r="H2" i="61"/>
  <c r="E2" i="61"/>
  <c r="C2" i="61"/>
  <c r="AG122" i="20"/>
  <c r="AG121" i="20"/>
  <c r="AG119" i="20"/>
  <c r="AG118" i="20"/>
  <c r="AG117" i="20"/>
  <c r="AG116" i="20"/>
  <c r="AP2" i="60"/>
  <c r="AP69" i="60" s="1"/>
  <c r="AB2" i="60"/>
  <c r="AB69" i="60" s="1"/>
  <c r="N2" i="60"/>
  <c r="N69" i="60" s="1"/>
  <c r="J66" i="60"/>
  <c r="AG163" i="60" s="1"/>
  <c r="J65" i="60"/>
  <c r="AG162" i="60" s="1"/>
  <c r="J64" i="60"/>
  <c r="AG161" i="60" s="1"/>
  <c r="AG120" i="20" s="1"/>
  <c r="J63" i="60"/>
  <c r="AG160" i="60" s="1"/>
  <c r="AQ61" i="60"/>
  <c r="AJ61" i="60"/>
  <c r="AI61" i="60"/>
  <c r="AG61" i="60"/>
  <c r="AE61" i="60"/>
  <c r="AD61" i="60"/>
  <c r="AC61" i="60"/>
  <c r="AB61" i="60"/>
  <c r="AA61" i="60"/>
  <c r="Z61" i="60"/>
  <c r="Y61" i="60"/>
  <c r="W61" i="60"/>
  <c r="V61" i="60"/>
  <c r="T61" i="60"/>
  <c r="R61" i="60"/>
  <c r="Q61" i="60"/>
  <c r="P61" i="60"/>
  <c r="O61" i="60"/>
  <c r="N61" i="60"/>
  <c r="M61" i="60"/>
  <c r="L61" i="60"/>
  <c r="K61" i="60"/>
  <c r="AQ60" i="60"/>
  <c r="AJ60" i="60"/>
  <c r="AI60" i="60"/>
  <c r="AG60" i="60"/>
  <c r="AE60" i="60"/>
  <c r="AD60" i="60"/>
  <c r="AC60" i="60"/>
  <c r="AB60" i="60"/>
  <c r="AA60" i="60"/>
  <c r="Z60" i="60"/>
  <c r="Y60" i="60"/>
  <c r="W60" i="60"/>
  <c r="V60" i="60"/>
  <c r="T60" i="60"/>
  <c r="R60" i="60"/>
  <c r="Q60" i="60"/>
  <c r="P60" i="60"/>
  <c r="O60" i="60"/>
  <c r="N60" i="60"/>
  <c r="M60" i="60"/>
  <c r="L60" i="60"/>
  <c r="K60" i="60"/>
  <c r="AQ59" i="60"/>
  <c r="AJ59" i="60"/>
  <c r="AI59" i="60"/>
  <c r="AG59" i="60"/>
  <c r="AE59" i="60"/>
  <c r="AD59" i="60"/>
  <c r="AC59" i="60"/>
  <c r="AB59" i="60"/>
  <c r="AA59" i="60"/>
  <c r="Z59" i="60"/>
  <c r="Y59" i="60"/>
  <c r="W59" i="60"/>
  <c r="V59" i="60"/>
  <c r="T59" i="60"/>
  <c r="R59" i="60"/>
  <c r="Q59" i="60"/>
  <c r="P59" i="60"/>
  <c r="O59" i="60"/>
  <c r="N59" i="60"/>
  <c r="M59" i="60"/>
  <c r="L59" i="60"/>
  <c r="K59" i="60"/>
  <c r="AQ58" i="60"/>
  <c r="AQ62" i="60" s="1"/>
  <c r="AQ66" i="60" s="1"/>
  <c r="AF163" i="60" s="1"/>
  <c r="AF122" i="20" s="1"/>
  <c r="AJ58" i="60"/>
  <c r="AI58" i="60"/>
  <c r="AG58" i="60"/>
  <c r="AE58" i="60"/>
  <c r="AD58" i="60"/>
  <c r="AC58" i="60"/>
  <c r="AB58" i="60"/>
  <c r="AA58" i="60"/>
  <c r="AA62" i="60" s="1"/>
  <c r="AA66" i="60" s="1"/>
  <c r="Z58" i="60"/>
  <c r="Y58" i="60"/>
  <c r="W58" i="60"/>
  <c r="V58" i="60"/>
  <c r="T58" i="60"/>
  <c r="R58" i="60"/>
  <c r="Q58" i="60"/>
  <c r="P58" i="60"/>
  <c r="P62" i="60" s="1"/>
  <c r="O58" i="60"/>
  <c r="N58" i="60"/>
  <c r="M58" i="60"/>
  <c r="L58" i="60"/>
  <c r="K58" i="60"/>
  <c r="AQ56" i="60"/>
  <c r="AF157" i="60" s="1"/>
  <c r="AF116" i="20" s="1"/>
  <c r="AJ56" i="60"/>
  <c r="W157" i="60" s="1"/>
  <c r="W116" i="20" s="1"/>
  <c r="AI56" i="60"/>
  <c r="V157" i="60" s="1"/>
  <c r="V116" i="20" s="1"/>
  <c r="AG56" i="60"/>
  <c r="Y157" i="60" s="1"/>
  <c r="Y116" i="20" s="1"/>
  <c r="AE56" i="60"/>
  <c r="AD56" i="60"/>
  <c r="AC56" i="60"/>
  <c r="AB56" i="60"/>
  <c r="AA56" i="60"/>
  <c r="Z56" i="60"/>
  <c r="Y56" i="60"/>
  <c r="U157" i="60" s="1"/>
  <c r="U116" i="20" s="1"/>
  <c r="W56" i="60"/>
  <c r="Q157" i="60" s="1"/>
  <c r="Q116" i="20" s="1"/>
  <c r="V56" i="60"/>
  <c r="P157" i="60" s="1"/>
  <c r="P116" i="20" s="1"/>
  <c r="T56" i="60"/>
  <c r="S157" i="60" s="1"/>
  <c r="S116" i="20" s="1"/>
  <c r="R56" i="60"/>
  <c r="Q56" i="60"/>
  <c r="P56" i="60"/>
  <c r="O56" i="60"/>
  <c r="N56" i="60"/>
  <c r="M56" i="60"/>
  <c r="L56" i="60"/>
  <c r="O157" i="60" s="1"/>
  <c r="O116" i="20" s="1"/>
  <c r="K56" i="60"/>
  <c r="N157" i="60" s="1"/>
  <c r="N116" i="20" s="1"/>
  <c r="AO55" i="60"/>
  <c r="AL55" i="60"/>
  <c r="AK55" i="60"/>
  <c r="AF55" i="60"/>
  <c r="AH55" i="60" s="1"/>
  <c r="X55" i="60"/>
  <c r="S55" i="60"/>
  <c r="U55" i="60" s="1"/>
  <c r="I55" i="60"/>
  <c r="H55" i="60"/>
  <c r="G55" i="60"/>
  <c r="F55" i="60"/>
  <c r="E55" i="60"/>
  <c r="D55" i="60"/>
  <c r="C55" i="60"/>
  <c r="B55" i="60"/>
  <c r="AO54" i="60"/>
  <c r="AL54" i="60"/>
  <c r="AK54" i="60"/>
  <c r="AF54" i="60"/>
  <c r="AH54" i="60" s="1"/>
  <c r="X54" i="60"/>
  <c r="AM54" i="60" s="1"/>
  <c r="U54" i="60"/>
  <c r="S54" i="60"/>
  <c r="I54" i="60"/>
  <c r="H54" i="60"/>
  <c r="G54" i="60"/>
  <c r="F54" i="60"/>
  <c r="E54" i="60"/>
  <c r="D54" i="60"/>
  <c r="C54" i="60"/>
  <c r="B54" i="60"/>
  <c r="AO53" i="60"/>
  <c r="AL53" i="60"/>
  <c r="AK53" i="60"/>
  <c r="AF53" i="60"/>
  <c r="AH53" i="60" s="1"/>
  <c r="X53" i="60"/>
  <c r="AM53" i="60" s="1"/>
  <c r="S53" i="60"/>
  <c r="U53" i="60" s="1"/>
  <c r="I53" i="60"/>
  <c r="H53" i="60"/>
  <c r="G53" i="60"/>
  <c r="F53" i="60"/>
  <c r="E53" i="60"/>
  <c r="D53" i="60"/>
  <c r="C53" i="60"/>
  <c r="B53" i="60"/>
  <c r="AO52" i="60"/>
  <c r="AL52" i="60"/>
  <c r="AK52" i="60"/>
  <c r="AF52" i="60"/>
  <c r="AH52" i="60" s="1"/>
  <c r="X52" i="60"/>
  <c r="S52" i="60"/>
  <c r="I52" i="60"/>
  <c r="H52" i="60"/>
  <c r="G52" i="60"/>
  <c r="F52" i="60"/>
  <c r="E52" i="60"/>
  <c r="D52" i="60"/>
  <c r="C52" i="60"/>
  <c r="B52" i="60"/>
  <c r="AO51" i="60"/>
  <c r="AL51" i="60"/>
  <c r="AK51" i="60"/>
  <c r="AH51" i="60"/>
  <c r="AF51" i="60"/>
  <c r="X51" i="60"/>
  <c r="S51" i="60"/>
  <c r="U51" i="60" s="1"/>
  <c r="I51" i="60"/>
  <c r="H51" i="60"/>
  <c r="G51" i="60"/>
  <c r="F51" i="60"/>
  <c r="E51" i="60"/>
  <c r="D51" i="60"/>
  <c r="C51" i="60"/>
  <c r="B51" i="60"/>
  <c r="AO50" i="60"/>
  <c r="AL50" i="60"/>
  <c r="AK50" i="60"/>
  <c r="AF50" i="60"/>
  <c r="AH50" i="60" s="1"/>
  <c r="X50" i="60"/>
  <c r="AM50" i="60" s="1"/>
  <c r="S50" i="60"/>
  <c r="U50" i="60" s="1"/>
  <c r="I50" i="60"/>
  <c r="H50" i="60"/>
  <c r="G50" i="60"/>
  <c r="F50" i="60"/>
  <c r="E50" i="60"/>
  <c r="D50" i="60"/>
  <c r="C50" i="60"/>
  <c r="B50" i="60"/>
  <c r="AO49" i="60"/>
  <c r="AL49" i="60"/>
  <c r="AK49" i="60"/>
  <c r="AF49" i="60"/>
  <c r="AH49" i="60" s="1"/>
  <c r="X49" i="60"/>
  <c r="AM49" i="60" s="1"/>
  <c r="S49" i="60"/>
  <c r="AN49" i="60" s="1"/>
  <c r="AP49" i="60" s="1"/>
  <c r="I49" i="60"/>
  <c r="H49" i="60"/>
  <c r="G49" i="60"/>
  <c r="F49" i="60"/>
  <c r="E49" i="60"/>
  <c r="D49" i="60"/>
  <c r="C49" i="60"/>
  <c r="B49" i="60"/>
  <c r="AO48" i="60"/>
  <c r="AL48" i="60"/>
  <c r="AK48" i="60"/>
  <c r="AM48" i="60" s="1"/>
  <c r="AF48" i="60"/>
  <c r="AH48" i="60" s="1"/>
  <c r="X48" i="60"/>
  <c r="S48" i="60"/>
  <c r="I48" i="60"/>
  <c r="H48" i="60"/>
  <c r="G48" i="60"/>
  <c r="F48" i="60"/>
  <c r="E48" i="60"/>
  <c r="D48" i="60"/>
  <c r="C48" i="60"/>
  <c r="B48" i="60"/>
  <c r="AO47" i="60"/>
  <c r="AL47" i="60"/>
  <c r="AK47" i="60"/>
  <c r="AH47" i="60"/>
  <c r="AF47" i="60"/>
  <c r="X47" i="60"/>
  <c r="S47" i="60"/>
  <c r="U47" i="60" s="1"/>
  <c r="I47" i="60"/>
  <c r="H47" i="60"/>
  <c r="G47" i="60"/>
  <c r="F47" i="60"/>
  <c r="E47" i="60"/>
  <c r="D47" i="60"/>
  <c r="C47" i="60"/>
  <c r="B47" i="60"/>
  <c r="AO46" i="60"/>
  <c r="AL46" i="60"/>
  <c r="AK46" i="60"/>
  <c r="AF46" i="60"/>
  <c r="AH46" i="60" s="1"/>
  <c r="X46" i="60"/>
  <c r="S46" i="60"/>
  <c r="I46" i="60"/>
  <c r="H46" i="60"/>
  <c r="G46" i="60"/>
  <c r="F46" i="60"/>
  <c r="E46" i="60"/>
  <c r="D46" i="60"/>
  <c r="C46" i="60"/>
  <c r="B46" i="60"/>
  <c r="AO45" i="60"/>
  <c r="AM45" i="60"/>
  <c r="AL45" i="60"/>
  <c r="AK45" i="60"/>
  <c r="AF45" i="60"/>
  <c r="AH45" i="60" s="1"/>
  <c r="X45" i="60"/>
  <c r="S45" i="60"/>
  <c r="U45" i="60" s="1"/>
  <c r="I45" i="60"/>
  <c r="H45" i="60"/>
  <c r="G45" i="60"/>
  <c r="F45" i="60"/>
  <c r="E45" i="60"/>
  <c r="D45" i="60"/>
  <c r="C45" i="60"/>
  <c r="B45" i="60"/>
  <c r="AO44" i="60"/>
  <c r="AL44" i="60"/>
  <c r="AK44" i="60"/>
  <c r="AF44" i="60"/>
  <c r="AH44" i="60" s="1"/>
  <c r="X44" i="60"/>
  <c r="AM44" i="60" s="1"/>
  <c r="U44" i="60"/>
  <c r="S44" i="60"/>
  <c r="I44" i="60"/>
  <c r="H44" i="60"/>
  <c r="G44" i="60"/>
  <c r="F44" i="60"/>
  <c r="E44" i="60"/>
  <c r="D44" i="60"/>
  <c r="C44" i="60"/>
  <c r="B44" i="60"/>
  <c r="AO43" i="60"/>
  <c r="AL43" i="60"/>
  <c r="AK43" i="60"/>
  <c r="AF43" i="60"/>
  <c r="AH43" i="60" s="1"/>
  <c r="X43" i="60"/>
  <c r="S43" i="60"/>
  <c r="U43" i="60" s="1"/>
  <c r="I43" i="60"/>
  <c r="H43" i="60"/>
  <c r="G43" i="60"/>
  <c r="F43" i="60"/>
  <c r="E43" i="60"/>
  <c r="D43" i="60"/>
  <c r="C43" i="60"/>
  <c r="B43" i="60"/>
  <c r="AO42" i="60"/>
  <c r="AL42" i="60"/>
  <c r="AK42" i="60"/>
  <c r="AF42" i="60"/>
  <c r="AH42" i="60" s="1"/>
  <c r="X42" i="60"/>
  <c r="AM42" i="60" s="1"/>
  <c r="S42" i="60"/>
  <c r="U42" i="60" s="1"/>
  <c r="I42" i="60"/>
  <c r="H42" i="60"/>
  <c r="G42" i="60"/>
  <c r="F42" i="60"/>
  <c r="E42" i="60"/>
  <c r="D42" i="60"/>
  <c r="C42" i="60"/>
  <c r="B42" i="60"/>
  <c r="AO41" i="60"/>
  <c r="AL41" i="60"/>
  <c r="AK41" i="60"/>
  <c r="AF41" i="60"/>
  <c r="AH41" i="60" s="1"/>
  <c r="X41" i="60"/>
  <c r="AM41" i="60" s="1"/>
  <c r="S41" i="60"/>
  <c r="I41" i="60"/>
  <c r="H41" i="60"/>
  <c r="G41" i="60"/>
  <c r="F41" i="60"/>
  <c r="E41" i="60"/>
  <c r="D41" i="60"/>
  <c r="C41" i="60"/>
  <c r="B41" i="60"/>
  <c r="AO40" i="60"/>
  <c r="AL40" i="60"/>
  <c r="AK40" i="60"/>
  <c r="AM40" i="60" s="1"/>
  <c r="AF40" i="60"/>
  <c r="AH40" i="60" s="1"/>
  <c r="X40" i="60"/>
  <c r="S40" i="60"/>
  <c r="I40" i="60"/>
  <c r="H40" i="60"/>
  <c r="G40" i="60"/>
  <c r="F40" i="60"/>
  <c r="E40" i="60"/>
  <c r="D40" i="60"/>
  <c r="C40" i="60"/>
  <c r="B40" i="60"/>
  <c r="AO39" i="60"/>
  <c r="AL39" i="60"/>
  <c r="AK39" i="60"/>
  <c r="AH39" i="60"/>
  <c r="AF39" i="60"/>
  <c r="X39" i="60"/>
  <c r="S39" i="60"/>
  <c r="U39" i="60" s="1"/>
  <c r="I39" i="60"/>
  <c r="H39" i="60"/>
  <c r="G39" i="60"/>
  <c r="F39" i="60"/>
  <c r="E39" i="60"/>
  <c r="D39" i="60"/>
  <c r="C39" i="60"/>
  <c r="B39" i="60"/>
  <c r="AO38" i="60"/>
  <c r="AL38" i="60"/>
  <c r="AK38" i="60"/>
  <c r="AF38" i="60"/>
  <c r="AH38" i="60" s="1"/>
  <c r="X38" i="60"/>
  <c r="S38" i="60"/>
  <c r="I38" i="60"/>
  <c r="H38" i="60"/>
  <c r="G38" i="60"/>
  <c r="F38" i="60"/>
  <c r="E38" i="60"/>
  <c r="D38" i="60"/>
  <c r="C38" i="60"/>
  <c r="B38" i="60"/>
  <c r="AO37" i="60"/>
  <c r="AL37" i="60"/>
  <c r="AK37" i="60"/>
  <c r="AF37" i="60"/>
  <c r="AH37" i="60" s="1"/>
  <c r="X37" i="60"/>
  <c r="AM37" i="60" s="1"/>
  <c r="S37" i="60"/>
  <c r="U37" i="60" s="1"/>
  <c r="I37" i="60"/>
  <c r="H37" i="60"/>
  <c r="G37" i="60"/>
  <c r="F37" i="60"/>
  <c r="E37" i="60"/>
  <c r="D37" i="60"/>
  <c r="C37" i="60"/>
  <c r="B37" i="60"/>
  <c r="AO36" i="60"/>
  <c r="AL36" i="60"/>
  <c r="AK36" i="60"/>
  <c r="AF36" i="60"/>
  <c r="AH36" i="60" s="1"/>
  <c r="X36" i="60"/>
  <c r="AM36" i="60" s="1"/>
  <c r="U36" i="60"/>
  <c r="S36" i="60"/>
  <c r="I36" i="60"/>
  <c r="H36" i="60"/>
  <c r="G36" i="60"/>
  <c r="F36" i="60"/>
  <c r="E36" i="60"/>
  <c r="D36" i="60"/>
  <c r="C36" i="60"/>
  <c r="B36" i="60"/>
  <c r="AO35" i="60"/>
  <c r="AL35" i="60"/>
  <c r="AK35" i="60"/>
  <c r="AF35" i="60"/>
  <c r="AH35" i="60" s="1"/>
  <c r="X35" i="60"/>
  <c r="S35" i="60"/>
  <c r="U35" i="60" s="1"/>
  <c r="I35" i="60"/>
  <c r="H35" i="60"/>
  <c r="G35" i="60"/>
  <c r="F35" i="60"/>
  <c r="E35" i="60"/>
  <c r="D35" i="60"/>
  <c r="C35" i="60"/>
  <c r="B35" i="60"/>
  <c r="AO34" i="60"/>
  <c r="AL34" i="60"/>
  <c r="AK34" i="60"/>
  <c r="AF34" i="60"/>
  <c r="AH34" i="60" s="1"/>
  <c r="X34" i="60"/>
  <c r="S34" i="60"/>
  <c r="I34" i="60"/>
  <c r="H34" i="60"/>
  <c r="G34" i="60"/>
  <c r="F34" i="60"/>
  <c r="E34" i="60"/>
  <c r="D34" i="60"/>
  <c r="C34" i="60"/>
  <c r="B34" i="60"/>
  <c r="AO33" i="60"/>
  <c r="AL33" i="60"/>
  <c r="AK33" i="60"/>
  <c r="AH33" i="60"/>
  <c r="AF33" i="60"/>
  <c r="X33" i="60"/>
  <c r="S33" i="60"/>
  <c r="AN33" i="60" s="1"/>
  <c r="AP33" i="60" s="1"/>
  <c r="I33" i="60"/>
  <c r="H33" i="60"/>
  <c r="G33" i="60"/>
  <c r="F33" i="60"/>
  <c r="E33" i="60"/>
  <c r="D33" i="60"/>
  <c r="C33" i="60"/>
  <c r="B33" i="60"/>
  <c r="AO32" i="60"/>
  <c r="AL32" i="60"/>
  <c r="AK32" i="60"/>
  <c r="AF32" i="60"/>
  <c r="AH32" i="60" s="1"/>
  <c r="X32" i="60"/>
  <c r="S32" i="60"/>
  <c r="I32" i="60"/>
  <c r="H32" i="60"/>
  <c r="G32" i="60"/>
  <c r="F32" i="60"/>
  <c r="E32" i="60"/>
  <c r="D32" i="60"/>
  <c r="C32" i="60"/>
  <c r="B32" i="60"/>
  <c r="AO31" i="60"/>
  <c r="AL31" i="60"/>
  <c r="AK31" i="60"/>
  <c r="AF31" i="60"/>
  <c r="AH31" i="60" s="1"/>
  <c r="X31" i="60"/>
  <c r="AM31" i="60" s="1"/>
  <c r="S31" i="60"/>
  <c r="U31" i="60" s="1"/>
  <c r="I31" i="60"/>
  <c r="H31" i="60"/>
  <c r="G31" i="60"/>
  <c r="F31" i="60"/>
  <c r="E31" i="60"/>
  <c r="D31" i="60"/>
  <c r="C31" i="60"/>
  <c r="B31" i="60"/>
  <c r="AO30" i="60"/>
  <c r="AL30" i="60"/>
  <c r="AK30" i="60"/>
  <c r="AM30" i="60" s="1"/>
  <c r="AF30" i="60"/>
  <c r="AH30" i="60" s="1"/>
  <c r="X30" i="60"/>
  <c r="S30" i="60"/>
  <c r="U30" i="60" s="1"/>
  <c r="I30" i="60"/>
  <c r="H30" i="60"/>
  <c r="G30" i="60"/>
  <c r="F30" i="60"/>
  <c r="E30" i="60"/>
  <c r="D30" i="60"/>
  <c r="C30" i="60"/>
  <c r="B30" i="60"/>
  <c r="AO29" i="60"/>
  <c r="AL29" i="60"/>
  <c r="AK29" i="60"/>
  <c r="AH29" i="60"/>
  <c r="AF29" i="60"/>
  <c r="X29" i="60"/>
  <c r="S29" i="60"/>
  <c r="U29" i="60" s="1"/>
  <c r="I29" i="60"/>
  <c r="H29" i="60"/>
  <c r="G29" i="60"/>
  <c r="F29" i="60"/>
  <c r="E29" i="60"/>
  <c r="D29" i="60"/>
  <c r="C29" i="60"/>
  <c r="B29" i="60"/>
  <c r="AO28" i="60"/>
  <c r="AL28" i="60"/>
  <c r="AK28" i="60"/>
  <c r="AF28" i="60"/>
  <c r="AH28" i="60" s="1"/>
  <c r="X28" i="60"/>
  <c r="AM28" i="60" s="1"/>
  <c r="S28" i="60"/>
  <c r="I28" i="60"/>
  <c r="H28" i="60"/>
  <c r="G28" i="60"/>
  <c r="F28" i="60"/>
  <c r="E28" i="60"/>
  <c r="D28" i="60"/>
  <c r="C28" i="60"/>
  <c r="B28" i="60"/>
  <c r="AO27" i="60"/>
  <c r="AL27" i="60"/>
  <c r="AK27" i="60"/>
  <c r="AF27" i="60"/>
  <c r="AH27" i="60" s="1"/>
  <c r="X27" i="60"/>
  <c r="S27" i="60"/>
  <c r="U27" i="60" s="1"/>
  <c r="I27" i="60"/>
  <c r="H27" i="60"/>
  <c r="G27" i="60"/>
  <c r="F27" i="60"/>
  <c r="E27" i="60"/>
  <c r="D27" i="60"/>
  <c r="C27" i="60"/>
  <c r="B27" i="60"/>
  <c r="AO26" i="60"/>
  <c r="AL26" i="60"/>
  <c r="AK26" i="60"/>
  <c r="AF26" i="60"/>
  <c r="AH26" i="60" s="1"/>
  <c r="X26" i="60"/>
  <c r="AM26" i="60" s="1"/>
  <c r="S26" i="60"/>
  <c r="I26" i="60"/>
  <c r="H26" i="60"/>
  <c r="G26" i="60"/>
  <c r="F26" i="60"/>
  <c r="E26" i="60"/>
  <c r="D26" i="60"/>
  <c r="C26" i="60"/>
  <c r="B26" i="60"/>
  <c r="AO25" i="60"/>
  <c r="AL25" i="60"/>
  <c r="AK25" i="60"/>
  <c r="AF25" i="60"/>
  <c r="AH25" i="60" s="1"/>
  <c r="X25" i="60"/>
  <c r="AM25" i="60" s="1"/>
  <c r="S25" i="60"/>
  <c r="I25" i="60"/>
  <c r="H25" i="60"/>
  <c r="G25" i="60"/>
  <c r="F25" i="60"/>
  <c r="E25" i="60"/>
  <c r="D25" i="60"/>
  <c r="C25" i="60"/>
  <c r="B25" i="60"/>
  <c r="AO24" i="60"/>
  <c r="AL24" i="60"/>
  <c r="AK24" i="60"/>
  <c r="AM24" i="60" s="1"/>
  <c r="AF24" i="60"/>
  <c r="AH24" i="60" s="1"/>
  <c r="X24" i="60"/>
  <c r="S24" i="60"/>
  <c r="I24" i="60"/>
  <c r="H24" i="60"/>
  <c r="G24" i="60"/>
  <c r="F24" i="60"/>
  <c r="E24" i="60"/>
  <c r="D24" i="60"/>
  <c r="C24" i="60"/>
  <c r="B24" i="60"/>
  <c r="AO23" i="60"/>
  <c r="AL23" i="60"/>
  <c r="AK23" i="60"/>
  <c r="AH23" i="60"/>
  <c r="AF23" i="60"/>
  <c r="X23" i="60"/>
  <c r="S23" i="60"/>
  <c r="U23" i="60" s="1"/>
  <c r="I23" i="60"/>
  <c r="H23" i="60"/>
  <c r="G23" i="60"/>
  <c r="F23" i="60"/>
  <c r="E23" i="60"/>
  <c r="D23" i="60"/>
  <c r="C23" i="60"/>
  <c r="B23" i="60"/>
  <c r="AO22" i="60"/>
  <c r="AL22" i="60"/>
  <c r="AK22" i="60"/>
  <c r="AF22" i="60"/>
  <c r="AH22" i="60" s="1"/>
  <c r="X22" i="60"/>
  <c r="S22" i="60"/>
  <c r="I22" i="60"/>
  <c r="H22" i="60"/>
  <c r="G22" i="60"/>
  <c r="F22" i="60"/>
  <c r="E22" i="60"/>
  <c r="D22" i="60"/>
  <c r="C22" i="60"/>
  <c r="B22" i="60"/>
  <c r="AO21" i="60"/>
  <c r="AL21" i="60"/>
  <c r="AK21" i="60"/>
  <c r="AF21" i="60"/>
  <c r="AH21" i="60" s="1"/>
  <c r="X21" i="60"/>
  <c r="S21" i="60"/>
  <c r="U21" i="60" s="1"/>
  <c r="I21" i="60"/>
  <c r="H21" i="60"/>
  <c r="G21" i="60"/>
  <c r="F21" i="60"/>
  <c r="E21" i="60"/>
  <c r="D21" i="60"/>
  <c r="C21" i="60"/>
  <c r="B21" i="60"/>
  <c r="AO20" i="60"/>
  <c r="AL20" i="60"/>
  <c r="AK20" i="60"/>
  <c r="AM20" i="60" s="1"/>
  <c r="AF20" i="60"/>
  <c r="AH20" i="60" s="1"/>
  <c r="X20" i="60"/>
  <c r="S20" i="60"/>
  <c r="I20" i="60"/>
  <c r="H20" i="60"/>
  <c r="G20" i="60"/>
  <c r="F20" i="60"/>
  <c r="E20" i="60"/>
  <c r="D20" i="60"/>
  <c r="C20" i="60"/>
  <c r="B20" i="60"/>
  <c r="AO19" i="60"/>
  <c r="AL19" i="60"/>
  <c r="AK19" i="60"/>
  <c r="AF19" i="60"/>
  <c r="AH19" i="60" s="1"/>
  <c r="X19" i="60"/>
  <c r="S19" i="60"/>
  <c r="U19" i="60" s="1"/>
  <c r="I19" i="60"/>
  <c r="H19" i="60"/>
  <c r="G19" i="60"/>
  <c r="F19" i="60"/>
  <c r="E19" i="60"/>
  <c r="D19" i="60"/>
  <c r="C19" i="60"/>
  <c r="B19" i="60"/>
  <c r="AO18" i="60"/>
  <c r="AL18" i="60"/>
  <c r="AK18" i="60"/>
  <c r="AF18" i="60"/>
  <c r="AH18" i="60" s="1"/>
  <c r="X18" i="60"/>
  <c r="S18" i="60"/>
  <c r="AN18" i="60" s="1"/>
  <c r="I18" i="60"/>
  <c r="H18" i="60"/>
  <c r="G18" i="60"/>
  <c r="F18" i="60"/>
  <c r="E18" i="60"/>
  <c r="D18" i="60"/>
  <c r="C18" i="60"/>
  <c r="B18" i="60"/>
  <c r="AO17" i="60"/>
  <c r="AL17" i="60"/>
  <c r="AK17" i="60"/>
  <c r="AF17" i="60"/>
  <c r="AH17" i="60" s="1"/>
  <c r="X17" i="60"/>
  <c r="S17" i="60"/>
  <c r="I17" i="60"/>
  <c r="H17" i="60"/>
  <c r="G17" i="60"/>
  <c r="F17" i="60"/>
  <c r="E17" i="60"/>
  <c r="D17" i="60"/>
  <c r="C17" i="60"/>
  <c r="B17" i="60"/>
  <c r="AO16" i="60"/>
  <c r="AL16" i="60"/>
  <c r="AK16" i="60"/>
  <c r="AM16" i="60" s="1"/>
  <c r="AF16" i="60"/>
  <c r="AH16" i="60" s="1"/>
  <c r="X16" i="60"/>
  <c r="S16" i="60"/>
  <c r="I16" i="60"/>
  <c r="H16" i="60"/>
  <c r="G16" i="60"/>
  <c r="F16" i="60"/>
  <c r="E16" i="60"/>
  <c r="D16" i="60"/>
  <c r="C16" i="60"/>
  <c r="B16" i="60"/>
  <c r="AO15" i="60"/>
  <c r="AL15" i="60"/>
  <c r="AK15" i="60"/>
  <c r="AF15" i="60"/>
  <c r="AH15" i="60" s="1"/>
  <c r="X15" i="60"/>
  <c r="S15" i="60"/>
  <c r="U15" i="60" s="1"/>
  <c r="I15" i="60"/>
  <c r="H15" i="60"/>
  <c r="G15" i="60"/>
  <c r="F15" i="60"/>
  <c r="E15" i="60"/>
  <c r="D15" i="60"/>
  <c r="C15" i="60"/>
  <c r="B15" i="60"/>
  <c r="AO14" i="60"/>
  <c r="AL14" i="60"/>
  <c r="AK14" i="60"/>
  <c r="AF14" i="60"/>
  <c r="AH14" i="60" s="1"/>
  <c r="X14" i="60"/>
  <c r="U14" i="60"/>
  <c r="S14" i="60"/>
  <c r="I14" i="60"/>
  <c r="H14" i="60"/>
  <c r="G14" i="60"/>
  <c r="F14" i="60"/>
  <c r="E14" i="60"/>
  <c r="D14" i="60"/>
  <c r="C14" i="60"/>
  <c r="B14" i="60"/>
  <c r="AO13" i="60"/>
  <c r="AL13" i="60"/>
  <c r="AK13" i="60"/>
  <c r="AF13" i="60"/>
  <c r="AH13" i="60" s="1"/>
  <c r="X13" i="60"/>
  <c r="S13" i="60"/>
  <c r="U13" i="60" s="1"/>
  <c r="I13" i="60"/>
  <c r="H13" i="60"/>
  <c r="G13" i="60"/>
  <c r="F13" i="60"/>
  <c r="E13" i="60"/>
  <c r="D13" i="60"/>
  <c r="C13" i="60"/>
  <c r="B13" i="60"/>
  <c r="AO12" i="60"/>
  <c r="AL12" i="60"/>
  <c r="AK12" i="60"/>
  <c r="AF12" i="60"/>
  <c r="AH12" i="60" s="1"/>
  <c r="X12" i="60"/>
  <c r="S12" i="60"/>
  <c r="I12" i="60"/>
  <c r="H12" i="60"/>
  <c r="G12" i="60"/>
  <c r="F12" i="60"/>
  <c r="E12" i="60"/>
  <c r="D12" i="60"/>
  <c r="C12" i="60"/>
  <c r="B12" i="60"/>
  <c r="AO11" i="60"/>
  <c r="AL11" i="60"/>
  <c r="AK11" i="60"/>
  <c r="AF11" i="60"/>
  <c r="AH11" i="60" s="1"/>
  <c r="X11" i="60"/>
  <c r="AM11" i="60" s="1"/>
  <c r="S11" i="60"/>
  <c r="U11" i="60" s="1"/>
  <c r="I11" i="60"/>
  <c r="H11" i="60"/>
  <c r="G11" i="60"/>
  <c r="F11" i="60"/>
  <c r="E11" i="60"/>
  <c r="D11" i="60"/>
  <c r="C11" i="60"/>
  <c r="B11" i="60"/>
  <c r="AO10" i="60"/>
  <c r="AL10" i="60"/>
  <c r="AK10" i="60"/>
  <c r="AF10" i="60"/>
  <c r="AH10" i="60" s="1"/>
  <c r="X10" i="60"/>
  <c r="AM10" i="60" s="1"/>
  <c r="S10" i="60"/>
  <c r="AN10" i="60" s="1"/>
  <c r="I10" i="60"/>
  <c r="H10" i="60"/>
  <c r="G10" i="60"/>
  <c r="F10" i="60"/>
  <c r="E10" i="60"/>
  <c r="C10" i="60"/>
  <c r="B10" i="60"/>
  <c r="AO9" i="60"/>
  <c r="AL9" i="60"/>
  <c r="AK9" i="60"/>
  <c r="AF9" i="60"/>
  <c r="AH9" i="60" s="1"/>
  <c r="X9" i="60"/>
  <c r="S9" i="60"/>
  <c r="I9" i="60"/>
  <c r="H9" i="60"/>
  <c r="G9" i="60"/>
  <c r="F9" i="60"/>
  <c r="E9" i="60"/>
  <c r="D9" i="60"/>
  <c r="C9" i="60"/>
  <c r="B9" i="60"/>
  <c r="AO8" i="60"/>
  <c r="AL8" i="60"/>
  <c r="AK8" i="60"/>
  <c r="AF8" i="60"/>
  <c r="AH8" i="60" s="1"/>
  <c r="X8" i="60"/>
  <c r="S8" i="60"/>
  <c r="AN8" i="60" s="1"/>
  <c r="I8" i="60"/>
  <c r="H8" i="60"/>
  <c r="G8" i="60"/>
  <c r="F8" i="60"/>
  <c r="E8" i="60"/>
  <c r="D8" i="60"/>
  <c r="C8" i="60"/>
  <c r="B8" i="60"/>
  <c r="AO7" i="60"/>
  <c r="AL7" i="60"/>
  <c r="AK7" i="60"/>
  <c r="AF7" i="60"/>
  <c r="AH7" i="60" s="1"/>
  <c r="X7" i="60"/>
  <c r="S7" i="60"/>
  <c r="U7" i="60" s="1"/>
  <c r="I7" i="60"/>
  <c r="H7" i="60"/>
  <c r="G7" i="60"/>
  <c r="F7" i="60"/>
  <c r="E7" i="60"/>
  <c r="D7" i="60"/>
  <c r="C7" i="60"/>
  <c r="B7" i="60"/>
  <c r="AO6" i="60"/>
  <c r="AL6" i="60"/>
  <c r="AK6" i="60"/>
  <c r="AF6" i="60"/>
  <c r="X6" i="60"/>
  <c r="S6" i="60"/>
  <c r="U6" i="60" s="1"/>
  <c r="I6" i="60"/>
  <c r="H6" i="60"/>
  <c r="G6" i="60"/>
  <c r="F6" i="60"/>
  <c r="E6" i="60"/>
  <c r="D6" i="60"/>
  <c r="C6" i="60"/>
  <c r="B6" i="60"/>
  <c r="H2" i="60"/>
  <c r="E2" i="60"/>
  <c r="D56" i="60" s="1"/>
  <c r="C2" i="60"/>
  <c r="AG112" i="20"/>
  <c r="AG111" i="20"/>
  <c r="AG110" i="20"/>
  <c r="AG109" i="20"/>
  <c r="AF109" i="20"/>
  <c r="AP2" i="59"/>
  <c r="AP69" i="59" s="1"/>
  <c r="AB2" i="59"/>
  <c r="AB69" i="59" s="1"/>
  <c r="N2" i="59"/>
  <c r="AG162" i="59"/>
  <c r="AG114" i="20" s="1"/>
  <c r="J66" i="59"/>
  <c r="AG163" i="59" s="1"/>
  <c r="AG115" i="20" s="1"/>
  <c r="J65" i="59"/>
  <c r="J64" i="59"/>
  <c r="AG161" i="59" s="1"/>
  <c r="AG113" i="20" s="1"/>
  <c r="J63" i="59"/>
  <c r="AG160" i="59" s="1"/>
  <c r="AQ61" i="59"/>
  <c r="AJ61" i="59"/>
  <c r="AI61" i="59"/>
  <c r="AG61" i="59"/>
  <c r="AE61" i="59"/>
  <c r="AD61" i="59"/>
  <c r="AC61" i="59"/>
  <c r="AB61" i="59"/>
  <c r="AA61" i="59"/>
  <c r="Z61" i="59"/>
  <c r="Y61" i="59"/>
  <c r="W61" i="59"/>
  <c r="V61" i="59"/>
  <c r="T61" i="59"/>
  <c r="R61" i="59"/>
  <c r="Q61" i="59"/>
  <c r="P61" i="59"/>
  <c r="O61" i="59"/>
  <c r="N61" i="59"/>
  <c r="M61" i="59"/>
  <c r="L61" i="59"/>
  <c r="K61" i="59"/>
  <c r="AQ60" i="59"/>
  <c r="AJ60" i="59"/>
  <c r="AI60" i="59"/>
  <c r="AG60" i="59"/>
  <c r="AE60" i="59"/>
  <c r="AD60" i="59"/>
  <c r="AC60" i="59"/>
  <c r="AB60" i="59"/>
  <c r="AA60" i="59"/>
  <c r="Z60" i="59"/>
  <c r="Y60" i="59"/>
  <c r="W60" i="59"/>
  <c r="V60" i="59"/>
  <c r="T60" i="59"/>
  <c r="R60" i="59"/>
  <c r="Q60" i="59"/>
  <c r="P60" i="59"/>
  <c r="O60" i="59"/>
  <c r="N60" i="59"/>
  <c r="M60" i="59"/>
  <c r="L60" i="59"/>
  <c r="K60" i="59"/>
  <c r="AQ59" i="59"/>
  <c r="AJ59" i="59"/>
  <c r="AI59" i="59"/>
  <c r="AG59" i="59"/>
  <c r="AE59" i="59"/>
  <c r="AD59" i="59"/>
  <c r="AC59" i="59"/>
  <c r="AB59" i="59"/>
  <c r="AA59" i="59"/>
  <c r="Z59" i="59"/>
  <c r="Y59" i="59"/>
  <c r="W59" i="59"/>
  <c r="V59" i="59"/>
  <c r="T59" i="59"/>
  <c r="R59" i="59"/>
  <c r="Q59" i="59"/>
  <c r="P59" i="59"/>
  <c r="O59" i="59"/>
  <c r="N59" i="59"/>
  <c r="M59" i="59"/>
  <c r="L59" i="59"/>
  <c r="K59" i="59"/>
  <c r="AQ58" i="59"/>
  <c r="AJ58" i="59"/>
  <c r="AI58" i="59"/>
  <c r="AG58" i="59"/>
  <c r="AE58" i="59"/>
  <c r="AE62" i="59" s="1"/>
  <c r="AE63" i="59" s="1"/>
  <c r="AD58" i="59"/>
  <c r="AC58" i="59"/>
  <c r="AB58" i="59"/>
  <c r="AA58" i="59"/>
  <c r="Z58" i="59"/>
  <c r="Y58" i="59"/>
  <c r="W58" i="59"/>
  <c r="V58" i="59"/>
  <c r="T58" i="59"/>
  <c r="R58" i="59"/>
  <c r="Q58" i="59"/>
  <c r="Q62" i="59" s="1"/>
  <c r="P58" i="59"/>
  <c r="P62" i="59" s="1"/>
  <c r="P63" i="59" s="1"/>
  <c r="O58" i="59"/>
  <c r="N58" i="59"/>
  <c r="M58" i="59"/>
  <c r="L58" i="59"/>
  <c r="K58" i="59"/>
  <c r="AQ56" i="59"/>
  <c r="AF157" i="59" s="1"/>
  <c r="AJ56" i="59"/>
  <c r="W157" i="59" s="1"/>
  <c r="W109" i="20" s="1"/>
  <c r="AI56" i="59"/>
  <c r="V157" i="59" s="1"/>
  <c r="V109" i="20" s="1"/>
  <c r="AG56" i="59"/>
  <c r="Y157" i="59" s="1"/>
  <c r="Y109" i="20" s="1"/>
  <c r="AE56" i="59"/>
  <c r="AD56" i="59"/>
  <c r="AC56" i="59"/>
  <c r="AB56" i="59"/>
  <c r="AA56" i="59"/>
  <c r="Z56" i="59"/>
  <c r="Y56" i="59"/>
  <c r="U157" i="59" s="1"/>
  <c r="U109" i="20" s="1"/>
  <c r="W56" i="59"/>
  <c r="Q157" i="59" s="1"/>
  <c r="Q109" i="20" s="1"/>
  <c r="V56" i="59"/>
  <c r="P157" i="59" s="1"/>
  <c r="P109" i="20" s="1"/>
  <c r="T56" i="59"/>
  <c r="S157" i="59" s="1"/>
  <c r="S109" i="20" s="1"/>
  <c r="R56" i="59"/>
  <c r="Q56" i="59"/>
  <c r="P56" i="59"/>
  <c r="O56" i="59"/>
  <c r="N56" i="59"/>
  <c r="M56" i="59"/>
  <c r="L56" i="59"/>
  <c r="O157" i="59" s="1"/>
  <c r="O109" i="20" s="1"/>
  <c r="K56" i="59"/>
  <c r="N157" i="59" s="1"/>
  <c r="N109" i="20" s="1"/>
  <c r="AO55" i="59"/>
  <c r="AL55" i="59"/>
  <c r="AK55" i="59"/>
  <c r="AH55" i="59"/>
  <c r="AF55" i="59"/>
  <c r="X55" i="59"/>
  <c r="AM55" i="59" s="1"/>
  <c r="S55" i="59"/>
  <c r="I55" i="59"/>
  <c r="H55" i="59"/>
  <c r="G55" i="59"/>
  <c r="F55" i="59"/>
  <c r="E55" i="59"/>
  <c r="D55" i="59"/>
  <c r="C55" i="59"/>
  <c r="B55" i="59"/>
  <c r="AO54" i="59"/>
  <c r="AL54" i="59"/>
  <c r="AK54" i="59"/>
  <c r="AH54" i="59"/>
  <c r="AF54" i="59"/>
  <c r="X54" i="59"/>
  <c r="S54" i="59"/>
  <c r="I54" i="59"/>
  <c r="H54" i="59"/>
  <c r="G54" i="59"/>
  <c r="F54" i="59"/>
  <c r="E54" i="59"/>
  <c r="D54" i="59"/>
  <c r="C54" i="59"/>
  <c r="B54" i="59"/>
  <c r="AO53" i="59"/>
  <c r="AL53" i="59"/>
  <c r="AK53" i="59"/>
  <c r="AM53" i="59" s="1"/>
  <c r="AH53" i="59"/>
  <c r="AF53" i="59"/>
  <c r="X53" i="59"/>
  <c r="S53" i="59"/>
  <c r="U53" i="59" s="1"/>
  <c r="I53" i="59"/>
  <c r="H53" i="59"/>
  <c r="G53" i="59"/>
  <c r="F53" i="59"/>
  <c r="E53" i="59"/>
  <c r="D53" i="59"/>
  <c r="C53" i="59"/>
  <c r="B53" i="59"/>
  <c r="AO52" i="59"/>
  <c r="AL52" i="59"/>
  <c r="AK52" i="59"/>
  <c r="AF52" i="59"/>
  <c r="AH52" i="59" s="1"/>
  <c r="X52" i="59"/>
  <c r="AM52" i="59" s="1"/>
  <c r="S52" i="59"/>
  <c r="U52" i="59" s="1"/>
  <c r="I52" i="59"/>
  <c r="H52" i="59"/>
  <c r="G52" i="59"/>
  <c r="F52" i="59"/>
  <c r="E52" i="59"/>
  <c r="D52" i="59"/>
  <c r="C52" i="59"/>
  <c r="B52" i="59"/>
  <c r="AO51" i="59"/>
  <c r="AL51" i="59"/>
  <c r="AK51" i="59"/>
  <c r="AF51" i="59"/>
  <c r="AH51" i="59" s="1"/>
  <c r="X51" i="59"/>
  <c r="AM51" i="59" s="1"/>
  <c r="S51" i="59"/>
  <c r="U51" i="59" s="1"/>
  <c r="I51" i="59"/>
  <c r="H51" i="59"/>
  <c r="G51" i="59"/>
  <c r="F51" i="59"/>
  <c r="E51" i="59"/>
  <c r="D51" i="59"/>
  <c r="C51" i="59"/>
  <c r="B51" i="59"/>
  <c r="AO50" i="59"/>
  <c r="AL50" i="59"/>
  <c r="AK50" i="59"/>
  <c r="AF50" i="59"/>
  <c r="AH50" i="59" s="1"/>
  <c r="X50" i="59"/>
  <c r="S50" i="59"/>
  <c r="U50" i="59" s="1"/>
  <c r="I50" i="59"/>
  <c r="H50" i="59"/>
  <c r="G50" i="59"/>
  <c r="F50" i="59"/>
  <c r="E50" i="59"/>
  <c r="D50" i="59"/>
  <c r="C50" i="59"/>
  <c r="B50" i="59"/>
  <c r="AO49" i="59"/>
  <c r="AL49" i="59"/>
  <c r="AK49" i="59"/>
  <c r="AF49" i="59"/>
  <c r="AH49" i="59" s="1"/>
  <c r="X49" i="59"/>
  <c r="AM49" i="59" s="1"/>
  <c r="S49" i="59"/>
  <c r="I49" i="59"/>
  <c r="H49" i="59"/>
  <c r="G49" i="59"/>
  <c r="F49" i="59"/>
  <c r="E49" i="59"/>
  <c r="D49" i="59"/>
  <c r="C49" i="59"/>
  <c r="B49" i="59"/>
  <c r="AO48" i="59"/>
  <c r="AL48" i="59"/>
  <c r="AK48" i="59"/>
  <c r="AH48" i="59"/>
  <c r="AF48" i="59"/>
  <c r="X48" i="59"/>
  <c r="AM48" i="59" s="1"/>
  <c r="S48" i="59"/>
  <c r="I48" i="59"/>
  <c r="H48" i="59"/>
  <c r="G48" i="59"/>
  <c r="F48" i="59"/>
  <c r="E48" i="59"/>
  <c r="D48" i="59"/>
  <c r="C48" i="59"/>
  <c r="B48" i="59"/>
  <c r="AO47" i="59"/>
  <c r="AL47" i="59"/>
  <c r="AK47" i="59"/>
  <c r="AF47" i="59"/>
  <c r="AH47" i="59" s="1"/>
  <c r="X47" i="59"/>
  <c r="AM47" i="59" s="1"/>
  <c r="U47" i="59"/>
  <c r="S47" i="59"/>
  <c r="I47" i="59"/>
  <c r="H47" i="59"/>
  <c r="G47" i="59"/>
  <c r="F47" i="59"/>
  <c r="E47" i="59"/>
  <c r="D47" i="59"/>
  <c r="C47" i="59"/>
  <c r="B47" i="59"/>
  <c r="AO46" i="59"/>
  <c r="AL46" i="59"/>
  <c r="AK46" i="59"/>
  <c r="AF46" i="59"/>
  <c r="AH46" i="59" s="1"/>
  <c r="X46" i="59"/>
  <c r="U46" i="59"/>
  <c r="S46" i="59"/>
  <c r="I46" i="59"/>
  <c r="H46" i="59"/>
  <c r="G46" i="59"/>
  <c r="F46" i="59"/>
  <c r="E46" i="59"/>
  <c r="D46" i="59"/>
  <c r="C46" i="59"/>
  <c r="B46" i="59"/>
  <c r="AO45" i="59"/>
  <c r="AL45" i="59"/>
  <c r="AK45" i="59"/>
  <c r="AM45" i="59" s="1"/>
  <c r="AF45" i="59"/>
  <c r="AH45" i="59" s="1"/>
  <c r="X45" i="59"/>
  <c r="S45" i="59"/>
  <c r="U45" i="59" s="1"/>
  <c r="I45" i="59"/>
  <c r="H45" i="59"/>
  <c r="G45" i="59"/>
  <c r="F45" i="59"/>
  <c r="E45" i="59"/>
  <c r="D45" i="59"/>
  <c r="C45" i="59"/>
  <c r="B45" i="59"/>
  <c r="AO44" i="59"/>
  <c r="AL44" i="59"/>
  <c r="AK44" i="59"/>
  <c r="AF44" i="59"/>
  <c r="AH44" i="59" s="1"/>
  <c r="X44" i="59"/>
  <c r="AM44" i="59" s="1"/>
  <c r="S44" i="59"/>
  <c r="U44" i="59" s="1"/>
  <c r="I44" i="59"/>
  <c r="H44" i="59"/>
  <c r="G44" i="59"/>
  <c r="F44" i="59"/>
  <c r="E44" i="59"/>
  <c r="D44" i="59"/>
  <c r="C44" i="59"/>
  <c r="B44" i="59"/>
  <c r="AO43" i="59"/>
  <c r="AL43" i="59"/>
  <c r="AK43" i="59"/>
  <c r="AF43" i="59"/>
  <c r="AH43" i="59" s="1"/>
  <c r="X43" i="59"/>
  <c r="AM43" i="59" s="1"/>
  <c r="S43" i="59"/>
  <c r="U43" i="59" s="1"/>
  <c r="I43" i="59"/>
  <c r="H43" i="59"/>
  <c r="G43" i="59"/>
  <c r="F43" i="59"/>
  <c r="E43" i="59"/>
  <c r="D43" i="59"/>
  <c r="C43" i="59"/>
  <c r="B43" i="59"/>
  <c r="AO42" i="59"/>
  <c r="AL42" i="59"/>
  <c r="AK42" i="59"/>
  <c r="AF42" i="59"/>
  <c r="AH42" i="59" s="1"/>
  <c r="X42" i="59"/>
  <c r="S42" i="59"/>
  <c r="U42" i="59" s="1"/>
  <c r="I42" i="59"/>
  <c r="H42" i="59"/>
  <c r="G42" i="59"/>
  <c r="F42" i="59"/>
  <c r="E42" i="59"/>
  <c r="D42" i="59"/>
  <c r="C42" i="59"/>
  <c r="B42" i="59"/>
  <c r="AO41" i="59"/>
  <c r="AL41" i="59"/>
  <c r="AK41" i="59"/>
  <c r="AF41" i="59"/>
  <c r="AH41" i="59" s="1"/>
  <c r="X41" i="59"/>
  <c r="AM41" i="59" s="1"/>
  <c r="S41" i="59"/>
  <c r="I41" i="59"/>
  <c r="H41" i="59"/>
  <c r="G41" i="59"/>
  <c r="F41" i="59"/>
  <c r="E41" i="59"/>
  <c r="D41" i="59"/>
  <c r="C41" i="59"/>
  <c r="B41" i="59"/>
  <c r="AO40" i="59"/>
  <c r="AL40" i="59"/>
  <c r="AK40" i="59"/>
  <c r="AH40" i="59"/>
  <c r="AF40" i="59"/>
  <c r="X40" i="59"/>
  <c r="AM40" i="59" s="1"/>
  <c r="S40" i="59"/>
  <c r="I40" i="59"/>
  <c r="H40" i="59"/>
  <c r="G40" i="59"/>
  <c r="F40" i="59"/>
  <c r="E40" i="59"/>
  <c r="D40" i="59"/>
  <c r="C40" i="59"/>
  <c r="B40" i="59"/>
  <c r="AO39" i="59"/>
  <c r="AL39" i="59"/>
  <c r="AK39" i="59"/>
  <c r="AF39" i="59"/>
  <c r="AH39" i="59" s="1"/>
  <c r="X39" i="59"/>
  <c r="S39" i="59"/>
  <c r="I39" i="59"/>
  <c r="H39" i="59"/>
  <c r="G39" i="59"/>
  <c r="F39" i="59"/>
  <c r="E39" i="59"/>
  <c r="D39" i="59"/>
  <c r="C39" i="59"/>
  <c r="B39" i="59"/>
  <c r="AO38" i="59"/>
  <c r="AL38" i="59"/>
  <c r="AK38" i="59"/>
  <c r="AH38" i="59"/>
  <c r="AF38" i="59"/>
  <c r="X38" i="59"/>
  <c r="S38" i="59"/>
  <c r="I38" i="59"/>
  <c r="H38" i="59"/>
  <c r="G38" i="59"/>
  <c r="F38" i="59"/>
  <c r="E38" i="59"/>
  <c r="D38" i="59"/>
  <c r="C38" i="59"/>
  <c r="B38" i="59"/>
  <c r="AO37" i="59"/>
  <c r="AL37" i="59"/>
  <c r="AK37" i="59"/>
  <c r="AM37" i="59" s="1"/>
  <c r="AH37" i="59"/>
  <c r="AF37" i="59"/>
  <c r="X37" i="59"/>
  <c r="S37" i="59"/>
  <c r="U37" i="59" s="1"/>
  <c r="I37" i="59"/>
  <c r="H37" i="59"/>
  <c r="G37" i="59"/>
  <c r="F37" i="59"/>
  <c r="E37" i="59"/>
  <c r="D37" i="59"/>
  <c r="C37" i="59"/>
  <c r="B37" i="59"/>
  <c r="AO36" i="59"/>
  <c r="AL36" i="59"/>
  <c r="AK36" i="59"/>
  <c r="AF36" i="59"/>
  <c r="AH36" i="59" s="1"/>
  <c r="X36" i="59"/>
  <c r="S36" i="59"/>
  <c r="U36" i="59" s="1"/>
  <c r="I36" i="59"/>
  <c r="H36" i="59"/>
  <c r="G36" i="59"/>
  <c r="F36" i="59"/>
  <c r="E36" i="59"/>
  <c r="D36" i="59"/>
  <c r="C36" i="59"/>
  <c r="B36" i="59"/>
  <c r="AO35" i="59"/>
  <c r="AL35" i="59"/>
  <c r="AK35" i="59"/>
  <c r="AF35" i="59"/>
  <c r="AH35" i="59" s="1"/>
  <c r="X35" i="59"/>
  <c r="AM35" i="59" s="1"/>
  <c r="S35" i="59"/>
  <c r="I35" i="59"/>
  <c r="H35" i="59"/>
  <c r="G35" i="59"/>
  <c r="F35" i="59"/>
  <c r="E35" i="59"/>
  <c r="D35" i="59"/>
  <c r="C35" i="59"/>
  <c r="B35" i="59"/>
  <c r="AO34" i="59"/>
  <c r="AL34" i="59"/>
  <c r="AK34" i="59"/>
  <c r="AF34" i="59"/>
  <c r="AH34" i="59" s="1"/>
  <c r="X34" i="59"/>
  <c r="AM34" i="59" s="1"/>
  <c r="S34" i="59"/>
  <c r="U34" i="59" s="1"/>
  <c r="I34" i="59"/>
  <c r="H34" i="59"/>
  <c r="G34" i="59"/>
  <c r="F34" i="59"/>
  <c r="E34" i="59"/>
  <c r="D34" i="59"/>
  <c r="C34" i="59"/>
  <c r="B34" i="59"/>
  <c r="AO33" i="59"/>
  <c r="AL33" i="59"/>
  <c r="AK33" i="59"/>
  <c r="AF33" i="59"/>
  <c r="AH33" i="59" s="1"/>
  <c r="X33" i="59"/>
  <c r="AM33" i="59" s="1"/>
  <c r="U33" i="59"/>
  <c r="S33" i="59"/>
  <c r="I33" i="59"/>
  <c r="H33" i="59"/>
  <c r="G33" i="59"/>
  <c r="F33" i="59"/>
  <c r="E33" i="59"/>
  <c r="D33" i="59"/>
  <c r="C33" i="59"/>
  <c r="B33" i="59"/>
  <c r="AO32" i="59"/>
  <c r="AL32" i="59"/>
  <c r="AK32" i="59"/>
  <c r="AF32" i="59"/>
  <c r="AH32" i="59" s="1"/>
  <c r="X32" i="59"/>
  <c r="AM32" i="59" s="1"/>
  <c r="S32" i="59"/>
  <c r="U32" i="59" s="1"/>
  <c r="I32" i="59"/>
  <c r="H32" i="59"/>
  <c r="G32" i="59"/>
  <c r="F32" i="59"/>
  <c r="E32" i="59"/>
  <c r="D32" i="59"/>
  <c r="C32" i="59"/>
  <c r="B32" i="59"/>
  <c r="AO31" i="59"/>
  <c r="AL31" i="59"/>
  <c r="AK31" i="59"/>
  <c r="AF31" i="59"/>
  <c r="AH31" i="59" s="1"/>
  <c r="X31" i="59"/>
  <c r="AM31" i="59" s="1"/>
  <c r="U31" i="59"/>
  <c r="S31" i="59"/>
  <c r="I31" i="59"/>
  <c r="H31" i="59"/>
  <c r="G31" i="59"/>
  <c r="F31" i="59"/>
  <c r="E31" i="59"/>
  <c r="D31" i="59"/>
  <c r="C31" i="59"/>
  <c r="B31" i="59"/>
  <c r="AO30" i="59"/>
  <c r="AL30" i="59"/>
  <c r="AK30" i="59"/>
  <c r="AF30" i="59"/>
  <c r="AH30" i="59" s="1"/>
  <c r="X30" i="59"/>
  <c r="AM30" i="59" s="1"/>
  <c r="S30" i="59"/>
  <c r="I30" i="59"/>
  <c r="H30" i="59"/>
  <c r="G30" i="59"/>
  <c r="F30" i="59"/>
  <c r="E30" i="59"/>
  <c r="D30" i="59"/>
  <c r="C30" i="59"/>
  <c r="B30" i="59"/>
  <c r="AO29" i="59"/>
  <c r="AL29" i="59"/>
  <c r="AK29" i="59"/>
  <c r="AF29" i="59"/>
  <c r="AH29" i="59" s="1"/>
  <c r="X29" i="59"/>
  <c r="S29" i="59"/>
  <c r="U29" i="59" s="1"/>
  <c r="I29" i="59"/>
  <c r="H29" i="59"/>
  <c r="G29" i="59"/>
  <c r="F29" i="59"/>
  <c r="E29" i="59"/>
  <c r="D29" i="59"/>
  <c r="C29" i="59"/>
  <c r="B29" i="59"/>
  <c r="AO28" i="59"/>
  <c r="AL28" i="59"/>
  <c r="AK28" i="59"/>
  <c r="AF28" i="59"/>
  <c r="AH28" i="59" s="1"/>
  <c r="X28" i="59"/>
  <c r="AM28" i="59" s="1"/>
  <c r="S28" i="59"/>
  <c r="U28" i="59" s="1"/>
  <c r="I28" i="59"/>
  <c r="H28" i="59"/>
  <c r="G28" i="59"/>
  <c r="F28" i="59"/>
  <c r="E28" i="59"/>
  <c r="D28" i="59"/>
  <c r="C28" i="59"/>
  <c r="B28" i="59"/>
  <c r="AO27" i="59"/>
  <c r="AL27" i="59"/>
  <c r="AK27" i="59"/>
  <c r="AF27" i="59"/>
  <c r="AH27" i="59" s="1"/>
  <c r="X27" i="59"/>
  <c r="S27" i="59"/>
  <c r="U27" i="59" s="1"/>
  <c r="I27" i="59"/>
  <c r="H27" i="59"/>
  <c r="G27" i="59"/>
  <c r="F27" i="59"/>
  <c r="E27" i="59"/>
  <c r="D27" i="59"/>
  <c r="C27" i="59"/>
  <c r="B27" i="59"/>
  <c r="AO26" i="59"/>
  <c r="AL26" i="59"/>
  <c r="AK26" i="59"/>
  <c r="AH26" i="59"/>
  <c r="AF26" i="59"/>
  <c r="X26" i="59"/>
  <c r="S26" i="59"/>
  <c r="I26" i="59"/>
  <c r="H26" i="59"/>
  <c r="G26" i="59"/>
  <c r="F26" i="59"/>
  <c r="E26" i="59"/>
  <c r="D26" i="59"/>
  <c r="C26" i="59"/>
  <c r="B26" i="59"/>
  <c r="AO25" i="59"/>
  <c r="AL25" i="59"/>
  <c r="AK25" i="59"/>
  <c r="AM25" i="59" s="1"/>
  <c r="AF25" i="59"/>
  <c r="AH25" i="59" s="1"/>
  <c r="X25" i="59"/>
  <c r="S25" i="59"/>
  <c r="I25" i="59"/>
  <c r="H25" i="59"/>
  <c r="G25" i="59"/>
  <c r="F25" i="59"/>
  <c r="E25" i="59"/>
  <c r="D25" i="59"/>
  <c r="C25" i="59"/>
  <c r="B25" i="59"/>
  <c r="AO24" i="59"/>
  <c r="AL24" i="59"/>
  <c r="AK24" i="59"/>
  <c r="AF24" i="59"/>
  <c r="AH24" i="59" s="1"/>
  <c r="X24" i="59"/>
  <c r="AM24" i="59" s="1"/>
  <c r="S24" i="59"/>
  <c r="U24" i="59" s="1"/>
  <c r="I24" i="59"/>
  <c r="H24" i="59"/>
  <c r="G24" i="59"/>
  <c r="F24" i="59"/>
  <c r="E24" i="59"/>
  <c r="D24" i="59"/>
  <c r="C24" i="59"/>
  <c r="B24" i="59"/>
  <c r="AO23" i="59"/>
  <c r="AL23" i="59"/>
  <c r="AK23" i="59"/>
  <c r="AF23" i="59"/>
  <c r="AH23" i="59" s="1"/>
  <c r="X23" i="59"/>
  <c r="AM23" i="59" s="1"/>
  <c r="S23" i="59"/>
  <c r="U23" i="59" s="1"/>
  <c r="I23" i="59"/>
  <c r="H23" i="59"/>
  <c r="G23" i="59"/>
  <c r="F23" i="59"/>
  <c r="E23" i="59"/>
  <c r="D23" i="59"/>
  <c r="C23" i="59"/>
  <c r="B23" i="59"/>
  <c r="AO22" i="59"/>
  <c r="AL22" i="59"/>
  <c r="AK22" i="59"/>
  <c r="AF22" i="59"/>
  <c r="AH22" i="59" s="1"/>
  <c r="X22" i="59"/>
  <c r="AM22" i="59" s="1"/>
  <c r="S22" i="59"/>
  <c r="U22" i="59" s="1"/>
  <c r="I22" i="59"/>
  <c r="H22" i="59"/>
  <c r="G22" i="59"/>
  <c r="F22" i="59"/>
  <c r="E22" i="59"/>
  <c r="D22" i="59"/>
  <c r="C22" i="59"/>
  <c r="B22" i="59"/>
  <c r="AO21" i="59"/>
  <c r="AL21" i="59"/>
  <c r="AK21" i="59"/>
  <c r="AM21" i="59" s="1"/>
  <c r="AF21" i="59"/>
  <c r="AH21" i="59" s="1"/>
  <c r="X21" i="59"/>
  <c r="S21" i="59"/>
  <c r="I21" i="59"/>
  <c r="H21" i="59"/>
  <c r="G21" i="59"/>
  <c r="F21" i="59"/>
  <c r="E21" i="59"/>
  <c r="D21" i="59"/>
  <c r="C21" i="59"/>
  <c r="B21" i="59"/>
  <c r="AO20" i="59"/>
  <c r="AL20" i="59"/>
  <c r="AK20" i="59"/>
  <c r="AF20" i="59"/>
  <c r="AH20" i="59" s="1"/>
  <c r="X20" i="59"/>
  <c r="AM20" i="59" s="1"/>
  <c r="S20" i="59"/>
  <c r="U20" i="59" s="1"/>
  <c r="I20" i="59"/>
  <c r="H20" i="59"/>
  <c r="G20" i="59"/>
  <c r="F20" i="59"/>
  <c r="E20" i="59"/>
  <c r="D20" i="59"/>
  <c r="C20" i="59"/>
  <c r="B20" i="59"/>
  <c r="AO19" i="59"/>
  <c r="AL19" i="59"/>
  <c r="AK19" i="59"/>
  <c r="AF19" i="59"/>
  <c r="AH19" i="59" s="1"/>
  <c r="X19" i="59"/>
  <c r="S19" i="59"/>
  <c r="U19" i="59" s="1"/>
  <c r="I19" i="59"/>
  <c r="H19" i="59"/>
  <c r="G19" i="59"/>
  <c r="F19" i="59"/>
  <c r="E19" i="59"/>
  <c r="D19" i="59"/>
  <c r="C19" i="59"/>
  <c r="B19" i="59"/>
  <c r="AO18" i="59"/>
  <c r="AL18" i="59"/>
  <c r="AK18" i="59"/>
  <c r="AF18" i="59"/>
  <c r="AH18" i="59" s="1"/>
  <c r="X18" i="59"/>
  <c r="S18" i="59"/>
  <c r="U18" i="59" s="1"/>
  <c r="I18" i="59"/>
  <c r="H18" i="59"/>
  <c r="G18" i="59"/>
  <c r="F18" i="59"/>
  <c r="E18" i="59"/>
  <c r="D18" i="59"/>
  <c r="C18" i="59"/>
  <c r="B18" i="59"/>
  <c r="AO17" i="59"/>
  <c r="AL17" i="59"/>
  <c r="AK17" i="59"/>
  <c r="AF17" i="59"/>
  <c r="AH17" i="59" s="1"/>
  <c r="X17" i="59"/>
  <c r="S17" i="59"/>
  <c r="U17" i="59" s="1"/>
  <c r="I17" i="59"/>
  <c r="H17" i="59"/>
  <c r="G17" i="59"/>
  <c r="F17" i="59"/>
  <c r="E17" i="59"/>
  <c r="D17" i="59"/>
  <c r="C17" i="59"/>
  <c r="B17" i="59"/>
  <c r="AO16" i="59"/>
  <c r="AL16" i="59"/>
  <c r="AK16" i="59"/>
  <c r="AF16" i="59"/>
  <c r="AH16" i="59" s="1"/>
  <c r="X16" i="59"/>
  <c r="AM16" i="59" s="1"/>
  <c r="S16" i="59"/>
  <c r="U16" i="59" s="1"/>
  <c r="I16" i="59"/>
  <c r="H16" i="59"/>
  <c r="G16" i="59"/>
  <c r="F16" i="59"/>
  <c r="E16" i="59"/>
  <c r="D16" i="59"/>
  <c r="C16" i="59"/>
  <c r="B16" i="59"/>
  <c r="AO15" i="59"/>
  <c r="AL15" i="59"/>
  <c r="AK15" i="59"/>
  <c r="AF15" i="59"/>
  <c r="AH15" i="59" s="1"/>
  <c r="X15" i="59"/>
  <c r="AM15" i="59" s="1"/>
  <c r="S15" i="59"/>
  <c r="AN15" i="59" s="1"/>
  <c r="I15" i="59"/>
  <c r="H15" i="59"/>
  <c r="G15" i="59"/>
  <c r="F15" i="59"/>
  <c r="E15" i="59"/>
  <c r="D15" i="59"/>
  <c r="C15" i="59"/>
  <c r="B15" i="59"/>
  <c r="AO14" i="59"/>
  <c r="AL14" i="59"/>
  <c r="AK14" i="59"/>
  <c r="AH14" i="59"/>
  <c r="AF14" i="59"/>
  <c r="X14" i="59"/>
  <c r="S14" i="59"/>
  <c r="AN14" i="59" s="1"/>
  <c r="I14" i="59"/>
  <c r="H14" i="59"/>
  <c r="G14" i="59"/>
  <c r="F14" i="59"/>
  <c r="E14" i="59"/>
  <c r="D14" i="59"/>
  <c r="C14" i="59"/>
  <c r="B14" i="59"/>
  <c r="AO13" i="59"/>
  <c r="AL13" i="59"/>
  <c r="AK13" i="59"/>
  <c r="AF13" i="59"/>
  <c r="AH13" i="59" s="1"/>
  <c r="X13" i="59"/>
  <c r="S13" i="59"/>
  <c r="I13" i="59"/>
  <c r="H13" i="59"/>
  <c r="G13" i="59"/>
  <c r="F13" i="59"/>
  <c r="E13" i="59"/>
  <c r="D13" i="59"/>
  <c r="C13" i="59"/>
  <c r="B13" i="59"/>
  <c r="AO12" i="59"/>
  <c r="AL12" i="59"/>
  <c r="AK12" i="59"/>
  <c r="AF12" i="59"/>
  <c r="AH12" i="59" s="1"/>
  <c r="X12" i="59"/>
  <c r="AM12" i="59" s="1"/>
  <c r="S12" i="59"/>
  <c r="U12" i="59" s="1"/>
  <c r="I12" i="59"/>
  <c r="H12" i="59"/>
  <c r="G12" i="59"/>
  <c r="F12" i="59"/>
  <c r="E12" i="59"/>
  <c r="D12" i="59"/>
  <c r="C12" i="59"/>
  <c r="B12" i="59"/>
  <c r="AO11" i="59"/>
  <c r="AL11" i="59"/>
  <c r="AK11" i="59"/>
  <c r="AF11" i="59"/>
  <c r="AH11" i="59" s="1"/>
  <c r="X11" i="59"/>
  <c r="S11" i="59"/>
  <c r="U11" i="59" s="1"/>
  <c r="I11" i="59"/>
  <c r="H11" i="59"/>
  <c r="G11" i="59"/>
  <c r="F11" i="59"/>
  <c r="E11" i="59"/>
  <c r="D11" i="59"/>
  <c r="C11" i="59"/>
  <c r="B11" i="59"/>
  <c r="AO10" i="59"/>
  <c r="AL10" i="59"/>
  <c r="AK10" i="59"/>
  <c r="AF10" i="59"/>
  <c r="AH10" i="59" s="1"/>
  <c r="X10" i="59"/>
  <c r="S10" i="59"/>
  <c r="U10" i="59" s="1"/>
  <c r="I10" i="59"/>
  <c r="H10" i="59"/>
  <c r="G10" i="59"/>
  <c r="F10" i="59"/>
  <c r="E10" i="59"/>
  <c r="C10" i="59"/>
  <c r="B10" i="59"/>
  <c r="AO9" i="59"/>
  <c r="AL9" i="59"/>
  <c r="AK9" i="59"/>
  <c r="AF9" i="59"/>
  <c r="AH9" i="59" s="1"/>
  <c r="X9" i="59"/>
  <c r="S9" i="59"/>
  <c r="U9" i="59" s="1"/>
  <c r="I9" i="59"/>
  <c r="H9" i="59"/>
  <c r="G9" i="59"/>
  <c r="F9" i="59"/>
  <c r="E9" i="59"/>
  <c r="D9" i="59"/>
  <c r="C9" i="59"/>
  <c r="B9" i="59"/>
  <c r="AO8" i="59"/>
  <c r="AL8" i="59"/>
  <c r="AK8" i="59"/>
  <c r="AF8" i="59"/>
  <c r="AH8" i="59" s="1"/>
  <c r="X8" i="59"/>
  <c r="AM8" i="59" s="1"/>
  <c r="S8" i="59"/>
  <c r="I8" i="59"/>
  <c r="H8" i="59"/>
  <c r="G8" i="59"/>
  <c r="F8" i="59"/>
  <c r="E8" i="59"/>
  <c r="D8" i="59"/>
  <c r="C8" i="59"/>
  <c r="B8" i="59"/>
  <c r="AO7" i="59"/>
  <c r="AL7" i="59"/>
  <c r="AK7" i="59"/>
  <c r="AF7" i="59"/>
  <c r="AH7" i="59" s="1"/>
  <c r="X7" i="59"/>
  <c r="S7" i="59"/>
  <c r="AN7" i="59" s="1"/>
  <c r="I7" i="59"/>
  <c r="H7" i="59"/>
  <c r="G7" i="59"/>
  <c r="F7" i="59"/>
  <c r="E7" i="59"/>
  <c r="D7" i="59"/>
  <c r="C7" i="59"/>
  <c r="B7" i="59"/>
  <c r="AO6" i="59"/>
  <c r="AL6" i="59"/>
  <c r="AK6" i="59"/>
  <c r="AF6" i="59"/>
  <c r="AH6" i="59" s="1"/>
  <c r="X6" i="59"/>
  <c r="S6" i="59"/>
  <c r="I6" i="59"/>
  <c r="H6" i="59"/>
  <c r="G6" i="59"/>
  <c r="F6" i="59"/>
  <c r="E6" i="59"/>
  <c r="D6" i="59"/>
  <c r="C6" i="59"/>
  <c r="B6" i="59"/>
  <c r="H2" i="59"/>
  <c r="E56" i="59" s="1"/>
  <c r="E2" i="59"/>
  <c r="C2" i="59"/>
  <c r="AG104" i="20"/>
  <c r="AG103" i="20"/>
  <c r="AG102" i="20"/>
  <c r="AP2" i="58"/>
  <c r="AB2" i="58"/>
  <c r="N2" i="58"/>
  <c r="AN40" i="59" l="1"/>
  <c r="U40" i="59"/>
  <c r="AN55" i="59"/>
  <c r="U55" i="59"/>
  <c r="AN24" i="60"/>
  <c r="U24" i="60"/>
  <c r="AM34" i="60"/>
  <c r="AN31" i="61"/>
  <c r="U31" i="61"/>
  <c r="AN54" i="59"/>
  <c r="AP54" i="59" s="1"/>
  <c r="U54" i="59"/>
  <c r="AN40" i="60"/>
  <c r="U40" i="60"/>
  <c r="AN52" i="60"/>
  <c r="U52" i="60"/>
  <c r="AN30" i="61"/>
  <c r="AP30" i="61" s="1"/>
  <c r="U30" i="61"/>
  <c r="AN26" i="59"/>
  <c r="U26" i="59"/>
  <c r="AN39" i="59"/>
  <c r="U39" i="59"/>
  <c r="AN25" i="61"/>
  <c r="U25" i="61"/>
  <c r="AN38" i="61"/>
  <c r="AP38" i="61" s="1"/>
  <c r="U38" i="61"/>
  <c r="AM36" i="59"/>
  <c r="AN38" i="59"/>
  <c r="AP38" i="59" s="1"/>
  <c r="U38" i="59"/>
  <c r="AM39" i="59"/>
  <c r="AN48" i="59"/>
  <c r="U48" i="59"/>
  <c r="AM12" i="60"/>
  <c r="AN16" i="60"/>
  <c r="U16" i="60"/>
  <c r="AN34" i="60"/>
  <c r="U34" i="60"/>
  <c r="AM23" i="41"/>
  <c r="AN35" i="61"/>
  <c r="AP35" i="61" s="1"/>
  <c r="U35" i="61"/>
  <c r="AN26" i="63"/>
  <c r="AP26" i="63" s="1"/>
  <c r="U26" i="63"/>
  <c r="AN49" i="63"/>
  <c r="U49" i="63"/>
  <c r="AN41" i="59"/>
  <c r="AP41" i="59" s="1"/>
  <c r="AM46" i="59"/>
  <c r="AN49" i="59"/>
  <c r="AP49" i="59" s="1"/>
  <c r="AM13" i="60"/>
  <c r="AN28" i="60"/>
  <c r="AP28" i="60" s="1"/>
  <c r="AM35" i="60"/>
  <c r="AM43" i="60"/>
  <c r="AN48" i="60"/>
  <c r="AM14" i="61"/>
  <c r="AN32" i="61"/>
  <c r="AN49" i="61"/>
  <c r="U49" i="61"/>
  <c r="AN52" i="61"/>
  <c r="AP52" i="61" s="1"/>
  <c r="AN38" i="62"/>
  <c r="U38" i="62"/>
  <c r="AN25" i="63"/>
  <c r="U25" i="63"/>
  <c r="AM7" i="59"/>
  <c r="AN25" i="59"/>
  <c r="S60" i="59"/>
  <c r="AM13" i="59"/>
  <c r="AM14" i="59"/>
  <c r="U25" i="59"/>
  <c r="AM26" i="59"/>
  <c r="AM27" i="59"/>
  <c r="AN30" i="59"/>
  <c r="AP30" i="59" s="1"/>
  <c r="AN35" i="59"/>
  <c r="AP35" i="59" s="1"/>
  <c r="AM38" i="59"/>
  <c r="U41" i="59"/>
  <c r="AM42" i="59"/>
  <c r="U49" i="59"/>
  <c r="AM50" i="59"/>
  <c r="AM54" i="59"/>
  <c r="R62" i="59"/>
  <c r="R63" i="59" s="1"/>
  <c r="Y62" i="59"/>
  <c r="AI62" i="59"/>
  <c r="AI63" i="59" s="1"/>
  <c r="V160" i="59" s="1"/>
  <c r="V112" i="20" s="1"/>
  <c r="AM18" i="60"/>
  <c r="AN20" i="60"/>
  <c r="AN22" i="60"/>
  <c r="AM22" i="60"/>
  <c r="AM23" i="60"/>
  <c r="AN26" i="60"/>
  <c r="U28" i="60"/>
  <c r="AM29" i="60"/>
  <c r="AN32" i="60"/>
  <c r="AM32" i="60"/>
  <c r="AM33" i="60"/>
  <c r="AN38" i="60"/>
  <c r="AM38" i="60"/>
  <c r="AM39" i="60"/>
  <c r="AN46" i="60"/>
  <c r="AP46" i="60" s="1"/>
  <c r="AM46" i="60"/>
  <c r="AM47" i="60"/>
  <c r="U48" i="60"/>
  <c r="AM51" i="60"/>
  <c r="AM52" i="60"/>
  <c r="AP52" i="60"/>
  <c r="AM11" i="61"/>
  <c r="AN16" i="61"/>
  <c r="AP16" i="61" s="1"/>
  <c r="AM20" i="61"/>
  <c r="AN23" i="61"/>
  <c r="AP23" i="61" s="1"/>
  <c r="AM25" i="61"/>
  <c r="AP25" i="61"/>
  <c r="AM26" i="61"/>
  <c r="AM27" i="61"/>
  <c r="AM30" i="61"/>
  <c r="U32" i="61"/>
  <c r="AN33" i="61"/>
  <c r="AP33" i="61" s="1"/>
  <c r="AM34" i="61"/>
  <c r="AM35" i="61"/>
  <c r="AN47" i="61"/>
  <c r="U47" i="61"/>
  <c r="AM16" i="62"/>
  <c r="AN28" i="62"/>
  <c r="U28" i="62"/>
  <c r="AN37" i="62"/>
  <c r="U37" i="62"/>
  <c r="AB158" i="63"/>
  <c r="AB138" i="20" s="1"/>
  <c r="AN28" i="59"/>
  <c r="AP28" i="59" s="1"/>
  <c r="AM21" i="41"/>
  <c r="AN8" i="59"/>
  <c r="AM9" i="59"/>
  <c r="AM10" i="59"/>
  <c r="AP25" i="59"/>
  <c r="AP26" i="59"/>
  <c r="AM29" i="59"/>
  <c r="U30" i="59"/>
  <c r="AN31" i="59"/>
  <c r="AP31" i="59" s="1"/>
  <c r="AN33" i="59"/>
  <c r="AP33" i="59" s="1"/>
  <c r="U35" i="59"/>
  <c r="AN36" i="59"/>
  <c r="AP36" i="59" s="1"/>
  <c r="AN46" i="59"/>
  <c r="AP46" i="59" s="1"/>
  <c r="AN47" i="59"/>
  <c r="AN52" i="59"/>
  <c r="AP52" i="59" s="1"/>
  <c r="O62" i="59"/>
  <c r="O63" i="59" s="1"/>
  <c r="Z62" i="59"/>
  <c r="Z63" i="59" s="1"/>
  <c r="AM7" i="60"/>
  <c r="AM8" i="60"/>
  <c r="AM9" i="60"/>
  <c r="AM14" i="60"/>
  <c r="AM15" i="60"/>
  <c r="U22" i="60"/>
  <c r="AN25" i="60"/>
  <c r="AP25" i="60" s="1"/>
  <c r="U26" i="60"/>
  <c r="AM27" i="60"/>
  <c r="U32" i="60"/>
  <c r="AN36" i="60"/>
  <c r="AP36" i="60" s="1"/>
  <c r="U38" i="60"/>
  <c r="AN41" i="60"/>
  <c r="AP41" i="60" s="1"/>
  <c r="AN44" i="60"/>
  <c r="U46" i="60"/>
  <c r="AN47" i="60"/>
  <c r="AP47" i="60" s="1"/>
  <c r="AP48" i="60"/>
  <c r="AM55" i="60"/>
  <c r="K62" i="60"/>
  <c r="K66" i="60" s="1"/>
  <c r="N163" i="60" s="1"/>
  <c r="N122" i="20" s="1"/>
  <c r="AF61" i="61"/>
  <c r="AN8" i="61"/>
  <c r="AP8" i="61" s="1"/>
  <c r="U16" i="61"/>
  <c r="AM16" i="61"/>
  <c r="AM21" i="61"/>
  <c r="U23" i="61"/>
  <c r="T158" i="61" s="1"/>
  <c r="T124" i="20" s="1"/>
  <c r="AN24" i="61"/>
  <c r="U33" i="61"/>
  <c r="AN39" i="61"/>
  <c r="U39" i="61"/>
  <c r="AN41" i="61"/>
  <c r="U41" i="61"/>
  <c r="AN46" i="61"/>
  <c r="AP46" i="61" s="1"/>
  <c r="U46" i="61"/>
  <c r="AN27" i="63"/>
  <c r="AP27" i="63" s="1"/>
  <c r="U27" i="63"/>
  <c r="AN50" i="63"/>
  <c r="AP50" i="63" s="1"/>
  <c r="U50" i="63"/>
  <c r="AM54" i="61"/>
  <c r="AP10" i="62"/>
  <c r="AM17" i="62"/>
  <c r="AM24" i="41"/>
  <c r="AN29" i="62"/>
  <c r="AN34" i="62"/>
  <c r="AP34" i="62" s="1"/>
  <c r="AM35" i="62"/>
  <c r="AN41" i="62"/>
  <c r="AP41" i="62" s="1"/>
  <c r="AM42" i="62"/>
  <c r="AN44" i="62"/>
  <c r="AP45" i="62"/>
  <c r="AM53" i="62"/>
  <c r="AM54" i="62"/>
  <c r="Q62" i="62"/>
  <c r="Q66" i="62" s="1"/>
  <c r="AM16" i="63"/>
  <c r="AN21" i="63"/>
  <c r="AN22" i="63"/>
  <c r="AP22" i="63" s="1"/>
  <c r="AN23" i="63"/>
  <c r="AP23" i="63" s="1"/>
  <c r="AM25" i="63"/>
  <c r="AM30" i="63"/>
  <c r="AP37" i="63"/>
  <c r="AN41" i="63"/>
  <c r="AM42" i="63"/>
  <c r="AM45" i="63"/>
  <c r="AM53" i="63"/>
  <c r="Z62" i="61"/>
  <c r="Z66" i="61" s="1"/>
  <c r="AM10" i="62"/>
  <c r="AP26" i="62"/>
  <c r="AM31" i="62"/>
  <c r="AM38" i="62"/>
  <c r="AM46" i="62"/>
  <c r="AM47" i="62"/>
  <c r="AP50" i="62"/>
  <c r="AM51" i="62"/>
  <c r="AN7" i="63"/>
  <c r="AP7" i="63" s="1"/>
  <c r="AM8" i="63"/>
  <c r="AM9" i="63"/>
  <c r="AN12" i="63"/>
  <c r="AP12" i="63" s="1"/>
  <c r="AM17" i="63"/>
  <c r="AM27" i="63"/>
  <c r="AM48" i="63"/>
  <c r="AM50" i="63"/>
  <c r="AM51" i="63"/>
  <c r="Q62" i="63"/>
  <c r="AG62" i="63"/>
  <c r="AN40" i="61"/>
  <c r="AP41" i="61"/>
  <c r="AM43" i="61"/>
  <c r="AM45" i="61"/>
  <c r="AN48" i="61"/>
  <c r="AP49" i="61"/>
  <c r="AM51" i="61"/>
  <c r="AN54" i="61"/>
  <c r="AP54" i="61" s="1"/>
  <c r="AN55" i="61"/>
  <c r="AN7" i="62"/>
  <c r="AN9" i="62"/>
  <c r="AM14" i="62"/>
  <c r="AN18" i="62"/>
  <c r="AP18" i="62" s="1"/>
  <c r="U26" i="62"/>
  <c r="U30" i="62"/>
  <c r="AM33" i="62"/>
  <c r="AN36" i="62"/>
  <c r="AN42" i="62"/>
  <c r="AP42" i="62" s="1"/>
  <c r="AM43" i="62"/>
  <c r="U45" i="62"/>
  <c r="U46" i="62"/>
  <c r="AM49" i="62"/>
  <c r="U50" i="62"/>
  <c r="AN53" i="62"/>
  <c r="AP53" i="62" s="1"/>
  <c r="AN54" i="62"/>
  <c r="U55" i="62"/>
  <c r="AK58" i="63"/>
  <c r="AM14" i="63"/>
  <c r="AM20" i="63"/>
  <c r="AM22" i="63"/>
  <c r="AN29" i="63"/>
  <c r="AN30" i="63"/>
  <c r="AP30" i="63" s="1"/>
  <c r="AN31" i="63"/>
  <c r="AP31" i="63" s="1"/>
  <c r="U33" i="63"/>
  <c r="AM33" i="63"/>
  <c r="U34" i="63"/>
  <c r="U35" i="63"/>
  <c r="U37" i="63"/>
  <c r="AM37" i="63"/>
  <c r="U38" i="63"/>
  <c r="U39" i="63"/>
  <c r="AM40" i="63"/>
  <c r="AP41" i="63"/>
  <c r="AN43" i="63"/>
  <c r="AP43" i="63" s="1"/>
  <c r="AN45" i="63"/>
  <c r="AN46" i="63"/>
  <c r="AP46" i="63" s="1"/>
  <c r="AP49" i="63"/>
  <c r="AN53" i="63"/>
  <c r="AN54" i="63"/>
  <c r="AP54" i="63" s="1"/>
  <c r="AM19" i="63"/>
  <c r="AG65" i="63"/>
  <c r="Y162" i="63" s="1"/>
  <c r="Y142" i="20" s="1"/>
  <c r="AG64" i="63"/>
  <c r="Y161" i="63" s="1"/>
  <c r="Y141" i="20" s="1"/>
  <c r="AN9" i="63"/>
  <c r="AP9" i="63" s="1"/>
  <c r="AN19" i="63"/>
  <c r="AP19" i="63" s="1"/>
  <c r="Z65" i="63"/>
  <c r="AN17" i="63"/>
  <c r="Z64" i="63"/>
  <c r="Z63" i="63"/>
  <c r="AN13" i="63"/>
  <c r="AN14" i="63"/>
  <c r="AP14" i="63" s="1"/>
  <c r="AN15" i="63"/>
  <c r="AP15" i="63" s="1"/>
  <c r="Y62" i="63"/>
  <c r="Y66" i="63" s="1"/>
  <c r="U163" i="63" s="1"/>
  <c r="U143" i="20" s="1"/>
  <c r="AO61" i="63"/>
  <c r="S60" i="63"/>
  <c r="U9" i="63"/>
  <c r="U10" i="63"/>
  <c r="U11" i="63"/>
  <c r="R62" i="63"/>
  <c r="R66" i="63" s="1"/>
  <c r="U6" i="63"/>
  <c r="U7" i="63"/>
  <c r="AL58" i="63"/>
  <c r="P62" i="63"/>
  <c r="P63" i="63" s="1"/>
  <c r="AL56" i="63"/>
  <c r="AA157" i="63" s="1"/>
  <c r="AA137" i="20" s="1"/>
  <c r="U17" i="63"/>
  <c r="U18" i="63"/>
  <c r="U19" i="63"/>
  <c r="AG65" i="62"/>
  <c r="Y162" i="62" s="1"/>
  <c r="Y135" i="20" s="1"/>
  <c r="AG64" i="62"/>
  <c r="Y161" i="62" s="1"/>
  <c r="Y134" i="20" s="1"/>
  <c r="AG63" i="62"/>
  <c r="Y160" i="62" s="1"/>
  <c r="Y133" i="20" s="1"/>
  <c r="AP13" i="62"/>
  <c r="AN12" i="62"/>
  <c r="AP12" i="62" s="1"/>
  <c r="AN13" i="62"/>
  <c r="AN14" i="62"/>
  <c r="AP14" i="62" s="1"/>
  <c r="AN15" i="62"/>
  <c r="AP15" i="62" s="1"/>
  <c r="AN23" i="62"/>
  <c r="AP23" i="62" s="1"/>
  <c r="Y62" i="62"/>
  <c r="Y66" i="62" s="1"/>
  <c r="U163" i="62" s="1"/>
  <c r="U136" i="20" s="1"/>
  <c r="AN20" i="62"/>
  <c r="AP20" i="62" s="1"/>
  <c r="AN21" i="62"/>
  <c r="AN22" i="62"/>
  <c r="AE62" i="62"/>
  <c r="AE63" i="62" s="1"/>
  <c r="W65" i="62"/>
  <c r="Q162" i="62" s="1"/>
  <c r="Q135" i="20" s="1"/>
  <c r="AP7" i="62"/>
  <c r="U21" i="62"/>
  <c r="Q65" i="62"/>
  <c r="U18" i="62"/>
  <c r="U22" i="62"/>
  <c r="U12" i="62"/>
  <c r="O62" i="62"/>
  <c r="O63" i="62" s="1"/>
  <c r="Q64" i="62"/>
  <c r="U10" i="62"/>
  <c r="P62" i="62"/>
  <c r="P65" i="62" s="1"/>
  <c r="S59" i="62"/>
  <c r="Q63" i="62"/>
  <c r="AP22" i="62"/>
  <c r="AK58" i="61"/>
  <c r="AM19" i="61"/>
  <c r="AF23" i="41"/>
  <c r="AM17" i="61"/>
  <c r="AH6" i="61"/>
  <c r="AN7" i="61"/>
  <c r="AP7" i="61" s="1"/>
  <c r="Z65" i="61"/>
  <c r="AN15" i="61"/>
  <c r="AP15" i="61" s="1"/>
  <c r="AN9" i="61"/>
  <c r="AN14" i="61"/>
  <c r="AP14" i="61" s="1"/>
  <c r="AN17" i="61"/>
  <c r="AP17" i="61" s="1"/>
  <c r="AN22" i="61"/>
  <c r="AP22" i="61" s="1"/>
  <c r="AM18" i="61"/>
  <c r="R66" i="61"/>
  <c r="U14" i="61"/>
  <c r="U15" i="61"/>
  <c r="R63" i="61"/>
  <c r="AL58" i="61"/>
  <c r="Q65" i="61"/>
  <c r="R65" i="61"/>
  <c r="P62" i="61"/>
  <c r="P63" i="61" s="1"/>
  <c r="R64" i="61"/>
  <c r="AN12" i="61"/>
  <c r="AP12" i="61" s="1"/>
  <c r="AQ65" i="60"/>
  <c r="AF162" i="60" s="1"/>
  <c r="AF121" i="20" s="1"/>
  <c r="AQ64" i="60"/>
  <c r="AF161" i="60" s="1"/>
  <c r="AF120" i="20" s="1"/>
  <c r="AQ63" i="60"/>
  <c r="AF160" i="60" s="1"/>
  <c r="AF119" i="20" s="1"/>
  <c r="AM21" i="60"/>
  <c r="AM19" i="60"/>
  <c r="AM17" i="60"/>
  <c r="AI62" i="60"/>
  <c r="AI66" i="60" s="1"/>
  <c r="V163" i="60" s="1"/>
  <c r="V122" i="20" s="1"/>
  <c r="AG62" i="60"/>
  <c r="AG63" i="60"/>
  <c r="Y160" i="60" s="1"/>
  <c r="Y119" i="20" s="1"/>
  <c r="AA65" i="60"/>
  <c r="AN12" i="60"/>
  <c r="AP12" i="60" s="1"/>
  <c r="Y62" i="60"/>
  <c r="Y63" i="60" s="1"/>
  <c r="U160" i="60" s="1"/>
  <c r="U119" i="20" s="1"/>
  <c r="AA64" i="60"/>
  <c r="AN9" i="60"/>
  <c r="AP9" i="60" s="1"/>
  <c r="AN17" i="60"/>
  <c r="AP17" i="60" s="1"/>
  <c r="Q62" i="60"/>
  <c r="Q63" i="60" s="1"/>
  <c r="U12" i="60"/>
  <c r="AP20" i="60"/>
  <c r="P66" i="60"/>
  <c r="U10" i="60"/>
  <c r="U20" i="60"/>
  <c r="P65" i="60"/>
  <c r="U8" i="60"/>
  <c r="U18" i="60"/>
  <c r="AL59" i="60"/>
  <c r="P64" i="60"/>
  <c r="AM18" i="59"/>
  <c r="AM19" i="59"/>
  <c r="AK59" i="59"/>
  <c r="AG62" i="59"/>
  <c r="AG63" i="59" s="1"/>
  <c r="Y160" i="59" s="1"/>
  <c r="Y112" i="20" s="1"/>
  <c r="AN9" i="59"/>
  <c r="AP9" i="59" s="1"/>
  <c r="AN20" i="59"/>
  <c r="AP20" i="59" s="1"/>
  <c r="AN13" i="59"/>
  <c r="AP13" i="59" s="1"/>
  <c r="AN22" i="59"/>
  <c r="AP22" i="59" s="1"/>
  <c r="AN23" i="59"/>
  <c r="AP23" i="59" s="1"/>
  <c r="Z65" i="59"/>
  <c r="AN21" i="59"/>
  <c r="AP21" i="59" s="1"/>
  <c r="W62" i="59"/>
  <c r="W63" i="59" s="1"/>
  <c r="Q160" i="59" s="1"/>
  <c r="Q112" i="20" s="1"/>
  <c r="AM17" i="59"/>
  <c r="AP7" i="59"/>
  <c r="AN18" i="59"/>
  <c r="U6" i="59"/>
  <c r="U7" i="59"/>
  <c r="U8" i="59"/>
  <c r="AP14" i="59"/>
  <c r="AP15" i="59"/>
  <c r="Q65" i="59"/>
  <c r="R64" i="59"/>
  <c r="U14" i="59"/>
  <c r="U15" i="59"/>
  <c r="R65" i="59"/>
  <c r="AL58" i="59"/>
  <c r="AN10" i="59"/>
  <c r="E69" i="62"/>
  <c r="D56" i="62"/>
  <c r="E69" i="59"/>
  <c r="D56" i="59"/>
  <c r="E69" i="63"/>
  <c r="D56" i="63"/>
  <c r="E69" i="61"/>
  <c r="D56" i="61"/>
  <c r="C69" i="61"/>
  <c r="C56" i="61"/>
  <c r="C69" i="60"/>
  <c r="C56" i="60"/>
  <c r="C69" i="59"/>
  <c r="C56" i="59"/>
  <c r="C69" i="62"/>
  <c r="C56" i="62"/>
  <c r="H21" i="41"/>
  <c r="P21" i="41"/>
  <c r="X21" i="41"/>
  <c r="AF21" i="41"/>
  <c r="M22" i="41"/>
  <c r="U22" i="41"/>
  <c r="AC22" i="41"/>
  <c r="I23" i="41"/>
  <c r="Y23" i="41"/>
  <c r="H24" i="41"/>
  <c r="P24" i="41"/>
  <c r="X24" i="41"/>
  <c r="AF24" i="41"/>
  <c r="L25" i="41"/>
  <c r="I21" i="41"/>
  <c r="Y21" i="41"/>
  <c r="F22" i="41"/>
  <c r="N22" i="41"/>
  <c r="V22" i="41"/>
  <c r="J23" i="41"/>
  <c r="R23" i="41"/>
  <c r="Z23" i="41"/>
  <c r="I24" i="41"/>
  <c r="Y24" i="41"/>
  <c r="M25" i="41"/>
  <c r="U25" i="41"/>
  <c r="AC25" i="41"/>
  <c r="J21" i="41"/>
  <c r="R21" i="41"/>
  <c r="Z21" i="41"/>
  <c r="G22" i="41"/>
  <c r="W22" i="41"/>
  <c r="AE22" i="41"/>
  <c r="AM22" i="41"/>
  <c r="Q159" i="61"/>
  <c r="Q125" i="20" s="1"/>
  <c r="K23" i="41"/>
  <c r="S23" i="41"/>
  <c r="AA23" i="41"/>
  <c r="J24" i="41"/>
  <c r="R24" i="41"/>
  <c r="Z24" i="41"/>
  <c r="F25" i="41"/>
  <c r="N25" i="41"/>
  <c r="V25" i="41"/>
  <c r="K21" i="41"/>
  <c r="S21" i="41"/>
  <c r="AA21" i="41"/>
  <c r="H22" i="41"/>
  <c r="P22" i="41"/>
  <c r="X22" i="41"/>
  <c r="AF22" i="41"/>
  <c r="L23" i="41"/>
  <c r="AB23" i="41"/>
  <c r="K24" i="41"/>
  <c r="S24" i="41"/>
  <c r="AA24" i="41"/>
  <c r="G25" i="41"/>
  <c r="W25" i="41"/>
  <c r="AE25" i="41"/>
  <c r="AM25" i="41"/>
  <c r="L21" i="41"/>
  <c r="AB21" i="41"/>
  <c r="I22" i="41"/>
  <c r="Y22" i="41"/>
  <c r="M23" i="41"/>
  <c r="U23" i="41"/>
  <c r="AC23" i="41"/>
  <c r="L24" i="41"/>
  <c r="H25" i="41"/>
  <c r="P25" i="41"/>
  <c r="X25" i="41"/>
  <c r="AF25" i="41"/>
  <c r="M21" i="41"/>
  <c r="U21" i="41"/>
  <c r="AC21" i="41"/>
  <c r="J22" i="41"/>
  <c r="R22" i="41"/>
  <c r="Z22" i="41"/>
  <c r="F23" i="41"/>
  <c r="N23" i="41"/>
  <c r="V23" i="41"/>
  <c r="M24" i="41"/>
  <c r="U24" i="41"/>
  <c r="AC24" i="41"/>
  <c r="I25" i="41"/>
  <c r="Y25" i="41"/>
  <c r="AG25" i="41"/>
  <c r="Y159" i="59"/>
  <c r="Y111" i="20" s="1"/>
  <c r="F21" i="41"/>
  <c r="N21" i="41"/>
  <c r="V21" i="41"/>
  <c r="K22" i="41"/>
  <c r="S22" i="41"/>
  <c r="AA22" i="41"/>
  <c r="G23" i="41"/>
  <c r="O23" i="41"/>
  <c r="W23" i="41"/>
  <c r="AE23" i="41"/>
  <c r="F24" i="41"/>
  <c r="N24" i="41"/>
  <c r="V24" i="41"/>
  <c r="J25" i="41"/>
  <c r="R25" i="41"/>
  <c r="Z25" i="41"/>
  <c r="AH25" i="41"/>
  <c r="G21" i="41"/>
  <c r="W21" i="41"/>
  <c r="AE21" i="41"/>
  <c r="L22" i="41"/>
  <c r="T22" i="41"/>
  <c r="H23" i="41"/>
  <c r="P23" i="41"/>
  <c r="X23" i="41"/>
  <c r="G24" i="41"/>
  <c r="W24" i="41"/>
  <c r="AE24" i="41"/>
  <c r="K25" i="41"/>
  <c r="S25" i="41"/>
  <c r="AA25" i="41"/>
  <c r="G157" i="60"/>
  <c r="G116" i="20" s="1"/>
  <c r="E56" i="60"/>
  <c r="G157" i="62"/>
  <c r="G130" i="20" s="1"/>
  <c r="E56" i="62"/>
  <c r="G157" i="63"/>
  <c r="G137" i="20" s="1"/>
  <c r="E56" i="63"/>
  <c r="G157" i="61"/>
  <c r="G123" i="20" s="1"/>
  <c r="E56" i="61"/>
  <c r="F157" i="62"/>
  <c r="F130" i="20" s="1"/>
  <c r="AP39" i="63"/>
  <c r="P66" i="63"/>
  <c r="C69" i="63"/>
  <c r="B157" i="63"/>
  <c r="B137" i="20" s="1"/>
  <c r="X61" i="63"/>
  <c r="AM6" i="63"/>
  <c r="X60" i="63"/>
  <c r="X59" i="63"/>
  <c r="X58" i="63"/>
  <c r="X56" i="63"/>
  <c r="T25" i="41" s="1"/>
  <c r="Q66" i="63"/>
  <c r="AF61" i="63"/>
  <c r="Y64" i="63"/>
  <c r="U161" i="63" s="1"/>
  <c r="U141" i="20" s="1"/>
  <c r="P65" i="63"/>
  <c r="AF159" i="63"/>
  <c r="AF139" i="20" s="1"/>
  <c r="AH61" i="63"/>
  <c r="AP53" i="63"/>
  <c r="Q65" i="63"/>
  <c r="T158" i="63"/>
  <c r="T138" i="20" s="1"/>
  <c r="L158" i="63"/>
  <c r="L138" i="20" s="1"/>
  <c r="Y159" i="63"/>
  <c r="Y139" i="20" s="1"/>
  <c r="Q159" i="63"/>
  <c r="Q139" i="20" s="1"/>
  <c r="AK59" i="63"/>
  <c r="AM13" i="63"/>
  <c r="AN52" i="63"/>
  <c r="AP52" i="63" s="1"/>
  <c r="U52" i="63"/>
  <c r="AI63" i="63"/>
  <c r="V160" i="63" s="1"/>
  <c r="V140" i="20" s="1"/>
  <c r="P64" i="63"/>
  <c r="AN20" i="63"/>
  <c r="AP20" i="63" s="1"/>
  <c r="AN28" i="63"/>
  <c r="AP28" i="63" s="1"/>
  <c r="AN44" i="63"/>
  <c r="AP44" i="63" s="1"/>
  <c r="AN51" i="63"/>
  <c r="AP51" i="63" s="1"/>
  <c r="Q64" i="63"/>
  <c r="AG66" i="63"/>
  <c r="Y163" i="63" s="1"/>
  <c r="Y143" i="20" s="1"/>
  <c r="S61" i="63"/>
  <c r="U12" i="63"/>
  <c r="AP13" i="63"/>
  <c r="AP17" i="63"/>
  <c r="AP21" i="63"/>
  <c r="AP25" i="63"/>
  <c r="AP29" i="63"/>
  <c r="AP33" i="63"/>
  <c r="AN36" i="63"/>
  <c r="AP36" i="63" s="1"/>
  <c r="AP45" i="63"/>
  <c r="AN47" i="63"/>
  <c r="AP47" i="63" s="1"/>
  <c r="AN55" i="63"/>
  <c r="AP55" i="63" s="1"/>
  <c r="AF56" i="63"/>
  <c r="X157" i="63" s="1"/>
  <c r="X137" i="20" s="1"/>
  <c r="AL59" i="63"/>
  <c r="AK60" i="63"/>
  <c r="K62" i="63"/>
  <c r="K64" i="63" s="1"/>
  <c r="N161" i="63" s="1"/>
  <c r="N141" i="20" s="1"/>
  <c r="AA62" i="63"/>
  <c r="AA66" i="63" s="1"/>
  <c r="AI62" i="63"/>
  <c r="AI65" i="63" s="1"/>
  <c r="V162" i="63" s="1"/>
  <c r="V142" i="20" s="1"/>
  <c r="AQ62" i="63"/>
  <c r="AQ63" i="63" s="1"/>
  <c r="AF160" i="63" s="1"/>
  <c r="AF140" i="20" s="1"/>
  <c r="Q63" i="63"/>
  <c r="Y63" i="63"/>
  <c r="U160" i="63" s="1"/>
  <c r="U140" i="20" s="1"/>
  <c r="AG63" i="63"/>
  <c r="Y160" i="63" s="1"/>
  <c r="Y140" i="20" s="1"/>
  <c r="C157" i="63"/>
  <c r="C137" i="20" s="1"/>
  <c r="U158" i="63"/>
  <c r="U138" i="20" s="1"/>
  <c r="AC158" i="63"/>
  <c r="AC138" i="20" s="1"/>
  <c r="R159" i="63"/>
  <c r="R139" i="20" s="1"/>
  <c r="Z159" i="63"/>
  <c r="Z139" i="20" s="1"/>
  <c r="AN42" i="63"/>
  <c r="AP42" i="63" s="1"/>
  <c r="AO56" i="63"/>
  <c r="AD157" i="63" s="1"/>
  <c r="AD137" i="20" s="1"/>
  <c r="AF58" i="63"/>
  <c r="AL60" i="63"/>
  <c r="AK61" i="63"/>
  <c r="L62" i="63"/>
  <c r="L64" i="63" s="1"/>
  <c r="O161" i="63" s="1"/>
  <c r="O141" i="20" s="1"/>
  <c r="T62" i="63"/>
  <c r="T64" i="63" s="1"/>
  <c r="S161" i="63" s="1"/>
  <c r="S141" i="20" s="1"/>
  <c r="AB62" i="63"/>
  <c r="AB63" i="63" s="1"/>
  <c r="AJ62" i="63"/>
  <c r="AJ65" i="63" s="1"/>
  <c r="W162" i="63" s="1"/>
  <c r="W142" i="20" s="1"/>
  <c r="D157" i="63"/>
  <c r="D137" i="20" s="1"/>
  <c r="N158" i="63"/>
  <c r="N138" i="20" s="1"/>
  <c r="V158" i="63"/>
  <c r="V138" i="20" s="1"/>
  <c r="AD158" i="63"/>
  <c r="AD138" i="20" s="1"/>
  <c r="S159" i="63"/>
  <c r="S139" i="20" s="1"/>
  <c r="AA159" i="63"/>
  <c r="AA139" i="20" s="1"/>
  <c r="AH56" i="63"/>
  <c r="Z157" i="63" s="1"/>
  <c r="Z137" i="20" s="1"/>
  <c r="AO58" i="63"/>
  <c r="AF59" i="63"/>
  <c r="AL61" i="63"/>
  <c r="M62" i="63"/>
  <c r="M65" i="63" s="1"/>
  <c r="AC62" i="63"/>
  <c r="AC63" i="63" s="1"/>
  <c r="E157" i="63"/>
  <c r="E137" i="20" s="1"/>
  <c r="O158" i="63"/>
  <c r="O138" i="20" s="1"/>
  <c r="W158" i="63"/>
  <c r="W138" i="20" s="1"/>
  <c r="AE158" i="63"/>
  <c r="AE138" i="20" s="1"/>
  <c r="T159" i="63"/>
  <c r="T139" i="20" s="1"/>
  <c r="AN8" i="63"/>
  <c r="AP8" i="63" s="1"/>
  <c r="AN16" i="63"/>
  <c r="AP16" i="63" s="1"/>
  <c r="AN24" i="63"/>
  <c r="AP24" i="63" s="1"/>
  <c r="AN32" i="63"/>
  <c r="AP32" i="63" s="1"/>
  <c r="AN40" i="63"/>
  <c r="AP40" i="63" s="1"/>
  <c r="AN48" i="63"/>
  <c r="AP48" i="63" s="1"/>
  <c r="S56" i="63"/>
  <c r="R157" i="63" s="1"/>
  <c r="R137" i="20" s="1"/>
  <c r="AH58" i="63"/>
  <c r="AO59" i="63"/>
  <c r="AF60" i="63"/>
  <c r="N62" i="63"/>
  <c r="N64" i="63" s="1"/>
  <c r="V62" i="63"/>
  <c r="V64" i="63" s="1"/>
  <c r="P161" i="63" s="1"/>
  <c r="P141" i="20" s="1"/>
  <c r="AD62" i="63"/>
  <c r="AD64" i="63" s="1"/>
  <c r="H69" i="63"/>
  <c r="F157" i="63"/>
  <c r="F137" i="20" s="1"/>
  <c r="P158" i="63"/>
  <c r="P138" i="20" s="1"/>
  <c r="X158" i="63"/>
  <c r="X138" i="20" s="1"/>
  <c r="AF158" i="63"/>
  <c r="AF138" i="20" s="1"/>
  <c r="U159" i="63"/>
  <c r="U139" i="20" s="1"/>
  <c r="AC159" i="63"/>
  <c r="AC139" i="20" s="1"/>
  <c r="S58" i="63"/>
  <c r="AH59" i="63"/>
  <c r="AO60" i="63"/>
  <c r="O62" i="63"/>
  <c r="O65" i="63" s="1"/>
  <c r="W62" i="63"/>
  <c r="W64" i="63" s="1"/>
  <c r="Q161" i="63" s="1"/>
  <c r="Q141" i="20" s="1"/>
  <c r="AE62" i="63"/>
  <c r="AE63" i="63" s="1"/>
  <c r="Q158" i="63"/>
  <c r="Q138" i="20" s="1"/>
  <c r="Y158" i="63"/>
  <c r="Y138" i="20" s="1"/>
  <c r="N159" i="63"/>
  <c r="N139" i="20" s="1"/>
  <c r="V159" i="63"/>
  <c r="V139" i="20" s="1"/>
  <c r="AD159" i="63"/>
  <c r="AD139" i="20" s="1"/>
  <c r="AN6" i="63"/>
  <c r="AK56" i="63"/>
  <c r="S59" i="63"/>
  <c r="AH60" i="63"/>
  <c r="H157" i="63"/>
  <c r="R158" i="63"/>
  <c r="R138" i="20" s="1"/>
  <c r="Z158" i="63"/>
  <c r="Z138" i="20" s="1"/>
  <c r="O159" i="63"/>
  <c r="O139" i="20" s="1"/>
  <c r="W159" i="63"/>
  <c r="W139" i="20" s="1"/>
  <c r="I157" i="63"/>
  <c r="I137" i="20" s="1"/>
  <c r="K158" i="63"/>
  <c r="K138" i="20" s="1"/>
  <c r="S158" i="63"/>
  <c r="S138" i="20" s="1"/>
  <c r="AA158" i="63"/>
  <c r="AA138" i="20" s="1"/>
  <c r="P159" i="63"/>
  <c r="P139" i="20" s="1"/>
  <c r="X159" i="63"/>
  <c r="X139" i="20" s="1"/>
  <c r="AK56" i="62"/>
  <c r="AG24" i="41" s="1"/>
  <c r="AA158" i="62"/>
  <c r="AA131" i="20" s="1"/>
  <c r="AP9" i="62"/>
  <c r="O66" i="62"/>
  <c r="AL61" i="62"/>
  <c r="AM18" i="62"/>
  <c r="AN33" i="62"/>
  <c r="AP33" i="62" s="1"/>
  <c r="AP38" i="62"/>
  <c r="AP49" i="62"/>
  <c r="M62" i="62"/>
  <c r="M64" i="62" s="1"/>
  <c r="W64" i="62"/>
  <c r="Q161" i="62" s="1"/>
  <c r="Q134" i="20" s="1"/>
  <c r="O65" i="62"/>
  <c r="P66" i="62"/>
  <c r="AO61" i="62"/>
  <c r="AO60" i="62"/>
  <c r="AO59" i="62"/>
  <c r="AO58" i="62"/>
  <c r="AO56" i="62"/>
  <c r="AD157" i="62" s="1"/>
  <c r="AD130" i="20" s="1"/>
  <c r="AP36" i="62"/>
  <c r="AP37" i="62"/>
  <c r="O64" i="62"/>
  <c r="U56" i="62"/>
  <c r="T157" i="62" s="1"/>
  <c r="T130" i="20" s="1"/>
  <c r="U61" i="62"/>
  <c r="U60" i="62"/>
  <c r="U59" i="62"/>
  <c r="X159" i="62"/>
  <c r="X132" i="20" s="1"/>
  <c r="AH8" i="62"/>
  <c r="AH61" i="62" s="1"/>
  <c r="AN25" i="62"/>
  <c r="P64" i="62"/>
  <c r="X61" i="62"/>
  <c r="P159" i="62"/>
  <c r="P132" i="20" s="1"/>
  <c r="I157" i="62"/>
  <c r="I130" i="20" s="1"/>
  <c r="AF159" i="62"/>
  <c r="AF132" i="20" s="1"/>
  <c r="S158" i="62"/>
  <c r="S131" i="20" s="1"/>
  <c r="K158" i="62"/>
  <c r="K131" i="20" s="1"/>
  <c r="AN17" i="62"/>
  <c r="AP17" i="62" s="1"/>
  <c r="AP25" i="62"/>
  <c r="AP28" i="62"/>
  <c r="AP30" i="62"/>
  <c r="AM34" i="62"/>
  <c r="AP44" i="62"/>
  <c r="AL56" i="62"/>
  <c r="AA157" i="62" s="1"/>
  <c r="AA130" i="20" s="1"/>
  <c r="S60" i="62"/>
  <c r="AF61" i="62"/>
  <c r="AP29" i="62"/>
  <c r="AP54" i="62"/>
  <c r="W66" i="62"/>
  <c r="Q163" i="62" s="1"/>
  <c r="Q136" i="20" s="1"/>
  <c r="AP21" i="62"/>
  <c r="AP55" i="62"/>
  <c r="AC62" i="62"/>
  <c r="AC64" i="62" s="1"/>
  <c r="AN52" i="62"/>
  <c r="AP52" i="62" s="1"/>
  <c r="AL58" i="62"/>
  <c r="AK59" i="62"/>
  <c r="S61" i="62"/>
  <c r="R62" i="62"/>
  <c r="R66" i="62" s="1"/>
  <c r="Z62" i="62"/>
  <c r="Z64" i="62" s="1"/>
  <c r="P63" i="62"/>
  <c r="B157" i="62"/>
  <c r="B130" i="20" s="1"/>
  <c r="L158" i="62"/>
  <c r="T158" i="62"/>
  <c r="T131" i="20" s="1"/>
  <c r="AB158" i="62"/>
  <c r="AB131" i="20" s="1"/>
  <c r="Q159" i="62"/>
  <c r="Q132" i="20" s="1"/>
  <c r="Y159" i="62"/>
  <c r="Y132" i="20" s="1"/>
  <c r="AN31" i="62"/>
  <c r="AP31" i="62" s="1"/>
  <c r="AN39" i="62"/>
  <c r="AP39" i="62" s="1"/>
  <c r="AN47" i="62"/>
  <c r="AP47" i="62" s="1"/>
  <c r="X56" i="62"/>
  <c r="T24" i="41" s="1"/>
  <c r="AF56" i="62"/>
  <c r="X157" i="62" s="1"/>
  <c r="X130" i="20" s="1"/>
  <c r="AL59" i="62"/>
  <c r="AK60" i="62"/>
  <c r="K62" i="62"/>
  <c r="K65" i="62" s="1"/>
  <c r="N162" i="62" s="1"/>
  <c r="N135" i="20" s="1"/>
  <c r="AA62" i="62"/>
  <c r="AA63" i="62" s="1"/>
  <c r="AI62" i="62"/>
  <c r="AI64" i="62" s="1"/>
  <c r="V161" i="62" s="1"/>
  <c r="V134" i="20" s="1"/>
  <c r="AQ62" i="62"/>
  <c r="AQ65" i="62" s="1"/>
  <c r="AF162" i="62" s="1"/>
  <c r="AF135" i="20" s="1"/>
  <c r="C157" i="62"/>
  <c r="C130" i="20" s="1"/>
  <c r="U158" i="62"/>
  <c r="U131" i="20" s="1"/>
  <c r="AC158" i="62"/>
  <c r="AC131" i="20" s="1"/>
  <c r="R159" i="62"/>
  <c r="R132" i="20" s="1"/>
  <c r="Z159" i="62"/>
  <c r="Z132" i="20" s="1"/>
  <c r="X58" i="62"/>
  <c r="AF58" i="62"/>
  <c r="AL60" i="62"/>
  <c r="AK61" i="62"/>
  <c r="L62" i="62"/>
  <c r="L63" i="62" s="1"/>
  <c r="O160" i="62" s="1"/>
  <c r="O133" i="20" s="1"/>
  <c r="T62" i="62"/>
  <c r="T63" i="62" s="1"/>
  <c r="S160" i="62" s="1"/>
  <c r="S133" i="20" s="1"/>
  <c r="AB62" i="62"/>
  <c r="AB64" i="62" s="1"/>
  <c r="AJ62" i="62"/>
  <c r="AJ63" i="62" s="1"/>
  <c r="W160" i="62" s="1"/>
  <c r="W133" i="20" s="1"/>
  <c r="D157" i="62"/>
  <c r="D130" i="20" s="1"/>
  <c r="N158" i="62"/>
  <c r="N131" i="20" s="1"/>
  <c r="V158" i="62"/>
  <c r="V131" i="20" s="1"/>
  <c r="AD158" i="62"/>
  <c r="AD131" i="20" s="1"/>
  <c r="S159" i="62"/>
  <c r="S132" i="20" s="1"/>
  <c r="AA159" i="62"/>
  <c r="AA132" i="20" s="1"/>
  <c r="X59" i="62"/>
  <c r="AF59" i="62"/>
  <c r="E157" i="62"/>
  <c r="E130" i="20" s="1"/>
  <c r="O158" i="62"/>
  <c r="O131" i="20" s="1"/>
  <c r="W158" i="62"/>
  <c r="W131" i="20" s="1"/>
  <c r="AE158" i="62"/>
  <c r="AE131" i="20" s="1"/>
  <c r="T159" i="62"/>
  <c r="T132" i="20" s="1"/>
  <c r="AB159" i="62"/>
  <c r="AB132" i="20" s="1"/>
  <c r="AN8" i="62"/>
  <c r="AP8" i="62" s="1"/>
  <c r="AN16" i="62"/>
  <c r="AP16" i="62" s="1"/>
  <c r="AN24" i="62"/>
  <c r="AP24" i="62" s="1"/>
  <c r="AN32" i="62"/>
  <c r="AP32" i="62" s="1"/>
  <c r="AN40" i="62"/>
  <c r="AP40" i="62" s="1"/>
  <c r="AN48" i="62"/>
  <c r="AP48" i="62" s="1"/>
  <c r="S56" i="62"/>
  <c r="R157" i="62" s="1"/>
  <c r="R130" i="20" s="1"/>
  <c r="X60" i="62"/>
  <c r="AF60" i="62"/>
  <c r="N62" i="62"/>
  <c r="N66" i="62" s="1"/>
  <c r="V62" i="62"/>
  <c r="V63" i="62" s="1"/>
  <c r="P160" i="62" s="1"/>
  <c r="P133" i="20" s="1"/>
  <c r="AD62" i="62"/>
  <c r="AD66" i="62" s="1"/>
  <c r="H69" i="62"/>
  <c r="P158" i="62"/>
  <c r="P131" i="20" s="1"/>
  <c r="X158" i="62"/>
  <c r="X131" i="20" s="1"/>
  <c r="AF158" i="62"/>
  <c r="AF131" i="20" s="1"/>
  <c r="U159" i="62"/>
  <c r="U132" i="20" s="1"/>
  <c r="AM6" i="62"/>
  <c r="AN11" i="62"/>
  <c r="AP11" i="62" s="1"/>
  <c r="AN19" i="62"/>
  <c r="AP19" i="62" s="1"/>
  <c r="AN27" i="62"/>
  <c r="AP27" i="62" s="1"/>
  <c r="AN35" i="62"/>
  <c r="AP35" i="62" s="1"/>
  <c r="AN43" i="62"/>
  <c r="AP43" i="62" s="1"/>
  <c r="AN51" i="62"/>
  <c r="AP51" i="62" s="1"/>
  <c r="S58" i="62"/>
  <c r="Q158" i="62"/>
  <c r="Q131" i="20" s="1"/>
  <c r="Y158" i="62"/>
  <c r="Y131" i="20" s="1"/>
  <c r="N159" i="62"/>
  <c r="N132" i="20" s="1"/>
  <c r="V159" i="62"/>
  <c r="V132" i="20" s="1"/>
  <c r="AD159" i="62"/>
  <c r="AD132" i="20" s="1"/>
  <c r="AN6" i="62"/>
  <c r="AC159" i="62" s="1"/>
  <c r="AC132" i="20" s="1"/>
  <c r="H157" i="62"/>
  <c r="R158" i="62"/>
  <c r="R131" i="20" s="1"/>
  <c r="Z158" i="62"/>
  <c r="Z131" i="20" s="1"/>
  <c r="O159" i="62"/>
  <c r="O132" i="20" s="1"/>
  <c r="W159" i="62"/>
  <c r="W132" i="20" s="1"/>
  <c r="AP24" i="61"/>
  <c r="AP48" i="61"/>
  <c r="N62" i="61"/>
  <c r="N64" i="61" s="1"/>
  <c r="Y66" i="61"/>
  <c r="U163" i="61" s="1"/>
  <c r="U129" i="20" s="1"/>
  <c r="Y64" i="61"/>
  <c r="U161" i="61" s="1"/>
  <c r="U127" i="20" s="1"/>
  <c r="AI64" i="61"/>
  <c r="V161" i="61" s="1"/>
  <c r="V127" i="20" s="1"/>
  <c r="AF159" i="61"/>
  <c r="AF125" i="20" s="1"/>
  <c r="AH61" i="61"/>
  <c r="AN28" i="61"/>
  <c r="AP28" i="61" s="1"/>
  <c r="AP39" i="61"/>
  <c r="Z63" i="61"/>
  <c r="P64" i="61"/>
  <c r="Z64" i="61"/>
  <c r="P65" i="61"/>
  <c r="B157" i="61"/>
  <c r="B123" i="20" s="1"/>
  <c r="AP40" i="61"/>
  <c r="AA62" i="61"/>
  <c r="AA63" i="61" s="1"/>
  <c r="AK59" i="61"/>
  <c r="S61" i="61"/>
  <c r="Y159" i="61"/>
  <c r="Y125" i="20" s="1"/>
  <c r="AP31" i="61"/>
  <c r="Q66" i="61"/>
  <c r="Q64" i="61"/>
  <c r="AQ62" i="61"/>
  <c r="AQ63" i="61" s="1"/>
  <c r="AF160" i="61" s="1"/>
  <c r="AF126" i="20" s="1"/>
  <c r="AQ64" i="61"/>
  <c r="AF161" i="61" s="1"/>
  <c r="AF127" i="20" s="1"/>
  <c r="AO61" i="61"/>
  <c r="AP32" i="61"/>
  <c r="AL56" i="61"/>
  <c r="AA157" i="61" s="1"/>
  <c r="AA123" i="20" s="1"/>
  <c r="S60" i="61"/>
  <c r="AN20" i="61"/>
  <c r="AP20" i="61" s="1"/>
  <c r="AN44" i="61"/>
  <c r="AP44" i="61" s="1"/>
  <c r="AP55" i="61"/>
  <c r="AD62" i="61"/>
  <c r="AD64" i="61" s="1"/>
  <c r="L158" i="61"/>
  <c r="L124" i="20" s="1"/>
  <c r="AP9" i="61"/>
  <c r="AP50" i="61"/>
  <c r="V62" i="61"/>
  <c r="V64" i="61" s="1"/>
  <c r="P161" i="61" s="1"/>
  <c r="P127" i="20" s="1"/>
  <c r="AG65" i="61"/>
  <c r="Y162" i="61" s="1"/>
  <c r="Y128" i="20" s="1"/>
  <c r="AI66" i="61"/>
  <c r="V163" i="61" s="1"/>
  <c r="V129" i="20" s="1"/>
  <c r="X61" i="61"/>
  <c r="AM6" i="61"/>
  <c r="X60" i="61"/>
  <c r="X59" i="61"/>
  <c r="X58" i="61"/>
  <c r="X56" i="61"/>
  <c r="T23" i="41" s="1"/>
  <c r="AN36" i="61"/>
  <c r="AP36" i="61" s="1"/>
  <c r="AP47" i="61"/>
  <c r="AG66" i="61"/>
  <c r="Y163" i="61" s="1"/>
  <c r="Y129" i="20" s="1"/>
  <c r="AG64" i="61"/>
  <c r="Y161" i="61" s="1"/>
  <c r="Y127" i="20" s="1"/>
  <c r="Y65" i="61"/>
  <c r="U162" i="61" s="1"/>
  <c r="U128" i="20" s="1"/>
  <c r="AI65" i="61"/>
  <c r="V162" i="61" s="1"/>
  <c r="V128" i="20" s="1"/>
  <c r="P66" i="61"/>
  <c r="AB158" i="61"/>
  <c r="AB124" i="20" s="1"/>
  <c r="AF56" i="61"/>
  <c r="X157" i="61" s="1"/>
  <c r="X123" i="20" s="1"/>
  <c r="AL59" i="61"/>
  <c r="AK60" i="61"/>
  <c r="K62" i="61"/>
  <c r="K66" i="61" s="1"/>
  <c r="N163" i="61" s="1"/>
  <c r="N129" i="20" s="1"/>
  <c r="Q63" i="61"/>
  <c r="Y63" i="61"/>
  <c r="U160" i="61" s="1"/>
  <c r="U126" i="20" s="1"/>
  <c r="AG63" i="61"/>
  <c r="Y160" i="61" s="1"/>
  <c r="Y126" i="20" s="1"/>
  <c r="C157" i="61"/>
  <c r="C123" i="20" s="1"/>
  <c r="U158" i="61"/>
  <c r="U124" i="20" s="1"/>
  <c r="R159" i="61"/>
  <c r="R125" i="20" s="1"/>
  <c r="Z159" i="61"/>
  <c r="Z125" i="20" s="1"/>
  <c r="AN10" i="61"/>
  <c r="AP10" i="61" s="1"/>
  <c r="AN18" i="61"/>
  <c r="AP18" i="61" s="1"/>
  <c r="AN26" i="61"/>
  <c r="AP26" i="61" s="1"/>
  <c r="AN34" i="61"/>
  <c r="AP34" i="61" s="1"/>
  <c r="AN42" i="61"/>
  <c r="AP42" i="61" s="1"/>
  <c r="AN50" i="61"/>
  <c r="AO56" i="61"/>
  <c r="AD157" i="61" s="1"/>
  <c r="AD123" i="20" s="1"/>
  <c r="AF58" i="61"/>
  <c r="AL60" i="61"/>
  <c r="AK61" i="61"/>
  <c r="L62" i="61"/>
  <c r="L64" i="61" s="1"/>
  <c r="O161" i="61" s="1"/>
  <c r="O127" i="20" s="1"/>
  <c r="T62" i="61"/>
  <c r="T66" i="61" s="1"/>
  <c r="S163" i="61" s="1"/>
  <c r="S129" i="20" s="1"/>
  <c r="AB62" i="61"/>
  <c r="AB66" i="61" s="1"/>
  <c r="AJ62" i="61"/>
  <c r="AJ66" i="61" s="1"/>
  <c r="W163" i="61" s="1"/>
  <c r="W129" i="20" s="1"/>
  <c r="D157" i="61"/>
  <c r="D123" i="20" s="1"/>
  <c r="N158" i="61"/>
  <c r="N124" i="20" s="1"/>
  <c r="V158" i="61"/>
  <c r="V124" i="20" s="1"/>
  <c r="AD158" i="61"/>
  <c r="AD124" i="20" s="1"/>
  <c r="S159" i="61"/>
  <c r="S125" i="20" s="1"/>
  <c r="AA159" i="61"/>
  <c r="AA125" i="20" s="1"/>
  <c r="AN13" i="61"/>
  <c r="AP13" i="61" s="1"/>
  <c r="AN21" i="61"/>
  <c r="AP21" i="61" s="1"/>
  <c r="AN29" i="61"/>
  <c r="AP29" i="61" s="1"/>
  <c r="AN37" i="61"/>
  <c r="AP37" i="61" s="1"/>
  <c r="AN45" i="61"/>
  <c r="AP45" i="61" s="1"/>
  <c r="AN53" i="61"/>
  <c r="AP53" i="61" s="1"/>
  <c r="AH56" i="61"/>
  <c r="Z157" i="61" s="1"/>
  <c r="Z123" i="20" s="1"/>
  <c r="AO58" i="61"/>
  <c r="AF59" i="61"/>
  <c r="AL61" i="61"/>
  <c r="M62" i="61"/>
  <c r="M66" i="61" s="1"/>
  <c r="AC62" i="61"/>
  <c r="AC63" i="61" s="1"/>
  <c r="E157" i="61"/>
  <c r="E123" i="20" s="1"/>
  <c r="O158" i="61"/>
  <c r="O124" i="20" s="1"/>
  <c r="W158" i="61"/>
  <c r="W124" i="20" s="1"/>
  <c r="AB159" i="61"/>
  <c r="AB125" i="20" s="1"/>
  <c r="S56" i="61"/>
  <c r="R157" i="61" s="1"/>
  <c r="R123" i="20" s="1"/>
  <c r="AH58" i="61"/>
  <c r="AO59" i="61"/>
  <c r="AF60" i="61"/>
  <c r="H69" i="61"/>
  <c r="F157" i="61"/>
  <c r="F123" i="20" s="1"/>
  <c r="P158" i="61"/>
  <c r="P124" i="20" s="1"/>
  <c r="X158" i="61"/>
  <c r="X124" i="20" s="1"/>
  <c r="AF158" i="61"/>
  <c r="AF124" i="20" s="1"/>
  <c r="U159" i="61"/>
  <c r="U125" i="20" s="1"/>
  <c r="AN11" i="61"/>
  <c r="AP11" i="61" s="1"/>
  <c r="AN19" i="61"/>
  <c r="AP19" i="61" s="1"/>
  <c r="AN27" i="61"/>
  <c r="AP27" i="61" s="1"/>
  <c r="AN43" i="61"/>
  <c r="AP43" i="61" s="1"/>
  <c r="AN51" i="61"/>
  <c r="AP51" i="61" s="1"/>
  <c r="S58" i="61"/>
  <c r="AH59" i="61"/>
  <c r="AO60" i="61"/>
  <c r="O62" i="61"/>
  <c r="O65" i="61" s="1"/>
  <c r="W62" i="61"/>
  <c r="W66" i="61" s="1"/>
  <c r="Q163" i="61" s="1"/>
  <c r="Q129" i="20" s="1"/>
  <c r="AE62" i="61"/>
  <c r="AE65" i="61" s="1"/>
  <c r="Q158" i="61"/>
  <c r="Q124" i="20" s="1"/>
  <c r="Y158" i="61"/>
  <c r="Y124" i="20" s="1"/>
  <c r="N159" i="61"/>
  <c r="N125" i="20" s="1"/>
  <c r="V159" i="61"/>
  <c r="V125" i="20" s="1"/>
  <c r="AD159" i="61"/>
  <c r="AD125" i="20" s="1"/>
  <c r="AN6" i="61"/>
  <c r="AK56" i="61"/>
  <c r="AG23" i="41" s="1"/>
  <c r="S59" i="61"/>
  <c r="AH60" i="61"/>
  <c r="H157" i="61"/>
  <c r="R158" i="61"/>
  <c r="R124" i="20" s="1"/>
  <c r="Z158" i="61"/>
  <c r="Z124" i="20" s="1"/>
  <c r="O159" i="61"/>
  <c r="O125" i="20" s="1"/>
  <c r="W159" i="61"/>
  <c r="W125" i="20" s="1"/>
  <c r="I157" i="61"/>
  <c r="I123" i="20" s="1"/>
  <c r="K158" i="61"/>
  <c r="K124" i="20" s="1"/>
  <c r="S158" i="61"/>
  <c r="S124" i="20" s="1"/>
  <c r="AA158" i="61"/>
  <c r="AA124" i="20" s="1"/>
  <c r="P159" i="61"/>
  <c r="P125" i="20" s="1"/>
  <c r="X159" i="61"/>
  <c r="X125" i="20" s="1"/>
  <c r="O62" i="60"/>
  <c r="O64" i="60" s="1"/>
  <c r="Q65" i="60"/>
  <c r="AK60" i="60"/>
  <c r="Q66" i="60"/>
  <c r="AN15" i="60"/>
  <c r="AP15" i="60" s="1"/>
  <c r="AP16" i="60"/>
  <c r="AP18" i="60"/>
  <c r="AN31" i="60"/>
  <c r="AP31" i="60" s="1"/>
  <c r="AP32" i="60"/>
  <c r="AP34" i="60"/>
  <c r="AP44" i="60"/>
  <c r="AN55" i="60"/>
  <c r="AP55" i="60" s="1"/>
  <c r="AA63" i="60"/>
  <c r="Q64" i="60"/>
  <c r="AF61" i="60"/>
  <c r="AF60" i="60"/>
  <c r="AF59" i="60"/>
  <c r="AF58" i="60"/>
  <c r="AH6" i="60"/>
  <c r="X61" i="60"/>
  <c r="E69" i="60"/>
  <c r="C157" i="60"/>
  <c r="C116" i="20" s="1"/>
  <c r="AF159" i="60"/>
  <c r="AF118" i="20" s="1"/>
  <c r="AK58" i="60"/>
  <c r="AN14" i="60"/>
  <c r="AP14" i="60" s="1"/>
  <c r="AN30" i="60"/>
  <c r="AP30" i="60" s="1"/>
  <c r="AN54" i="60"/>
  <c r="AP54" i="60" s="1"/>
  <c r="AG66" i="60"/>
  <c r="Y163" i="60" s="1"/>
  <c r="Y122" i="20" s="1"/>
  <c r="S60" i="60"/>
  <c r="R159" i="60"/>
  <c r="R118" i="20" s="1"/>
  <c r="U158" i="60"/>
  <c r="U117" i="20" s="1"/>
  <c r="AL56" i="60"/>
  <c r="AA157" i="60" s="1"/>
  <c r="AA116" i="20" s="1"/>
  <c r="AN7" i="60"/>
  <c r="AP8" i="60"/>
  <c r="AP10" i="60"/>
  <c r="AN23" i="60"/>
  <c r="AP23" i="60" s="1"/>
  <c r="AP24" i="60"/>
  <c r="AP26" i="60"/>
  <c r="AN39" i="60"/>
  <c r="AP39" i="60" s="1"/>
  <c r="AP40" i="60"/>
  <c r="AE62" i="60"/>
  <c r="AE64" i="60" s="1"/>
  <c r="AG64" i="60"/>
  <c r="Y161" i="60" s="1"/>
  <c r="Y120" i="20" s="1"/>
  <c r="AG65" i="60"/>
  <c r="Y162" i="60" s="1"/>
  <c r="Y121" i="20" s="1"/>
  <c r="Y66" i="60"/>
  <c r="U163" i="60" s="1"/>
  <c r="U122" i="20" s="1"/>
  <c r="AO61" i="60"/>
  <c r="AP22" i="60"/>
  <c r="AP38" i="60"/>
  <c r="X56" i="60"/>
  <c r="AF56" i="60"/>
  <c r="X157" i="60" s="1"/>
  <c r="X116" i="20" s="1"/>
  <c r="W62" i="60"/>
  <c r="W64" i="60" s="1"/>
  <c r="Q161" i="60" s="1"/>
  <c r="Q120" i="20" s="1"/>
  <c r="Y64" i="60"/>
  <c r="U161" i="60" s="1"/>
  <c r="U120" i="20" s="1"/>
  <c r="Y65" i="60"/>
  <c r="U162" i="60" s="1"/>
  <c r="U121" i="20" s="1"/>
  <c r="U9" i="60"/>
  <c r="U17" i="60"/>
  <c r="T159" i="60" s="1"/>
  <c r="T118" i="20" s="1"/>
  <c r="U25" i="60"/>
  <c r="U33" i="60"/>
  <c r="U41" i="60"/>
  <c r="U49" i="60"/>
  <c r="AL58" i="60"/>
  <c r="AK59" i="60"/>
  <c r="S61" i="60"/>
  <c r="R62" i="60"/>
  <c r="R66" i="60" s="1"/>
  <c r="Z62" i="60"/>
  <c r="Z64" i="60" s="1"/>
  <c r="P63" i="60"/>
  <c r="B157" i="60"/>
  <c r="B116" i="20" s="1"/>
  <c r="L158" i="60"/>
  <c r="L117" i="20" s="1"/>
  <c r="AB158" i="60"/>
  <c r="AB117" i="20" s="1"/>
  <c r="Q159" i="60"/>
  <c r="Q118" i="20" s="1"/>
  <c r="Y159" i="60"/>
  <c r="Y118" i="20" s="1"/>
  <c r="AN42" i="60"/>
  <c r="AP42" i="60" s="1"/>
  <c r="AN50" i="60"/>
  <c r="AP50" i="60" s="1"/>
  <c r="AO56" i="60"/>
  <c r="AD157" i="60" s="1"/>
  <c r="AD116" i="20" s="1"/>
  <c r="X58" i="60"/>
  <c r="AL60" i="60"/>
  <c r="AK61" i="60"/>
  <c r="L62" i="60"/>
  <c r="L66" i="60" s="1"/>
  <c r="O163" i="60" s="1"/>
  <c r="O122" i="20" s="1"/>
  <c r="T62" i="60"/>
  <c r="T65" i="60" s="1"/>
  <c r="S162" i="60" s="1"/>
  <c r="S121" i="20" s="1"/>
  <c r="AB62" i="60"/>
  <c r="AB66" i="60" s="1"/>
  <c r="AJ62" i="60"/>
  <c r="AJ64" i="60" s="1"/>
  <c r="W161" i="60" s="1"/>
  <c r="W120" i="20" s="1"/>
  <c r="D157" i="60"/>
  <c r="D116" i="20" s="1"/>
  <c r="N158" i="60"/>
  <c r="N117" i="20" s="1"/>
  <c r="V158" i="60"/>
  <c r="V117" i="20" s="1"/>
  <c r="AD158" i="60"/>
  <c r="AD117" i="20" s="1"/>
  <c r="S159" i="60"/>
  <c r="S118" i="20" s="1"/>
  <c r="AA159" i="60"/>
  <c r="AA118" i="20" s="1"/>
  <c r="AN13" i="60"/>
  <c r="AP13" i="60" s="1"/>
  <c r="AN21" i="60"/>
  <c r="AP21" i="60" s="1"/>
  <c r="AN29" i="60"/>
  <c r="AP29" i="60" s="1"/>
  <c r="AN37" i="60"/>
  <c r="AP37" i="60" s="1"/>
  <c r="AN45" i="60"/>
  <c r="AP45" i="60" s="1"/>
  <c r="AN53" i="60"/>
  <c r="AP53" i="60" s="1"/>
  <c r="AO58" i="60"/>
  <c r="X59" i="60"/>
  <c r="AL61" i="60"/>
  <c r="M62" i="60"/>
  <c r="M65" i="60" s="1"/>
  <c r="AC62" i="60"/>
  <c r="AC65" i="60" s="1"/>
  <c r="E157" i="60"/>
  <c r="E116" i="20" s="1"/>
  <c r="O158" i="60"/>
  <c r="O117" i="20" s="1"/>
  <c r="W158" i="60"/>
  <c r="W117" i="20" s="1"/>
  <c r="S56" i="60"/>
  <c r="R157" i="60" s="1"/>
  <c r="R116" i="20" s="1"/>
  <c r="AO59" i="60"/>
  <c r="X60" i="60"/>
  <c r="N62" i="60"/>
  <c r="N64" i="60" s="1"/>
  <c r="V62" i="60"/>
  <c r="V64" i="60" s="1"/>
  <c r="P161" i="60" s="1"/>
  <c r="P120" i="20" s="1"/>
  <c r="AD62" i="60"/>
  <c r="AD66" i="60" s="1"/>
  <c r="H69" i="60"/>
  <c r="F157" i="60"/>
  <c r="F116" i="20" s="1"/>
  <c r="P158" i="60"/>
  <c r="P117" i="20" s="1"/>
  <c r="X158" i="60"/>
  <c r="X117" i="20" s="1"/>
  <c r="AF158" i="60"/>
  <c r="AF117" i="20" s="1"/>
  <c r="U159" i="60"/>
  <c r="U118" i="20" s="1"/>
  <c r="AM6" i="60"/>
  <c r="AB159" i="60" s="1"/>
  <c r="AB118" i="20" s="1"/>
  <c r="AN11" i="60"/>
  <c r="AP11" i="60" s="1"/>
  <c r="AN19" i="60"/>
  <c r="AP19" i="60" s="1"/>
  <c r="AN27" i="60"/>
  <c r="AP27" i="60" s="1"/>
  <c r="AN35" i="60"/>
  <c r="AP35" i="60" s="1"/>
  <c r="AN43" i="60"/>
  <c r="AP43" i="60" s="1"/>
  <c r="AN51" i="60"/>
  <c r="AP51" i="60" s="1"/>
  <c r="S58" i="60"/>
  <c r="AO60" i="60"/>
  <c r="Q158" i="60"/>
  <c r="Q117" i="20" s="1"/>
  <c r="Y158" i="60"/>
  <c r="Y117" i="20" s="1"/>
  <c r="N159" i="60"/>
  <c r="N118" i="20" s="1"/>
  <c r="V159" i="60"/>
  <c r="V118" i="20" s="1"/>
  <c r="AD159" i="60"/>
  <c r="AD118" i="20" s="1"/>
  <c r="AN6" i="60"/>
  <c r="AK56" i="60"/>
  <c r="AG22" i="41" s="1"/>
  <c r="S59" i="60"/>
  <c r="H157" i="60"/>
  <c r="H116" i="20" s="1"/>
  <c r="R158" i="60"/>
  <c r="R117" i="20" s="1"/>
  <c r="Z158" i="60"/>
  <c r="Z117" i="20" s="1"/>
  <c r="O159" i="60"/>
  <c r="O118" i="20" s="1"/>
  <c r="W159" i="60"/>
  <c r="W118" i="20" s="1"/>
  <c r="I157" i="60"/>
  <c r="I116" i="20" s="1"/>
  <c r="K158" i="60"/>
  <c r="K117" i="20" s="1"/>
  <c r="S158" i="60"/>
  <c r="S117" i="20" s="1"/>
  <c r="AA158" i="60"/>
  <c r="AA117" i="20" s="1"/>
  <c r="P159" i="60"/>
  <c r="P118" i="20" s="1"/>
  <c r="X159" i="60"/>
  <c r="X118" i="20" s="1"/>
  <c r="AP48" i="59"/>
  <c r="N62" i="59"/>
  <c r="N64" i="59" s="1"/>
  <c r="Y66" i="59"/>
  <c r="U163" i="59" s="1"/>
  <c r="U115" i="20" s="1"/>
  <c r="Y64" i="59"/>
  <c r="U161" i="59" s="1"/>
  <c r="U113" i="20" s="1"/>
  <c r="AI64" i="59"/>
  <c r="V161" i="59" s="1"/>
  <c r="V113" i="20" s="1"/>
  <c r="Q159" i="59"/>
  <c r="Q111" i="20" s="1"/>
  <c r="X61" i="59"/>
  <c r="AM6" i="59"/>
  <c r="X60" i="59"/>
  <c r="X59" i="59"/>
  <c r="X58" i="59"/>
  <c r="X56" i="59"/>
  <c r="T21" i="41" s="1"/>
  <c r="AN12" i="59"/>
  <c r="AP12" i="59" s="1"/>
  <c r="AP39" i="59"/>
  <c r="P64" i="59"/>
  <c r="Z64" i="59"/>
  <c r="P65" i="59"/>
  <c r="AQ65" i="59"/>
  <c r="AF162" i="59" s="1"/>
  <c r="AF114" i="20" s="1"/>
  <c r="B157" i="59"/>
  <c r="B109" i="20" s="1"/>
  <c r="AP40" i="59"/>
  <c r="AA62" i="59"/>
  <c r="AA63" i="59" s="1"/>
  <c r="AA64" i="59"/>
  <c r="S61" i="59"/>
  <c r="AP10" i="59"/>
  <c r="Q66" i="59"/>
  <c r="Q64" i="59"/>
  <c r="AQ62" i="59"/>
  <c r="AQ63" i="59" s="1"/>
  <c r="AF160" i="59" s="1"/>
  <c r="AF112" i="20" s="1"/>
  <c r="AF159" i="59"/>
  <c r="AF111" i="20" s="1"/>
  <c r="X159" i="59"/>
  <c r="X111" i="20" s="1"/>
  <c r="P159" i="59"/>
  <c r="P111" i="20" s="1"/>
  <c r="AA158" i="59"/>
  <c r="AA110" i="20" s="1"/>
  <c r="S158" i="59"/>
  <c r="S110" i="20" s="1"/>
  <c r="K158" i="59"/>
  <c r="K110" i="20" s="1"/>
  <c r="I157" i="59"/>
  <c r="I109" i="20" s="1"/>
  <c r="W159" i="59"/>
  <c r="W111" i="20" s="1"/>
  <c r="O159" i="59"/>
  <c r="O111" i="20" s="1"/>
  <c r="Z158" i="59"/>
  <c r="Z110" i="20" s="1"/>
  <c r="R158" i="59"/>
  <c r="R110" i="20" s="1"/>
  <c r="H157" i="59"/>
  <c r="H109" i="20" s="1"/>
  <c r="AD159" i="59"/>
  <c r="AD111" i="20" s="1"/>
  <c r="V159" i="59"/>
  <c r="V111" i="20" s="1"/>
  <c r="N159" i="59"/>
  <c r="N111" i="20" s="1"/>
  <c r="Y158" i="59"/>
  <c r="Y110" i="20" s="1"/>
  <c r="Q158" i="59"/>
  <c r="Q110" i="20" s="1"/>
  <c r="U159" i="59"/>
  <c r="U111" i="20" s="1"/>
  <c r="AF158" i="59"/>
  <c r="AF110" i="20" s="1"/>
  <c r="X158" i="59"/>
  <c r="X110" i="20" s="1"/>
  <c r="P158" i="59"/>
  <c r="P110" i="20" s="1"/>
  <c r="W158" i="59"/>
  <c r="W110" i="20" s="1"/>
  <c r="O158" i="59"/>
  <c r="O110" i="20" s="1"/>
  <c r="AA159" i="59"/>
  <c r="AA111" i="20" s="1"/>
  <c r="S159" i="59"/>
  <c r="S111" i="20" s="1"/>
  <c r="AD158" i="59"/>
  <c r="AD110" i="20" s="1"/>
  <c r="V158" i="59"/>
  <c r="V110" i="20" s="1"/>
  <c r="N158" i="59"/>
  <c r="N110" i="20" s="1"/>
  <c r="Z159" i="59"/>
  <c r="Z111" i="20" s="1"/>
  <c r="R159" i="59"/>
  <c r="R111" i="20" s="1"/>
  <c r="U158" i="59"/>
  <c r="U110" i="20" s="1"/>
  <c r="AN17" i="59"/>
  <c r="AP17" i="59" s="1"/>
  <c r="N69" i="59"/>
  <c r="D157" i="59"/>
  <c r="D109" i="20" s="1"/>
  <c r="AP18" i="59"/>
  <c r="AE66" i="59"/>
  <c r="G157" i="59"/>
  <c r="G109" i="20" s="1"/>
  <c r="H69" i="59"/>
  <c r="AK58" i="59"/>
  <c r="AK56" i="59"/>
  <c r="AG21" i="41" s="1"/>
  <c r="AK61" i="59"/>
  <c r="AK60" i="59"/>
  <c r="AL56" i="59"/>
  <c r="AA157" i="59" s="1"/>
  <c r="AA109" i="20" s="1"/>
  <c r="AM11" i="59"/>
  <c r="AB159" i="59" s="1"/>
  <c r="AB111" i="20" s="1"/>
  <c r="AN19" i="59"/>
  <c r="AP19" i="59" s="1"/>
  <c r="AN27" i="59"/>
  <c r="AP27" i="59" s="1"/>
  <c r="AN44" i="59"/>
  <c r="AP44" i="59" s="1"/>
  <c r="AP55" i="59"/>
  <c r="K62" i="59"/>
  <c r="K63" i="59" s="1"/>
  <c r="N160" i="59" s="1"/>
  <c r="N112" i="20" s="1"/>
  <c r="AD62" i="59"/>
  <c r="AD64" i="59" s="1"/>
  <c r="AE65" i="59"/>
  <c r="W66" i="59"/>
  <c r="Q163" i="59" s="1"/>
  <c r="Q115" i="20" s="1"/>
  <c r="R66" i="59"/>
  <c r="L158" i="59"/>
  <c r="L110" i="20" s="1"/>
  <c r="AF61" i="59"/>
  <c r="AH61" i="59"/>
  <c r="AH60" i="59"/>
  <c r="AH59" i="59"/>
  <c r="AH58" i="59"/>
  <c r="AH56" i="59"/>
  <c r="Z157" i="59" s="1"/>
  <c r="Z109" i="20" s="1"/>
  <c r="AO61" i="59"/>
  <c r="AO60" i="59"/>
  <c r="AO59" i="59"/>
  <c r="AO58" i="59"/>
  <c r="AO56" i="59"/>
  <c r="AD157" i="59" s="1"/>
  <c r="AD109" i="20" s="1"/>
  <c r="V62" i="59"/>
  <c r="V64" i="59" s="1"/>
  <c r="P161" i="59" s="1"/>
  <c r="P113" i="20" s="1"/>
  <c r="AE64" i="59"/>
  <c r="W65" i="59"/>
  <c r="Q162" i="59" s="1"/>
  <c r="Q114" i="20" s="1"/>
  <c r="AG65" i="59"/>
  <c r="Y162" i="59" s="1"/>
  <c r="Y114" i="20" s="1"/>
  <c r="AI66" i="59"/>
  <c r="V163" i="59" s="1"/>
  <c r="V115" i="20" s="1"/>
  <c r="Z66" i="59"/>
  <c r="AP47" i="59"/>
  <c r="AG66" i="59"/>
  <c r="Y163" i="59" s="1"/>
  <c r="Y115" i="20" s="1"/>
  <c r="AG64" i="59"/>
  <c r="Y161" i="59" s="1"/>
  <c r="Y113" i="20" s="1"/>
  <c r="W64" i="59"/>
  <c r="Q161" i="59" s="1"/>
  <c r="Q113" i="20" s="1"/>
  <c r="Y65" i="59"/>
  <c r="U162" i="59" s="1"/>
  <c r="U114" i="20" s="1"/>
  <c r="AI65" i="59"/>
  <c r="V162" i="59" s="1"/>
  <c r="V114" i="20" s="1"/>
  <c r="P66" i="59"/>
  <c r="AB158" i="59"/>
  <c r="AB110" i="20" s="1"/>
  <c r="AF56" i="59"/>
  <c r="X157" i="59" s="1"/>
  <c r="X109" i="20" s="1"/>
  <c r="AL59" i="59"/>
  <c r="Q63" i="59"/>
  <c r="Y63" i="59"/>
  <c r="U160" i="59" s="1"/>
  <c r="U112" i="20" s="1"/>
  <c r="C157" i="59"/>
  <c r="C109" i="20" s="1"/>
  <c r="AN34" i="59"/>
  <c r="AP34" i="59" s="1"/>
  <c r="AN42" i="59"/>
  <c r="AP42" i="59" s="1"/>
  <c r="AN50" i="59"/>
  <c r="AP50" i="59" s="1"/>
  <c r="AF58" i="59"/>
  <c r="AL60" i="59"/>
  <c r="L62" i="59"/>
  <c r="L64" i="59" s="1"/>
  <c r="O161" i="59" s="1"/>
  <c r="O113" i="20" s="1"/>
  <c r="T62" i="59"/>
  <c r="T66" i="59" s="1"/>
  <c r="S163" i="59" s="1"/>
  <c r="S115" i="20" s="1"/>
  <c r="AB62" i="59"/>
  <c r="AB66" i="59" s="1"/>
  <c r="AJ62" i="59"/>
  <c r="AJ66" i="59" s="1"/>
  <c r="W163" i="59" s="1"/>
  <c r="W115" i="20" s="1"/>
  <c r="AN29" i="59"/>
  <c r="AP29" i="59" s="1"/>
  <c r="AN37" i="59"/>
  <c r="AP37" i="59" s="1"/>
  <c r="AN45" i="59"/>
  <c r="AP45" i="59" s="1"/>
  <c r="AN53" i="59"/>
  <c r="AP53" i="59" s="1"/>
  <c r="AF59" i="59"/>
  <c r="AL61" i="59"/>
  <c r="M62" i="59"/>
  <c r="M65" i="59" s="1"/>
  <c r="AC62" i="59"/>
  <c r="AC66" i="59" s="1"/>
  <c r="E157" i="59"/>
  <c r="E109" i="20" s="1"/>
  <c r="U13" i="59"/>
  <c r="AN16" i="59"/>
  <c r="AP16" i="59" s="1"/>
  <c r="U21" i="59"/>
  <c r="AN24" i="59"/>
  <c r="AP24" i="59" s="1"/>
  <c r="AN32" i="59"/>
  <c r="AP32" i="59" s="1"/>
  <c r="S56" i="59"/>
  <c r="R157" i="59" s="1"/>
  <c r="R109" i="20" s="1"/>
  <c r="AF60" i="59"/>
  <c r="F157" i="59"/>
  <c r="F109" i="20" s="1"/>
  <c r="AN11" i="59"/>
  <c r="AP11" i="59" s="1"/>
  <c r="AN43" i="59"/>
  <c r="AP43" i="59" s="1"/>
  <c r="AN51" i="59"/>
  <c r="AP51" i="59" s="1"/>
  <c r="S58" i="59"/>
  <c r="AN6" i="59"/>
  <c r="S59" i="59"/>
  <c r="AG161" i="58"/>
  <c r="AG106" i="20" s="1"/>
  <c r="J66" i="58"/>
  <c r="AG163" i="58" s="1"/>
  <c r="AG108" i="20" s="1"/>
  <c r="J65" i="58"/>
  <c r="AG162" i="58" s="1"/>
  <c r="AG107" i="20" s="1"/>
  <c r="J64" i="58"/>
  <c r="J63" i="58"/>
  <c r="AG160" i="58" s="1"/>
  <c r="AG105" i="20" s="1"/>
  <c r="AQ61" i="58"/>
  <c r="AJ61" i="58"/>
  <c r="AI61" i="58"/>
  <c r="AG61" i="58"/>
  <c r="AE61" i="58"/>
  <c r="AD61" i="58"/>
  <c r="AC61" i="58"/>
  <c r="AB61" i="58"/>
  <c r="AA61" i="58"/>
  <c r="Z61" i="58"/>
  <c r="Y61" i="58"/>
  <c r="W61" i="58"/>
  <c r="V61" i="58"/>
  <c r="T61" i="58"/>
  <c r="R61" i="58"/>
  <c r="Q61" i="58"/>
  <c r="P61" i="58"/>
  <c r="O61" i="58"/>
  <c r="N61" i="58"/>
  <c r="M61" i="58"/>
  <c r="L61" i="58"/>
  <c r="K61" i="58"/>
  <c r="AQ60" i="58"/>
  <c r="AJ60" i="58"/>
  <c r="AI60" i="58"/>
  <c r="AG60" i="58"/>
  <c r="AE60" i="58"/>
  <c r="AD60" i="58"/>
  <c r="AC60" i="58"/>
  <c r="AB60" i="58"/>
  <c r="AA60" i="58"/>
  <c r="Z60" i="58"/>
  <c r="Y60" i="58"/>
  <c r="W60" i="58"/>
  <c r="V60" i="58"/>
  <c r="T60" i="58"/>
  <c r="R60" i="58"/>
  <c r="Q60" i="58"/>
  <c r="P60" i="58"/>
  <c r="O60" i="58"/>
  <c r="N60" i="58"/>
  <c r="M60" i="58"/>
  <c r="L60" i="58"/>
  <c r="K60" i="58"/>
  <c r="AQ59" i="58"/>
  <c r="AJ59" i="58"/>
  <c r="AI59" i="58"/>
  <c r="AG59" i="58"/>
  <c r="AE59" i="58"/>
  <c r="AD59" i="58"/>
  <c r="AC59" i="58"/>
  <c r="AB59" i="58"/>
  <c r="AA59" i="58"/>
  <c r="Z59" i="58"/>
  <c r="Y59" i="58"/>
  <c r="W59" i="58"/>
  <c r="V59" i="58"/>
  <c r="T59" i="58"/>
  <c r="R59" i="58"/>
  <c r="Q59" i="58"/>
  <c r="P59" i="58"/>
  <c r="O59" i="58"/>
  <c r="N59" i="58"/>
  <c r="M59" i="58"/>
  <c r="L59" i="58"/>
  <c r="K59" i="58"/>
  <c r="AQ58" i="58"/>
  <c r="AJ58" i="58"/>
  <c r="AI58" i="58"/>
  <c r="AG58" i="58"/>
  <c r="AG62" i="58" s="1"/>
  <c r="AG66" i="58" s="1"/>
  <c r="Y163" i="58" s="1"/>
  <c r="Y108" i="20" s="1"/>
  <c r="AE58" i="58"/>
  <c r="AD58" i="58"/>
  <c r="AC58" i="58"/>
  <c r="AB58" i="58"/>
  <c r="AA58" i="58"/>
  <c r="Z58" i="58"/>
  <c r="Y58" i="58"/>
  <c r="W58" i="58"/>
  <c r="V58" i="58"/>
  <c r="T58" i="58"/>
  <c r="R58" i="58"/>
  <c r="R62" i="58" s="1"/>
  <c r="R66" i="58" s="1"/>
  <c r="Q58" i="58"/>
  <c r="P58" i="58"/>
  <c r="O58" i="58"/>
  <c r="N58" i="58"/>
  <c r="M58" i="58"/>
  <c r="L58" i="58"/>
  <c r="K58" i="58"/>
  <c r="AQ56" i="58"/>
  <c r="AF157" i="58" s="1"/>
  <c r="AF102" i="20" s="1"/>
  <c r="AJ56" i="58"/>
  <c r="W157" i="58" s="1"/>
  <c r="W102" i="20" s="1"/>
  <c r="AI56" i="58"/>
  <c r="V157" i="58" s="1"/>
  <c r="V102" i="20" s="1"/>
  <c r="AG56" i="58"/>
  <c r="Y157" i="58" s="1"/>
  <c r="Y102" i="20" s="1"/>
  <c r="AE56" i="58"/>
  <c r="AD56" i="58"/>
  <c r="AC56" i="58"/>
  <c r="AB56" i="58"/>
  <c r="AA56" i="58"/>
  <c r="Z56" i="58"/>
  <c r="Y56" i="58"/>
  <c r="U157" i="58" s="1"/>
  <c r="U102" i="20" s="1"/>
  <c r="W56" i="58"/>
  <c r="Q157" i="58" s="1"/>
  <c r="Q102" i="20" s="1"/>
  <c r="V56" i="58"/>
  <c r="P157" i="58" s="1"/>
  <c r="P102" i="20" s="1"/>
  <c r="T56" i="58"/>
  <c r="S157" i="58" s="1"/>
  <c r="S102" i="20" s="1"/>
  <c r="R56" i="58"/>
  <c r="Q56" i="58"/>
  <c r="P56" i="58"/>
  <c r="O56" i="58"/>
  <c r="N56" i="58"/>
  <c r="M56" i="58"/>
  <c r="L56" i="58"/>
  <c r="O157" i="58" s="1"/>
  <c r="O102" i="20" s="1"/>
  <c r="K56" i="58"/>
  <c r="N157" i="58" s="1"/>
  <c r="N102" i="20" s="1"/>
  <c r="AO55" i="58"/>
  <c r="AL55" i="58"/>
  <c r="AK55" i="58"/>
  <c r="AF55" i="58"/>
  <c r="AH55" i="58" s="1"/>
  <c r="X55" i="58"/>
  <c r="AM55" i="58" s="1"/>
  <c r="U55" i="58"/>
  <c r="S55" i="58"/>
  <c r="I55" i="58"/>
  <c r="H55" i="58"/>
  <c r="G55" i="58"/>
  <c r="F55" i="58"/>
  <c r="E55" i="58"/>
  <c r="D55" i="58"/>
  <c r="C55" i="58"/>
  <c r="B55" i="58"/>
  <c r="AO54" i="58"/>
  <c r="AL54" i="58"/>
  <c r="AK54" i="58"/>
  <c r="AF54" i="58"/>
  <c r="AH54" i="58" s="1"/>
  <c r="X54" i="58"/>
  <c r="U54" i="58"/>
  <c r="S54" i="58"/>
  <c r="I54" i="58"/>
  <c r="H54" i="58"/>
  <c r="G54" i="58"/>
  <c r="F54" i="58"/>
  <c r="E54" i="58"/>
  <c r="D54" i="58"/>
  <c r="C54" i="58"/>
  <c r="B54" i="58"/>
  <c r="AO53" i="58"/>
  <c r="AL53" i="58"/>
  <c r="AK53" i="58"/>
  <c r="AM53" i="58" s="1"/>
  <c r="AF53" i="58"/>
  <c r="AH53" i="58" s="1"/>
  <c r="X53" i="58"/>
  <c r="U53" i="58"/>
  <c r="S53" i="58"/>
  <c r="I53" i="58"/>
  <c r="H53" i="58"/>
  <c r="G53" i="58"/>
  <c r="F53" i="58"/>
  <c r="E53" i="58"/>
  <c r="D53" i="58"/>
  <c r="C53" i="58"/>
  <c r="B53" i="58"/>
  <c r="AO52" i="58"/>
  <c r="AL52" i="58"/>
  <c r="AK52" i="58"/>
  <c r="AF52" i="58"/>
  <c r="AH52" i="58" s="1"/>
  <c r="X52" i="58"/>
  <c r="AM52" i="58" s="1"/>
  <c r="S52" i="58"/>
  <c r="I52" i="58"/>
  <c r="H52" i="58"/>
  <c r="G52" i="58"/>
  <c r="F52" i="58"/>
  <c r="E52" i="58"/>
  <c r="D52" i="58"/>
  <c r="C52" i="58"/>
  <c r="B52" i="58"/>
  <c r="AO51" i="58"/>
  <c r="AL51" i="58"/>
  <c r="AK51" i="58"/>
  <c r="AF51" i="58"/>
  <c r="AH51" i="58" s="1"/>
  <c r="X51" i="58"/>
  <c r="S51" i="58"/>
  <c r="U51" i="58" s="1"/>
  <c r="I51" i="58"/>
  <c r="H51" i="58"/>
  <c r="G51" i="58"/>
  <c r="F51" i="58"/>
  <c r="E51" i="58"/>
  <c r="D51" i="58"/>
  <c r="C51" i="58"/>
  <c r="B51" i="58"/>
  <c r="AO50" i="58"/>
  <c r="AL50" i="58"/>
  <c r="AK50" i="58"/>
  <c r="AF50" i="58"/>
  <c r="AH50" i="58" s="1"/>
  <c r="X50" i="58"/>
  <c r="S50" i="58"/>
  <c r="U50" i="58" s="1"/>
  <c r="I50" i="58"/>
  <c r="H50" i="58"/>
  <c r="G50" i="58"/>
  <c r="F50" i="58"/>
  <c r="E50" i="58"/>
  <c r="D50" i="58"/>
  <c r="C50" i="58"/>
  <c r="B50" i="58"/>
  <c r="AO49" i="58"/>
  <c r="AL49" i="58"/>
  <c r="AK49" i="58"/>
  <c r="AF49" i="58"/>
  <c r="AH49" i="58" s="1"/>
  <c r="X49" i="58"/>
  <c r="AM49" i="58" s="1"/>
  <c r="U49" i="58"/>
  <c r="S49" i="58"/>
  <c r="I49" i="58"/>
  <c r="H49" i="58"/>
  <c r="G49" i="58"/>
  <c r="F49" i="58"/>
  <c r="E49" i="58"/>
  <c r="D49" i="58"/>
  <c r="C49" i="58"/>
  <c r="B49" i="58"/>
  <c r="AO48" i="58"/>
  <c r="AL48" i="58"/>
  <c r="AK48" i="58"/>
  <c r="AF48" i="58"/>
  <c r="AH48" i="58" s="1"/>
  <c r="X48" i="58"/>
  <c r="U48" i="58"/>
  <c r="S48" i="58"/>
  <c r="I48" i="58"/>
  <c r="H48" i="58"/>
  <c r="G48" i="58"/>
  <c r="F48" i="58"/>
  <c r="E48" i="58"/>
  <c r="D48" i="58"/>
  <c r="C48" i="58"/>
  <c r="B48" i="58"/>
  <c r="AO47" i="58"/>
  <c r="AL47" i="58"/>
  <c r="AK47" i="58"/>
  <c r="AF47" i="58"/>
  <c r="AH47" i="58" s="1"/>
  <c r="X47" i="58"/>
  <c r="AM47" i="58" s="1"/>
  <c r="S47" i="58"/>
  <c r="U47" i="58" s="1"/>
  <c r="I47" i="58"/>
  <c r="H47" i="58"/>
  <c r="G47" i="58"/>
  <c r="F47" i="58"/>
  <c r="E47" i="58"/>
  <c r="D47" i="58"/>
  <c r="C47" i="58"/>
  <c r="B47" i="58"/>
  <c r="AO46" i="58"/>
  <c r="AL46" i="58"/>
  <c r="AK46" i="58"/>
  <c r="AF46" i="58"/>
  <c r="AH46" i="58" s="1"/>
  <c r="X46" i="58"/>
  <c r="AM46" i="58" s="1"/>
  <c r="S46" i="58"/>
  <c r="U46" i="58" s="1"/>
  <c r="I46" i="58"/>
  <c r="H46" i="58"/>
  <c r="G46" i="58"/>
  <c r="F46" i="58"/>
  <c r="E46" i="58"/>
  <c r="D46" i="58"/>
  <c r="C46" i="58"/>
  <c r="B46" i="58"/>
  <c r="AO45" i="58"/>
  <c r="AL45" i="58"/>
  <c r="AK45" i="58"/>
  <c r="AF45" i="58"/>
  <c r="AH45" i="58" s="1"/>
  <c r="X45" i="58"/>
  <c r="S45" i="58"/>
  <c r="U45" i="58" s="1"/>
  <c r="I45" i="58"/>
  <c r="H45" i="58"/>
  <c r="G45" i="58"/>
  <c r="F45" i="58"/>
  <c r="E45" i="58"/>
  <c r="D45" i="58"/>
  <c r="C45" i="58"/>
  <c r="B45" i="58"/>
  <c r="AO44" i="58"/>
  <c r="AL44" i="58"/>
  <c r="AK44" i="58"/>
  <c r="AF44" i="58"/>
  <c r="AH44" i="58" s="1"/>
  <c r="X44" i="58"/>
  <c r="AM44" i="58" s="1"/>
  <c r="S44" i="58"/>
  <c r="AN44" i="58" s="1"/>
  <c r="AP44" i="58" s="1"/>
  <c r="I44" i="58"/>
  <c r="H44" i="58"/>
  <c r="G44" i="58"/>
  <c r="F44" i="58"/>
  <c r="E44" i="58"/>
  <c r="D44" i="58"/>
  <c r="C44" i="58"/>
  <c r="B44" i="58"/>
  <c r="AO43" i="58"/>
  <c r="AL43" i="58"/>
  <c r="AK43" i="58"/>
  <c r="AF43" i="58"/>
  <c r="AH43" i="58" s="1"/>
  <c r="X43" i="58"/>
  <c r="S43" i="58"/>
  <c r="U43" i="58" s="1"/>
  <c r="I43" i="58"/>
  <c r="H43" i="58"/>
  <c r="G43" i="58"/>
  <c r="F43" i="58"/>
  <c r="E43" i="58"/>
  <c r="D43" i="58"/>
  <c r="C43" i="58"/>
  <c r="B43" i="58"/>
  <c r="AO42" i="58"/>
  <c r="AL42" i="58"/>
  <c r="AK42" i="58"/>
  <c r="AF42" i="58"/>
  <c r="AH42" i="58" s="1"/>
  <c r="X42" i="58"/>
  <c r="S42" i="58"/>
  <c r="U42" i="58" s="1"/>
  <c r="I42" i="58"/>
  <c r="H42" i="58"/>
  <c r="G42" i="58"/>
  <c r="F42" i="58"/>
  <c r="E42" i="58"/>
  <c r="D42" i="58"/>
  <c r="C42" i="58"/>
  <c r="B42" i="58"/>
  <c r="AO41" i="58"/>
  <c r="AL41" i="58"/>
  <c r="AK41" i="58"/>
  <c r="AF41" i="58"/>
  <c r="AH41" i="58" s="1"/>
  <c r="X41" i="58"/>
  <c r="AM41" i="58" s="1"/>
  <c r="S41" i="58"/>
  <c r="AN41" i="58" s="1"/>
  <c r="I41" i="58"/>
  <c r="H41" i="58"/>
  <c r="G41" i="58"/>
  <c r="F41" i="58"/>
  <c r="E41" i="58"/>
  <c r="D41" i="58"/>
  <c r="C41" i="58"/>
  <c r="B41" i="58"/>
  <c r="AO40" i="58"/>
  <c r="AL40" i="58"/>
  <c r="AK40" i="58"/>
  <c r="AH40" i="58"/>
  <c r="AF40" i="58"/>
  <c r="X40" i="58"/>
  <c r="S40" i="58"/>
  <c r="AN40" i="58" s="1"/>
  <c r="I40" i="58"/>
  <c r="H40" i="58"/>
  <c r="G40" i="58"/>
  <c r="F40" i="58"/>
  <c r="E40" i="58"/>
  <c r="D40" i="58"/>
  <c r="C40" i="58"/>
  <c r="B40" i="58"/>
  <c r="AO39" i="58"/>
  <c r="AL39" i="58"/>
  <c r="AK39" i="58"/>
  <c r="AF39" i="58"/>
  <c r="AH39" i="58" s="1"/>
  <c r="X39" i="58"/>
  <c r="AM39" i="58" s="1"/>
  <c r="U39" i="58"/>
  <c r="S39" i="58"/>
  <c r="I39" i="58"/>
  <c r="H39" i="58"/>
  <c r="G39" i="58"/>
  <c r="F39" i="58"/>
  <c r="E39" i="58"/>
  <c r="D39" i="58"/>
  <c r="C39" i="58"/>
  <c r="B39" i="58"/>
  <c r="AO38" i="58"/>
  <c r="AL38" i="58"/>
  <c r="AK38" i="58"/>
  <c r="AF38" i="58"/>
  <c r="AH38" i="58" s="1"/>
  <c r="X38" i="58"/>
  <c r="U38" i="58"/>
  <c r="S38" i="58"/>
  <c r="I38" i="58"/>
  <c r="H38" i="58"/>
  <c r="G38" i="58"/>
  <c r="F38" i="58"/>
  <c r="E38" i="58"/>
  <c r="D38" i="58"/>
  <c r="C38" i="58"/>
  <c r="B38" i="58"/>
  <c r="AO37" i="58"/>
  <c r="AL37" i="58"/>
  <c r="AK37" i="58"/>
  <c r="AM37" i="58" s="1"/>
  <c r="AF37" i="58"/>
  <c r="AH37" i="58" s="1"/>
  <c r="X37" i="58"/>
  <c r="S37" i="58"/>
  <c r="U37" i="58" s="1"/>
  <c r="I37" i="58"/>
  <c r="H37" i="58"/>
  <c r="G37" i="58"/>
  <c r="F37" i="58"/>
  <c r="E37" i="58"/>
  <c r="D37" i="58"/>
  <c r="C37" i="58"/>
  <c r="B37" i="58"/>
  <c r="AO36" i="58"/>
  <c r="AL36" i="58"/>
  <c r="AK36" i="58"/>
  <c r="AF36" i="58"/>
  <c r="AH36" i="58" s="1"/>
  <c r="X36" i="58"/>
  <c r="AM36" i="58" s="1"/>
  <c r="S36" i="58"/>
  <c r="U36" i="58" s="1"/>
  <c r="I36" i="58"/>
  <c r="H36" i="58"/>
  <c r="G36" i="58"/>
  <c r="F36" i="58"/>
  <c r="E36" i="58"/>
  <c r="D36" i="58"/>
  <c r="C36" i="58"/>
  <c r="B36" i="58"/>
  <c r="AO35" i="58"/>
  <c r="AL35" i="58"/>
  <c r="AK35" i="58"/>
  <c r="AF35" i="58"/>
  <c r="AH35" i="58" s="1"/>
  <c r="X35" i="58"/>
  <c r="AM35" i="58" s="1"/>
  <c r="S35" i="58"/>
  <c r="U35" i="58" s="1"/>
  <c r="I35" i="58"/>
  <c r="H35" i="58"/>
  <c r="G35" i="58"/>
  <c r="F35" i="58"/>
  <c r="E35" i="58"/>
  <c r="D35" i="58"/>
  <c r="C35" i="58"/>
  <c r="B35" i="58"/>
  <c r="AO34" i="58"/>
  <c r="AL34" i="58"/>
  <c r="AK34" i="58"/>
  <c r="AM34" i="58" s="1"/>
  <c r="AF34" i="58"/>
  <c r="AH34" i="58" s="1"/>
  <c r="X34" i="58"/>
  <c r="S34" i="58"/>
  <c r="U34" i="58" s="1"/>
  <c r="I34" i="58"/>
  <c r="H34" i="58"/>
  <c r="G34" i="58"/>
  <c r="F34" i="58"/>
  <c r="E34" i="58"/>
  <c r="D34" i="58"/>
  <c r="C34" i="58"/>
  <c r="B34" i="58"/>
  <c r="AO33" i="58"/>
  <c r="AL33" i="58"/>
  <c r="AK33" i="58"/>
  <c r="AF33" i="58"/>
  <c r="AH33" i="58" s="1"/>
  <c r="X33" i="58"/>
  <c r="AM33" i="58" s="1"/>
  <c r="S33" i="58"/>
  <c r="I33" i="58"/>
  <c r="H33" i="58"/>
  <c r="G33" i="58"/>
  <c r="F33" i="58"/>
  <c r="E33" i="58"/>
  <c r="D33" i="58"/>
  <c r="C33" i="58"/>
  <c r="B33" i="58"/>
  <c r="AO32" i="58"/>
  <c r="AL32" i="58"/>
  <c r="AK32" i="58"/>
  <c r="AH32" i="58"/>
  <c r="AF32" i="58"/>
  <c r="X32" i="58"/>
  <c r="AM32" i="58" s="1"/>
  <c r="S32" i="58"/>
  <c r="AN32" i="58" s="1"/>
  <c r="I32" i="58"/>
  <c r="H32" i="58"/>
  <c r="G32" i="58"/>
  <c r="F32" i="58"/>
  <c r="E32" i="58"/>
  <c r="D32" i="58"/>
  <c r="C32" i="58"/>
  <c r="B32" i="58"/>
  <c r="AO31" i="58"/>
  <c r="AL31" i="58"/>
  <c r="AK31" i="58"/>
  <c r="AF31" i="58"/>
  <c r="AH31" i="58" s="1"/>
  <c r="X31" i="58"/>
  <c r="AM31" i="58" s="1"/>
  <c r="U31" i="58"/>
  <c r="S31" i="58"/>
  <c r="I31" i="58"/>
  <c r="H31" i="58"/>
  <c r="G31" i="58"/>
  <c r="F31" i="58"/>
  <c r="E31" i="58"/>
  <c r="D31" i="58"/>
  <c r="C31" i="58"/>
  <c r="B31" i="58"/>
  <c r="AO30" i="58"/>
  <c r="AL30" i="58"/>
  <c r="AK30" i="58"/>
  <c r="AF30" i="58"/>
  <c r="AH30" i="58" s="1"/>
  <c r="X30" i="58"/>
  <c r="U30" i="58"/>
  <c r="S30" i="58"/>
  <c r="I30" i="58"/>
  <c r="H30" i="58"/>
  <c r="G30" i="58"/>
  <c r="F30" i="58"/>
  <c r="E30" i="58"/>
  <c r="D30" i="58"/>
  <c r="C30" i="58"/>
  <c r="B30" i="58"/>
  <c r="AO29" i="58"/>
  <c r="AL29" i="58"/>
  <c r="AK29" i="58"/>
  <c r="AM29" i="58" s="1"/>
  <c r="AF29" i="58"/>
  <c r="AH29" i="58" s="1"/>
  <c r="X29" i="58"/>
  <c r="S29" i="58"/>
  <c r="U29" i="58" s="1"/>
  <c r="I29" i="58"/>
  <c r="H29" i="58"/>
  <c r="G29" i="58"/>
  <c r="F29" i="58"/>
  <c r="E29" i="58"/>
  <c r="D29" i="58"/>
  <c r="C29" i="58"/>
  <c r="B29" i="58"/>
  <c r="AO28" i="58"/>
  <c r="AL28" i="58"/>
  <c r="AK28" i="58"/>
  <c r="AF28" i="58"/>
  <c r="AH28" i="58" s="1"/>
  <c r="X28" i="58"/>
  <c r="S28" i="58"/>
  <c r="U28" i="58" s="1"/>
  <c r="I28" i="58"/>
  <c r="H28" i="58"/>
  <c r="G28" i="58"/>
  <c r="F28" i="58"/>
  <c r="E28" i="58"/>
  <c r="D28" i="58"/>
  <c r="C28" i="58"/>
  <c r="B28" i="58"/>
  <c r="AO27" i="58"/>
  <c r="AL27" i="58"/>
  <c r="AK27" i="58"/>
  <c r="AF27" i="58"/>
  <c r="AH27" i="58" s="1"/>
  <c r="X27" i="58"/>
  <c r="AM27" i="58" s="1"/>
  <c r="S27" i="58"/>
  <c r="U27" i="58" s="1"/>
  <c r="I27" i="58"/>
  <c r="H27" i="58"/>
  <c r="G27" i="58"/>
  <c r="F27" i="58"/>
  <c r="E27" i="58"/>
  <c r="D27" i="58"/>
  <c r="C27" i="58"/>
  <c r="B27" i="58"/>
  <c r="AO26" i="58"/>
  <c r="AL26" i="58"/>
  <c r="AK26" i="58"/>
  <c r="AM26" i="58" s="1"/>
  <c r="AF26" i="58"/>
  <c r="AH26" i="58" s="1"/>
  <c r="X26" i="58"/>
  <c r="S26" i="58"/>
  <c r="U26" i="58" s="1"/>
  <c r="I26" i="58"/>
  <c r="H26" i="58"/>
  <c r="G26" i="58"/>
  <c r="F26" i="58"/>
  <c r="E26" i="58"/>
  <c r="D26" i="58"/>
  <c r="C26" i="58"/>
  <c r="B26" i="58"/>
  <c r="AO25" i="58"/>
  <c r="AL25" i="58"/>
  <c r="AK25" i="58"/>
  <c r="AF25" i="58"/>
  <c r="AH25" i="58" s="1"/>
  <c r="X25" i="58"/>
  <c r="AM25" i="58" s="1"/>
  <c r="S25" i="58"/>
  <c r="U25" i="58" s="1"/>
  <c r="I25" i="58"/>
  <c r="H25" i="58"/>
  <c r="G25" i="58"/>
  <c r="F25" i="58"/>
  <c r="E25" i="58"/>
  <c r="D25" i="58"/>
  <c r="C25" i="58"/>
  <c r="B25" i="58"/>
  <c r="AO24" i="58"/>
  <c r="AL24" i="58"/>
  <c r="AK24" i="58"/>
  <c r="AF24" i="58"/>
  <c r="AH24" i="58" s="1"/>
  <c r="X24" i="58"/>
  <c r="AM24" i="58" s="1"/>
  <c r="S24" i="58"/>
  <c r="U24" i="58" s="1"/>
  <c r="I24" i="58"/>
  <c r="H24" i="58"/>
  <c r="G24" i="58"/>
  <c r="F24" i="58"/>
  <c r="E24" i="58"/>
  <c r="D24" i="58"/>
  <c r="C24" i="58"/>
  <c r="B24" i="58"/>
  <c r="AO23" i="58"/>
  <c r="AL23" i="58"/>
  <c r="AK23" i="58"/>
  <c r="AF23" i="58"/>
  <c r="AH23" i="58" s="1"/>
  <c r="X23" i="58"/>
  <c r="AM23" i="58" s="1"/>
  <c r="S23" i="58"/>
  <c r="U23" i="58" s="1"/>
  <c r="I23" i="58"/>
  <c r="H23" i="58"/>
  <c r="G23" i="58"/>
  <c r="F23" i="58"/>
  <c r="E23" i="58"/>
  <c r="D23" i="58"/>
  <c r="C23" i="58"/>
  <c r="B23" i="58"/>
  <c r="AO22" i="58"/>
  <c r="AL22" i="58"/>
  <c r="AK22" i="58"/>
  <c r="AF22" i="58"/>
  <c r="AH22" i="58" s="1"/>
  <c r="X22" i="58"/>
  <c r="AM22" i="58" s="1"/>
  <c r="U22" i="58"/>
  <c r="S22" i="58"/>
  <c r="I22" i="58"/>
  <c r="H22" i="58"/>
  <c r="G22" i="58"/>
  <c r="F22" i="58"/>
  <c r="E22" i="58"/>
  <c r="D22" i="58"/>
  <c r="C22" i="58"/>
  <c r="B22" i="58"/>
  <c r="AO21" i="58"/>
  <c r="AL21" i="58"/>
  <c r="AK21" i="58"/>
  <c r="AM21" i="58" s="1"/>
  <c r="AF21" i="58"/>
  <c r="AH21" i="58" s="1"/>
  <c r="X21" i="58"/>
  <c r="S21" i="58"/>
  <c r="U21" i="58" s="1"/>
  <c r="I21" i="58"/>
  <c r="H21" i="58"/>
  <c r="G21" i="58"/>
  <c r="F21" i="58"/>
  <c r="E21" i="58"/>
  <c r="D21" i="58"/>
  <c r="C21" i="58"/>
  <c r="B21" i="58"/>
  <c r="AO20" i="58"/>
  <c r="AL20" i="58"/>
  <c r="AK20" i="58"/>
  <c r="AF20" i="58"/>
  <c r="AH20" i="58" s="1"/>
  <c r="X20" i="58"/>
  <c r="AM20" i="58" s="1"/>
  <c r="S20" i="58"/>
  <c r="U20" i="58" s="1"/>
  <c r="I20" i="58"/>
  <c r="H20" i="58"/>
  <c r="G20" i="58"/>
  <c r="F20" i="58"/>
  <c r="E20" i="58"/>
  <c r="D20" i="58"/>
  <c r="C20" i="58"/>
  <c r="B20" i="58"/>
  <c r="AO19" i="58"/>
  <c r="AL19" i="58"/>
  <c r="AK19" i="58"/>
  <c r="AF19" i="58"/>
  <c r="AH19" i="58" s="1"/>
  <c r="X19" i="58"/>
  <c r="S19" i="58"/>
  <c r="U19" i="58" s="1"/>
  <c r="I19" i="58"/>
  <c r="H19" i="58"/>
  <c r="G19" i="58"/>
  <c r="F19" i="58"/>
  <c r="E19" i="58"/>
  <c r="D19" i="58"/>
  <c r="C19" i="58"/>
  <c r="B19" i="58"/>
  <c r="AO18" i="58"/>
  <c r="AL18" i="58"/>
  <c r="AK18" i="58"/>
  <c r="AF18" i="58"/>
  <c r="AH18" i="58" s="1"/>
  <c r="X18" i="58"/>
  <c r="S18" i="58"/>
  <c r="U18" i="58" s="1"/>
  <c r="I18" i="58"/>
  <c r="H18" i="58"/>
  <c r="G18" i="58"/>
  <c r="F18" i="58"/>
  <c r="E18" i="58"/>
  <c r="D18" i="58"/>
  <c r="C18" i="58"/>
  <c r="B18" i="58"/>
  <c r="AO17" i="58"/>
  <c r="AL17" i="58"/>
  <c r="AK17" i="58"/>
  <c r="AF17" i="58"/>
  <c r="AH17" i="58" s="1"/>
  <c r="X17" i="58"/>
  <c r="S17" i="58"/>
  <c r="U17" i="58" s="1"/>
  <c r="I17" i="58"/>
  <c r="H17" i="58"/>
  <c r="G17" i="58"/>
  <c r="F17" i="58"/>
  <c r="E17" i="58"/>
  <c r="D17" i="58"/>
  <c r="C17" i="58"/>
  <c r="B17" i="58"/>
  <c r="AO16" i="58"/>
  <c r="AL16" i="58"/>
  <c r="AK16" i="58"/>
  <c r="AM16" i="58" s="1"/>
  <c r="AH16" i="58"/>
  <c r="AF16" i="58"/>
  <c r="X16" i="58"/>
  <c r="S16" i="58"/>
  <c r="I16" i="58"/>
  <c r="H16" i="58"/>
  <c r="G16" i="58"/>
  <c r="F16" i="58"/>
  <c r="E16" i="58"/>
  <c r="D16" i="58"/>
  <c r="C16" i="58"/>
  <c r="B16" i="58"/>
  <c r="AO15" i="58"/>
  <c r="AL15" i="58"/>
  <c r="AK15" i="58"/>
  <c r="AH15" i="58"/>
  <c r="AF15" i="58"/>
  <c r="X15" i="58"/>
  <c r="AM15" i="58" s="1"/>
  <c r="S15" i="58"/>
  <c r="U15" i="58" s="1"/>
  <c r="I15" i="58"/>
  <c r="H15" i="58"/>
  <c r="G15" i="58"/>
  <c r="F15" i="58"/>
  <c r="E15" i="58"/>
  <c r="D15" i="58"/>
  <c r="C15" i="58"/>
  <c r="B15" i="58"/>
  <c r="AO14" i="58"/>
  <c r="AL14" i="58"/>
  <c r="AK14" i="58"/>
  <c r="AH14" i="58"/>
  <c r="AF14" i="58"/>
  <c r="X14" i="58"/>
  <c r="S14" i="58"/>
  <c r="U14" i="58" s="1"/>
  <c r="I14" i="58"/>
  <c r="H14" i="58"/>
  <c r="G14" i="58"/>
  <c r="F14" i="58"/>
  <c r="E14" i="58"/>
  <c r="D14" i="58"/>
  <c r="C14" i="58"/>
  <c r="B14" i="58"/>
  <c r="AO13" i="58"/>
  <c r="AL13" i="58"/>
  <c r="AK13" i="58"/>
  <c r="AH13" i="58"/>
  <c r="AF13" i="58"/>
  <c r="X13" i="58"/>
  <c r="S13" i="58"/>
  <c r="U13" i="58" s="1"/>
  <c r="I13" i="58"/>
  <c r="H13" i="58"/>
  <c r="G13" i="58"/>
  <c r="F13" i="58"/>
  <c r="E13" i="58"/>
  <c r="D13" i="58"/>
  <c r="C13" i="58"/>
  <c r="B13" i="58"/>
  <c r="AO12" i="58"/>
  <c r="AL12" i="58"/>
  <c r="AK12" i="58"/>
  <c r="AF12" i="58"/>
  <c r="AH12" i="58" s="1"/>
  <c r="X12" i="58"/>
  <c r="AM12" i="58" s="1"/>
  <c r="S12" i="58"/>
  <c r="I12" i="58"/>
  <c r="H12" i="58"/>
  <c r="G12" i="58"/>
  <c r="F12" i="58"/>
  <c r="E12" i="58"/>
  <c r="D12" i="58"/>
  <c r="C12" i="58"/>
  <c r="B12" i="58"/>
  <c r="AO11" i="58"/>
  <c r="AL11" i="58"/>
  <c r="AK11" i="58"/>
  <c r="AF11" i="58"/>
  <c r="AH11" i="58" s="1"/>
  <c r="X11" i="58"/>
  <c r="S11" i="58"/>
  <c r="U11" i="58" s="1"/>
  <c r="I11" i="58"/>
  <c r="H11" i="58"/>
  <c r="G11" i="58"/>
  <c r="F11" i="58"/>
  <c r="E11" i="58"/>
  <c r="D11" i="58"/>
  <c r="C11" i="58"/>
  <c r="B11" i="58"/>
  <c r="AO10" i="58"/>
  <c r="AL10" i="58"/>
  <c r="AK10" i="58"/>
  <c r="AF10" i="58"/>
  <c r="AH10" i="58" s="1"/>
  <c r="X10" i="58"/>
  <c r="S10" i="58"/>
  <c r="U10" i="58" s="1"/>
  <c r="I10" i="58"/>
  <c r="H10" i="58"/>
  <c r="G10" i="58"/>
  <c r="F10" i="58"/>
  <c r="E10" i="58"/>
  <c r="C10" i="58"/>
  <c r="B10" i="58"/>
  <c r="AO9" i="58"/>
  <c r="AL9" i="58"/>
  <c r="AK9" i="58"/>
  <c r="AF9" i="58"/>
  <c r="AH9" i="58" s="1"/>
  <c r="X9" i="58"/>
  <c r="S9" i="58"/>
  <c r="U9" i="58" s="1"/>
  <c r="I9" i="58"/>
  <c r="H9" i="58"/>
  <c r="G9" i="58"/>
  <c r="F9" i="58"/>
  <c r="E9" i="58"/>
  <c r="D9" i="58"/>
  <c r="C9" i="58"/>
  <c r="B9" i="58"/>
  <c r="AO8" i="58"/>
  <c r="AL8" i="58"/>
  <c r="AK8" i="58"/>
  <c r="AF8" i="58"/>
  <c r="AH8" i="58" s="1"/>
  <c r="X8" i="58"/>
  <c r="AM8" i="58" s="1"/>
  <c r="S8" i="58"/>
  <c r="I8" i="58"/>
  <c r="H8" i="58"/>
  <c r="G8" i="58"/>
  <c r="F8" i="58"/>
  <c r="E8" i="58"/>
  <c r="D8" i="58"/>
  <c r="C8" i="58"/>
  <c r="B8" i="58"/>
  <c r="AO7" i="58"/>
  <c r="AL7" i="58"/>
  <c r="AK7" i="58"/>
  <c r="AF7" i="58"/>
  <c r="AH7" i="58" s="1"/>
  <c r="X7" i="58"/>
  <c r="AM7" i="58" s="1"/>
  <c r="S7" i="58"/>
  <c r="U7" i="58" s="1"/>
  <c r="I7" i="58"/>
  <c r="H7" i="58"/>
  <c r="G7" i="58"/>
  <c r="F7" i="58"/>
  <c r="E7" i="58"/>
  <c r="D7" i="58"/>
  <c r="C7" i="58"/>
  <c r="B7" i="58"/>
  <c r="AO6" i="58"/>
  <c r="AL6" i="58"/>
  <c r="AK6" i="58"/>
  <c r="AF6" i="58"/>
  <c r="AH6" i="58" s="1"/>
  <c r="X6" i="58"/>
  <c r="S6" i="58"/>
  <c r="U6" i="58" s="1"/>
  <c r="I6" i="58"/>
  <c r="H6" i="58"/>
  <c r="G6" i="58"/>
  <c r="F6" i="58"/>
  <c r="E6" i="58"/>
  <c r="D6" i="58"/>
  <c r="C6" i="58"/>
  <c r="B6" i="58"/>
  <c r="AP69" i="58"/>
  <c r="AB69" i="58"/>
  <c r="N69" i="58"/>
  <c r="H2" i="58"/>
  <c r="E2" i="58"/>
  <c r="C2" i="58"/>
  <c r="C56" i="58" s="1"/>
  <c r="AG98" i="20"/>
  <c r="AG97" i="20"/>
  <c r="AG96" i="20"/>
  <c r="AG95" i="20"/>
  <c r="Y95" i="20"/>
  <c r="AP2" i="57"/>
  <c r="AB2" i="57"/>
  <c r="N2" i="57"/>
  <c r="N69" i="57" s="1"/>
  <c r="J66" i="57"/>
  <c r="AG163" i="57" s="1"/>
  <c r="AG101" i="20" s="1"/>
  <c r="J65" i="57"/>
  <c r="AG162" i="57" s="1"/>
  <c r="AG100" i="20" s="1"/>
  <c r="J64" i="57"/>
  <c r="AG161" i="57" s="1"/>
  <c r="AG99" i="20" s="1"/>
  <c r="J63" i="57"/>
  <c r="AG160" i="57" s="1"/>
  <c r="AQ61" i="57"/>
  <c r="AJ61" i="57"/>
  <c r="AI61" i="57"/>
  <c r="AG61" i="57"/>
  <c r="AE61" i="57"/>
  <c r="AD61" i="57"/>
  <c r="AC61" i="57"/>
  <c r="AB61" i="57"/>
  <c r="AA61" i="57"/>
  <c r="Z61" i="57"/>
  <c r="Y61" i="57"/>
  <c r="W61" i="57"/>
  <c r="V61" i="57"/>
  <c r="T61" i="57"/>
  <c r="R61" i="57"/>
  <c r="Q61" i="57"/>
  <c r="P61" i="57"/>
  <c r="O61" i="57"/>
  <c r="N61" i="57"/>
  <c r="M61" i="57"/>
  <c r="L61" i="57"/>
  <c r="K61" i="57"/>
  <c r="AQ60" i="57"/>
  <c r="AJ60" i="57"/>
  <c r="AI60" i="57"/>
  <c r="AG60" i="57"/>
  <c r="AE60" i="57"/>
  <c r="AD60" i="57"/>
  <c r="AC60" i="57"/>
  <c r="AB60" i="57"/>
  <c r="AA60" i="57"/>
  <c r="Z60" i="57"/>
  <c r="Y60" i="57"/>
  <c r="W60" i="57"/>
  <c r="V60" i="57"/>
  <c r="T60" i="57"/>
  <c r="R60" i="57"/>
  <c r="Q60" i="57"/>
  <c r="P60" i="57"/>
  <c r="O60" i="57"/>
  <c r="N60" i="57"/>
  <c r="M60" i="57"/>
  <c r="L60" i="57"/>
  <c r="K60" i="57"/>
  <c r="AQ59" i="57"/>
  <c r="AJ59" i="57"/>
  <c r="AI59" i="57"/>
  <c r="AG59" i="57"/>
  <c r="AE59" i="57"/>
  <c r="AD59" i="57"/>
  <c r="AC59" i="57"/>
  <c r="AB59" i="57"/>
  <c r="AA59" i="57"/>
  <c r="Z59" i="57"/>
  <c r="Y59" i="57"/>
  <c r="W59" i="57"/>
  <c r="V59" i="57"/>
  <c r="T59" i="57"/>
  <c r="R59" i="57"/>
  <c r="Q59" i="57"/>
  <c r="P59" i="57"/>
  <c r="O59" i="57"/>
  <c r="N59" i="57"/>
  <c r="M59" i="57"/>
  <c r="L59" i="57"/>
  <c r="K59" i="57"/>
  <c r="AQ58" i="57"/>
  <c r="AJ58" i="57"/>
  <c r="AI58" i="57"/>
  <c r="AG58" i="57"/>
  <c r="AE58" i="57"/>
  <c r="AD58" i="57"/>
  <c r="AC58" i="57"/>
  <c r="AB58" i="57"/>
  <c r="AA58" i="57"/>
  <c r="Z58" i="57"/>
  <c r="Y58" i="57"/>
  <c r="Y62" i="57" s="1"/>
  <c r="Y66" i="57" s="1"/>
  <c r="U163" i="57" s="1"/>
  <c r="U101" i="20" s="1"/>
  <c r="W58" i="57"/>
  <c r="V58" i="57"/>
  <c r="T58" i="57"/>
  <c r="R58" i="57"/>
  <c r="Q58" i="57"/>
  <c r="P58" i="57"/>
  <c r="O58" i="57"/>
  <c r="N58" i="57"/>
  <c r="M58" i="57"/>
  <c r="L58" i="57"/>
  <c r="K58" i="57"/>
  <c r="AQ56" i="57"/>
  <c r="AF157" i="57" s="1"/>
  <c r="AF95" i="20" s="1"/>
  <c r="AJ56" i="57"/>
  <c r="W157" i="57" s="1"/>
  <c r="W95" i="20" s="1"/>
  <c r="AI56" i="57"/>
  <c r="V157" i="57" s="1"/>
  <c r="V95" i="20" s="1"/>
  <c r="AG56" i="57"/>
  <c r="Y157" i="57" s="1"/>
  <c r="AE56" i="57"/>
  <c r="AD56" i="57"/>
  <c r="AC56" i="57"/>
  <c r="AB56" i="57"/>
  <c r="AA56" i="57"/>
  <c r="Z56" i="57"/>
  <c r="Y56" i="57"/>
  <c r="U157" i="57" s="1"/>
  <c r="U95" i="20" s="1"/>
  <c r="W56" i="57"/>
  <c r="Q157" i="57" s="1"/>
  <c r="Q95" i="20" s="1"/>
  <c r="V56" i="57"/>
  <c r="P157" i="57" s="1"/>
  <c r="P95" i="20" s="1"/>
  <c r="T56" i="57"/>
  <c r="S157" i="57" s="1"/>
  <c r="S95" i="20" s="1"/>
  <c r="R56" i="57"/>
  <c r="Q56" i="57"/>
  <c r="P56" i="57"/>
  <c r="O56" i="57"/>
  <c r="N56" i="57"/>
  <c r="M56" i="57"/>
  <c r="L56" i="57"/>
  <c r="O157" i="57" s="1"/>
  <c r="O95" i="20" s="1"/>
  <c r="K56" i="57"/>
  <c r="N157" i="57" s="1"/>
  <c r="N95" i="20" s="1"/>
  <c r="AO55" i="57"/>
  <c r="AL55" i="57"/>
  <c r="AK55" i="57"/>
  <c r="AF55" i="57"/>
  <c r="AH55" i="57" s="1"/>
  <c r="X55" i="57"/>
  <c r="AM55" i="57" s="1"/>
  <c r="U55" i="57"/>
  <c r="S55" i="57"/>
  <c r="AN55" i="57" s="1"/>
  <c r="AP55" i="57" s="1"/>
  <c r="I55" i="57"/>
  <c r="H55" i="57"/>
  <c r="G55" i="57"/>
  <c r="F55" i="57"/>
  <c r="E55" i="57"/>
  <c r="D55" i="57"/>
  <c r="C55" i="57"/>
  <c r="B55" i="57"/>
  <c r="AO54" i="57"/>
  <c r="AL54" i="57"/>
  <c r="AK54" i="57"/>
  <c r="AH54" i="57"/>
  <c r="AF54" i="57"/>
  <c r="X54" i="57"/>
  <c r="U54" i="57"/>
  <c r="S54" i="57"/>
  <c r="AN54" i="57" s="1"/>
  <c r="AP54" i="57" s="1"/>
  <c r="I54" i="57"/>
  <c r="H54" i="57"/>
  <c r="G54" i="57"/>
  <c r="F54" i="57"/>
  <c r="E54" i="57"/>
  <c r="D54" i="57"/>
  <c r="C54" i="57"/>
  <c r="B54" i="57"/>
  <c r="AO53" i="57"/>
  <c r="AL53" i="57"/>
  <c r="AK53" i="57"/>
  <c r="AM53" i="57" s="1"/>
  <c r="AH53" i="57"/>
  <c r="AF53" i="57"/>
  <c r="X53" i="57"/>
  <c r="S53" i="57"/>
  <c r="U53" i="57" s="1"/>
  <c r="I53" i="57"/>
  <c r="H53" i="57"/>
  <c r="G53" i="57"/>
  <c r="F53" i="57"/>
  <c r="E53" i="57"/>
  <c r="D53" i="57"/>
  <c r="C53" i="57"/>
  <c r="B53" i="57"/>
  <c r="AO52" i="57"/>
  <c r="AL52" i="57"/>
  <c r="AK52" i="57"/>
  <c r="AF52" i="57"/>
  <c r="AH52" i="57" s="1"/>
  <c r="X52" i="57"/>
  <c r="AM52" i="57" s="1"/>
  <c r="S52" i="57"/>
  <c r="U52" i="57" s="1"/>
  <c r="I52" i="57"/>
  <c r="H52" i="57"/>
  <c r="G52" i="57"/>
  <c r="F52" i="57"/>
  <c r="E52" i="57"/>
  <c r="D52" i="57"/>
  <c r="C52" i="57"/>
  <c r="B52" i="57"/>
  <c r="AO51" i="57"/>
  <c r="AL51" i="57"/>
  <c r="AK51" i="57"/>
  <c r="AF51" i="57"/>
  <c r="AH51" i="57" s="1"/>
  <c r="X51" i="57"/>
  <c r="AM51" i="57" s="1"/>
  <c r="U51" i="57"/>
  <c r="S51" i="57"/>
  <c r="I51" i="57"/>
  <c r="H51" i="57"/>
  <c r="G51" i="57"/>
  <c r="F51" i="57"/>
  <c r="E51" i="57"/>
  <c r="D51" i="57"/>
  <c r="C51" i="57"/>
  <c r="B51" i="57"/>
  <c r="AO50" i="57"/>
  <c r="AL50" i="57"/>
  <c r="AK50" i="57"/>
  <c r="AF50" i="57"/>
  <c r="AH50" i="57" s="1"/>
  <c r="X50" i="57"/>
  <c r="AM50" i="57" s="1"/>
  <c r="S50" i="57"/>
  <c r="U50" i="57" s="1"/>
  <c r="I50" i="57"/>
  <c r="H50" i="57"/>
  <c r="G50" i="57"/>
  <c r="F50" i="57"/>
  <c r="E50" i="57"/>
  <c r="D50" i="57"/>
  <c r="C50" i="57"/>
  <c r="B50" i="57"/>
  <c r="AO49" i="57"/>
  <c r="AL49" i="57"/>
  <c r="AK49" i="57"/>
  <c r="AF49" i="57"/>
  <c r="AH49" i="57" s="1"/>
  <c r="X49" i="57"/>
  <c r="AM49" i="57" s="1"/>
  <c r="U49" i="57"/>
  <c r="S49" i="57"/>
  <c r="AN49" i="57" s="1"/>
  <c r="I49" i="57"/>
  <c r="H49" i="57"/>
  <c r="G49" i="57"/>
  <c r="F49" i="57"/>
  <c r="E49" i="57"/>
  <c r="D49" i="57"/>
  <c r="C49" i="57"/>
  <c r="B49" i="57"/>
  <c r="AO48" i="57"/>
  <c r="AL48" i="57"/>
  <c r="AK48" i="57"/>
  <c r="AF48" i="57"/>
  <c r="AH48" i="57" s="1"/>
  <c r="X48" i="57"/>
  <c r="AM48" i="57" s="1"/>
  <c r="S48" i="57"/>
  <c r="U48" i="57" s="1"/>
  <c r="I48" i="57"/>
  <c r="H48" i="57"/>
  <c r="G48" i="57"/>
  <c r="F48" i="57"/>
  <c r="E48" i="57"/>
  <c r="D48" i="57"/>
  <c r="C48" i="57"/>
  <c r="B48" i="57"/>
  <c r="AO47" i="57"/>
  <c r="AL47" i="57"/>
  <c r="AK47" i="57"/>
  <c r="AF47" i="57"/>
  <c r="AH47" i="57" s="1"/>
  <c r="X47" i="57"/>
  <c r="AM47" i="57" s="1"/>
  <c r="U47" i="57"/>
  <c r="S47" i="57"/>
  <c r="AN47" i="57" s="1"/>
  <c r="I47" i="57"/>
  <c r="H47" i="57"/>
  <c r="G47" i="57"/>
  <c r="F47" i="57"/>
  <c r="E47" i="57"/>
  <c r="D47" i="57"/>
  <c r="C47" i="57"/>
  <c r="B47" i="57"/>
  <c r="AO46" i="57"/>
  <c r="AL46" i="57"/>
  <c r="AK46" i="57"/>
  <c r="AH46" i="57"/>
  <c r="AF46" i="57"/>
  <c r="X46" i="57"/>
  <c r="U46" i="57"/>
  <c r="S46" i="57"/>
  <c r="AN46" i="57" s="1"/>
  <c r="AP46" i="57" s="1"/>
  <c r="I46" i="57"/>
  <c r="H46" i="57"/>
  <c r="G46" i="57"/>
  <c r="F46" i="57"/>
  <c r="E46" i="57"/>
  <c r="D46" i="57"/>
  <c r="C46" i="57"/>
  <c r="B46" i="57"/>
  <c r="AO45" i="57"/>
  <c r="AL45" i="57"/>
  <c r="AK45" i="57"/>
  <c r="AM45" i="57" s="1"/>
  <c r="AH45" i="57"/>
  <c r="AF45" i="57"/>
  <c r="X45" i="57"/>
  <c r="S45" i="57"/>
  <c r="U45" i="57" s="1"/>
  <c r="I45" i="57"/>
  <c r="H45" i="57"/>
  <c r="G45" i="57"/>
  <c r="F45" i="57"/>
  <c r="E45" i="57"/>
  <c r="D45" i="57"/>
  <c r="C45" i="57"/>
  <c r="B45" i="57"/>
  <c r="AO44" i="57"/>
  <c r="AL44" i="57"/>
  <c r="AK44" i="57"/>
  <c r="AF44" i="57"/>
  <c r="AH44" i="57" s="1"/>
  <c r="X44" i="57"/>
  <c r="AM44" i="57" s="1"/>
  <c r="S44" i="57"/>
  <c r="U44" i="57" s="1"/>
  <c r="I44" i="57"/>
  <c r="H44" i="57"/>
  <c r="G44" i="57"/>
  <c r="F44" i="57"/>
  <c r="E44" i="57"/>
  <c r="D44" i="57"/>
  <c r="C44" i="57"/>
  <c r="B44" i="57"/>
  <c r="AO43" i="57"/>
  <c r="AL43" i="57"/>
  <c r="AK43" i="57"/>
  <c r="AF43" i="57"/>
  <c r="AH43" i="57" s="1"/>
  <c r="X43" i="57"/>
  <c r="S43" i="57"/>
  <c r="I43" i="57"/>
  <c r="H43" i="57"/>
  <c r="G43" i="57"/>
  <c r="F43" i="57"/>
  <c r="E43" i="57"/>
  <c r="D43" i="57"/>
  <c r="C43" i="57"/>
  <c r="B43" i="57"/>
  <c r="AO42" i="57"/>
  <c r="AL42" i="57"/>
  <c r="AK42" i="57"/>
  <c r="AF42" i="57"/>
  <c r="AH42" i="57" s="1"/>
  <c r="X42" i="57"/>
  <c r="AM42" i="57" s="1"/>
  <c r="S42" i="57"/>
  <c r="U42" i="57" s="1"/>
  <c r="I42" i="57"/>
  <c r="H42" i="57"/>
  <c r="G42" i="57"/>
  <c r="F42" i="57"/>
  <c r="E42" i="57"/>
  <c r="D42" i="57"/>
  <c r="C42" i="57"/>
  <c r="B42" i="57"/>
  <c r="AO41" i="57"/>
  <c r="AL41" i="57"/>
  <c r="AK41" i="57"/>
  <c r="AF41" i="57"/>
  <c r="AH41" i="57" s="1"/>
  <c r="X41" i="57"/>
  <c r="AM41" i="57" s="1"/>
  <c r="U41" i="57"/>
  <c r="S41" i="57"/>
  <c r="I41" i="57"/>
  <c r="H41" i="57"/>
  <c r="G41" i="57"/>
  <c r="F41" i="57"/>
  <c r="E41" i="57"/>
  <c r="D41" i="57"/>
  <c r="C41" i="57"/>
  <c r="B41" i="57"/>
  <c r="AO40" i="57"/>
  <c r="AM40" i="57"/>
  <c r="AL40" i="57"/>
  <c r="AK40" i="57"/>
  <c r="AF40" i="57"/>
  <c r="AH40" i="57" s="1"/>
  <c r="X40" i="57"/>
  <c r="S40" i="57"/>
  <c r="U40" i="57" s="1"/>
  <c r="I40" i="57"/>
  <c r="H40" i="57"/>
  <c r="G40" i="57"/>
  <c r="F40" i="57"/>
  <c r="E40" i="57"/>
  <c r="D40" i="57"/>
  <c r="C40" i="57"/>
  <c r="B40" i="57"/>
  <c r="AO39" i="57"/>
  <c r="AL39" i="57"/>
  <c r="AK39" i="57"/>
  <c r="AF39" i="57"/>
  <c r="AH39" i="57" s="1"/>
  <c r="X39" i="57"/>
  <c r="AM39" i="57" s="1"/>
  <c r="U39" i="57"/>
  <c r="S39" i="57"/>
  <c r="I39" i="57"/>
  <c r="H39" i="57"/>
  <c r="G39" i="57"/>
  <c r="F39" i="57"/>
  <c r="E39" i="57"/>
  <c r="D39" i="57"/>
  <c r="C39" i="57"/>
  <c r="B39" i="57"/>
  <c r="AO38" i="57"/>
  <c r="AL38" i="57"/>
  <c r="AK38" i="57"/>
  <c r="AF38" i="57"/>
  <c r="AH38" i="57" s="1"/>
  <c r="X38" i="57"/>
  <c r="AM38" i="57" s="1"/>
  <c r="U38" i="57"/>
  <c r="S38" i="57"/>
  <c r="I38" i="57"/>
  <c r="H38" i="57"/>
  <c r="G38" i="57"/>
  <c r="F38" i="57"/>
  <c r="E38" i="57"/>
  <c r="D38" i="57"/>
  <c r="C38" i="57"/>
  <c r="B38" i="57"/>
  <c r="AO37" i="57"/>
  <c r="AL37" i="57"/>
  <c r="AK37" i="57"/>
  <c r="AF37" i="57"/>
  <c r="AH37" i="57" s="1"/>
  <c r="X37" i="57"/>
  <c r="S37" i="57"/>
  <c r="U37" i="57" s="1"/>
  <c r="I37" i="57"/>
  <c r="H37" i="57"/>
  <c r="G37" i="57"/>
  <c r="F37" i="57"/>
  <c r="E37" i="57"/>
  <c r="D37" i="57"/>
  <c r="C37" i="57"/>
  <c r="B37" i="57"/>
  <c r="AO36" i="57"/>
  <c r="AL36" i="57"/>
  <c r="AK36" i="57"/>
  <c r="AF36" i="57"/>
  <c r="AH36" i="57" s="1"/>
  <c r="X36" i="57"/>
  <c r="S36" i="57"/>
  <c r="U36" i="57" s="1"/>
  <c r="I36" i="57"/>
  <c r="H36" i="57"/>
  <c r="G36" i="57"/>
  <c r="F36" i="57"/>
  <c r="E36" i="57"/>
  <c r="D36" i="57"/>
  <c r="C36" i="57"/>
  <c r="B36" i="57"/>
  <c r="AO35" i="57"/>
  <c r="AL35" i="57"/>
  <c r="AK35" i="57"/>
  <c r="AF35" i="57"/>
  <c r="AH35" i="57" s="1"/>
  <c r="X35" i="57"/>
  <c r="AM35" i="57" s="1"/>
  <c r="U35" i="57"/>
  <c r="S35" i="57"/>
  <c r="I35" i="57"/>
  <c r="H35" i="57"/>
  <c r="G35" i="57"/>
  <c r="F35" i="57"/>
  <c r="E35" i="57"/>
  <c r="D35" i="57"/>
  <c r="C35" i="57"/>
  <c r="B35" i="57"/>
  <c r="AO34" i="57"/>
  <c r="AL34" i="57"/>
  <c r="AK34" i="57"/>
  <c r="AF34" i="57"/>
  <c r="AH34" i="57" s="1"/>
  <c r="X34" i="57"/>
  <c r="AM34" i="57" s="1"/>
  <c r="S34" i="57"/>
  <c r="U34" i="57" s="1"/>
  <c r="I34" i="57"/>
  <c r="H34" i="57"/>
  <c r="G34" i="57"/>
  <c r="F34" i="57"/>
  <c r="E34" i="57"/>
  <c r="D34" i="57"/>
  <c r="C34" i="57"/>
  <c r="B34" i="57"/>
  <c r="AO33" i="57"/>
  <c r="AL33" i="57"/>
  <c r="AK33" i="57"/>
  <c r="AF33" i="57"/>
  <c r="AH33" i="57" s="1"/>
  <c r="X33" i="57"/>
  <c r="AM33" i="57" s="1"/>
  <c r="U33" i="57"/>
  <c r="S33" i="57"/>
  <c r="AN33" i="57" s="1"/>
  <c r="I33" i="57"/>
  <c r="H33" i="57"/>
  <c r="G33" i="57"/>
  <c r="F33" i="57"/>
  <c r="E33" i="57"/>
  <c r="D33" i="57"/>
  <c r="C33" i="57"/>
  <c r="B33" i="57"/>
  <c r="AO32" i="57"/>
  <c r="AL32" i="57"/>
  <c r="AK32" i="57"/>
  <c r="AF32" i="57"/>
  <c r="AH32" i="57" s="1"/>
  <c r="X32" i="57"/>
  <c r="AM32" i="57" s="1"/>
  <c r="U32" i="57"/>
  <c r="S32" i="57"/>
  <c r="I32" i="57"/>
  <c r="H32" i="57"/>
  <c r="G32" i="57"/>
  <c r="F32" i="57"/>
  <c r="E32" i="57"/>
  <c r="D32" i="57"/>
  <c r="C32" i="57"/>
  <c r="B32" i="57"/>
  <c r="AO31" i="57"/>
  <c r="AM31" i="57"/>
  <c r="AL31" i="57"/>
  <c r="AK31" i="57"/>
  <c r="AF31" i="57"/>
  <c r="AH31" i="57" s="1"/>
  <c r="X31" i="57"/>
  <c r="S31" i="57"/>
  <c r="I31" i="57"/>
  <c r="H31" i="57"/>
  <c r="G31" i="57"/>
  <c r="F31" i="57"/>
  <c r="E31" i="57"/>
  <c r="D31" i="57"/>
  <c r="C31" i="57"/>
  <c r="B31" i="57"/>
  <c r="AO30" i="57"/>
  <c r="AL30" i="57"/>
  <c r="AK30" i="57"/>
  <c r="AF30" i="57"/>
  <c r="AH30" i="57" s="1"/>
  <c r="X30" i="57"/>
  <c r="AM30" i="57" s="1"/>
  <c r="S30" i="57"/>
  <c r="I30" i="57"/>
  <c r="H30" i="57"/>
  <c r="G30" i="57"/>
  <c r="F30" i="57"/>
  <c r="E30" i="57"/>
  <c r="D30" i="57"/>
  <c r="C30" i="57"/>
  <c r="B30" i="57"/>
  <c r="AO29" i="57"/>
  <c r="AL29" i="57"/>
  <c r="AK29" i="57"/>
  <c r="AF29" i="57"/>
  <c r="AH29" i="57" s="1"/>
  <c r="X29" i="57"/>
  <c r="S29" i="57"/>
  <c r="U29" i="57" s="1"/>
  <c r="I29" i="57"/>
  <c r="H29" i="57"/>
  <c r="G29" i="57"/>
  <c r="F29" i="57"/>
  <c r="E29" i="57"/>
  <c r="D29" i="57"/>
  <c r="C29" i="57"/>
  <c r="B29" i="57"/>
  <c r="AO28" i="57"/>
  <c r="AN28" i="57"/>
  <c r="AP28" i="57" s="1"/>
  <c r="AL28" i="57"/>
  <c r="AK28" i="57"/>
  <c r="AF28" i="57"/>
  <c r="AH28" i="57" s="1"/>
  <c r="X28" i="57"/>
  <c r="AM28" i="57" s="1"/>
  <c r="S28" i="57"/>
  <c r="U28" i="57" s="1"/>
  <c r="I28" i="57"/>
  <c r="H28" i="57"/>
  <c r="G28" i="57"/>
  <c r="F28" i="57"/>
  <c r="E28" i="57"/>
  <c r="D28" i="57"/>
  <c r="C28" i="57"/>
  <c r="B28" i="57"/>
  <c r="AO27" i="57"/>
  <c r="AL27" i="57"/>
  <c r="AK27" i="57"/>
  <c r="AF27" i="57"/>
  <c r="AH27" i="57" s="1"/>
  <c r="X27" i="57"/>
  <c r="S27" i="57"/>
  <c r="AN27" i="57" s="1"/>
  <c r="AP27" i="57" s="1"/>
  <c r="I27" i="57"/>
  <c r="H27" i="57"/>
  <c r="G27" i="57"/>
  <c r="F27" i="57"/>
  <c r="E27" i="57"/>
  <c r="D27" i="57"/>
  <c r="C27" i="57"/>
  <c r="B27" i="57"/>
  <c r="AO26" i="57"/>
  <c r="AL26" i="57"/>
  <c r="AK26" i="57"/>
  <c r="AH26" i="57"/>
  <c r="AF26" i="57"/>
  <c r="X26" i="57"/>
  <c r="S26" i="57"/>
  <c r="U26" i="57" s="1"/>
  <c r="I26" i="57"/>
  <c r="H26" i="57"/>
  <c r="G26" i="57"/>
  <c r="F26" i="57"/>
  <c r="E26" i="57"/>
  <c r="D26" i="57"/>
  <c r="C26" i="57"/>
  <c r="B26" i="57"/>
  <c r="AO25" i="57"/>
  <c r="AL25" i="57"/>
  <c r="AK25" i="57"/>
  <c r="AF25" i="57"/>
  <c r="AH25" i="57" s="1"/>
  <c r="X25" i="57"/>
  <c r="AM25" i="57" s="1"/>
  <c r="S25" i="57"/>
  <c r="I25" i="57"/>
  <c r="H25" i="57"/>
  <c r="G25" i="57"/>
  <c r="F25" i="57"/>
  <c r="E25" i="57"/>
  <c r="D25" i="57"/>
  <c r="C25" i="57"/>
  <c r="B25" i="57"/>
  <c r="AO24" i="57"/>
  <c r="AL24" i="57"/>
  <c r="AK24" i="57"/>
  <c r="AM24" i="57" s="1"/>
  <c r="AH24" i="57"/>
  <c r="AF24" i="57"/>
  <c r="X24" i="57"/>
  <c r="S24" i="57"/>
  <c r="AN24" i="57" s="1"/>
  <c r="AP24" i="57" s="1"/>
  <c r="I24" i="57"/>
  <c r="H24" i="57"/>
  <c r="G24" i="57"/>
  <c r="F24" i="57"/>
  <c r="E24" i="57"/>
  <c r="D24" i="57"/>
  <c r="C24" i="57"/>
  <c r="B24" i="57"/>
  <c r="AO23" i="57"/>
  <c r="AL23" i="57"/>
  <c r="AK23" i="57"/>
  <c r="AH23" i="57"/>
  <c r="AF23" i="57"/>
  <c r="X23" i="57"/>
  <c r="AM23" i="57" s="1"/>
  <c r="S23" i="57"/>
  <c r="AN23" i="57" s="1"/>
  <c r="I23" i="57"/>
  <c r="H23" i="57"/>
  <c r="G23" i="57"/>
  <c r="F23" i="57"/>
  <c r="E23" i="57"/>
  <c r="D23" i="57"/>
  <c r="C23" i="57"/>
  <c r="B23" i="57"/>
  <c r="AO22" i="57"/>
  <c r="AL22" i="57"/>
  <c r="AK22" i="57"/>
  <c r="AH22" i="57"/>
  <c r="AF22" i="57"/>
  <c r="X22" i="57"/>
  <c r="S22" i="57"/>
  <c r="AN22" i="57" s="1"/>
  <c r="AP22" i="57" s="1"/>
  <c r="I22" i="57"/>
  <c r="H22" i="57"/>
  <c r="G22" i="57"/>
  <c r="F22" i="57"/>
  <c r="E22" i="57"/>
  <c r="D22" i="57"/>
  <c r="C22" i="57"/>
  <c r="B22" i="57"/>
  <c r="AO21" i="57"/>
  <c r="AL21" i="57"/>
  <c r="AK21" i="57"/>
  <c r="AM21" i="57" s="1"/>
  <c r="AF21" i="57"/>
  <c r="AH21" i="57" s="1"/>
  <c r="X21" i="57"/>
  <c r="S21" i="57"/>
  <c r="U21" i="57" s="1"/>
  <c r="I21" i="57"/>
  <c r="H21" i="57"/>
  <c r="G21" i="57"/>
  <c r="F21" i="57"/>
  <c r="E21" i="57"/>
  <c r="D21" i="57"/>
  <c r="C21" i="57"/>
  <c r="B21" i="57"/>
  <c r="AO20" i="57"/>
  <c r="AL20" i="57"/>
  <c r="AK20" i="57"/>
  <c r="AF20" i="57"/>
  <c r="AH20" i="57" s="1"/>
  <c r="X20" i="57"/>
  <c r="AM20" i="57" s="1"/>
  <c r="S20" i="57"/>
  <c r="U20" i="57" s="1"/>
  <c r="I20" i="57"/>
  <c r="H20" i="57"/>
  <c r="G20" i="57"/>
  <c r="F20" i="57"/>
  <c r="E20" i="57"/>
  <c r="D20" i="57"/>
  <c r="C20" i="57"/>
  <c r="B20" i="57"/>
  <c r="AO19" i="57"/>
  <c r="AL19" i="57"/>
  <c r="AK19" i="57"/>
  <c r="AF19" i="57"/>
  <c r="AH19" i="57" s="1"/>
  <c r="X19" i="57"/>
  <c r="S19" i="57"/>
  <c r="U19" i="57" s="1"/>
  <c r="I19" i="57"/>
  <c r="H19" i="57"/>
  <c r="G19" i="57"/>
  <c r="F19" i="57"/>
  <c r="E19" i="57"/>
  <c r="D19" i="57"/>
  <c r="C19" i="57"/>
  <c r="B19" i="57"/>
  <c r="AO18" i="57"/>
  <c r="AL18" i="57"/>
  <c r="AK18" i="57"/>
  <c r="AF18" i="57"/>
  <c r="AH18" i="57" s="1"/>
  <c r="X18" i="57"/>
  <c r="AM18" i="57" s="1"/>
  <c r="S18" i="57"/>
  <c r="U18" i="57" s="1"/>
  <c r="I18" i="57"/>
  <c r="H18" i="57"/>
  <c r="G18" i="57"/>
  <c r="F18" i="57"/>
  <c r="E18" i="57"/>
  <c r="D18" i="57"/>
  <c r="C18" i="57"/>
  <c r="B18" i="57"/>
  <c r="AO17" i="57"/>
  <c r="AL17" i="57"/>
  <c r="AK17" i="57"/>
  <c r="AH17" i="57"/>
  <c r="AF17" i="57"/>
  <c r="X17" i="57"/>
  <c r="S17" i="57"/>
  <c r="AN17" i="57" s="1"/>
  <c r="I17" i="57"/>
  <c r="H17" i="57"/>
  <c r="G17" i="57"/>
  <c r="F17" i="57"/>
  <c r="E17" i="57"/>
  <c r="D17" i="57"/>
  <c r="C17" i="57"/>
  <c r="B17" i="57"/>
  <c r="AO16" i="57"/>
  <c r="AL16" i="57"/>
  <c r="AK16" i="57"/>
  <c r="AF16" i="57"/>
  <c r="AH16" i="57" s="1"/>
  <c r="X16" i="57"/>
  <c r="AM16" i="57" s="1"/>
  <c r="S16" i="57"/>
  <c r="AN16" i="57" s="1"/>
  <c r="I16" i="57"/>
  <c r="H16" i="57"/>
  <c r="G16" i="57"/>
  <c r="F16" i="57"/>
  <c r="E16" i="57"/>
  <c r="D16" i="57"/>
  <c r="C16" i="57"/>
  <c r="B16" i="57"/>
  <c r="AO15" i="57"/>
  <c r="AL15" i="57"/>
  <c r="AK15" i="57"/>
  <c r="AF15" i="57"/>
  <c r="AH15" i="57" s="1"/>
  <c r="X15" i="57"/>
  <c r="AM15" i="57" s="1"/>
  <c r="S15" i="57"/>
  <c r="AN15" i="57" s="1"/>
  <c r="AP15" i="57" s="1"/>
  <c r="I15" i="57"/>
  <c r="H15" i="57"/>
  <c r="G15" i="57"/>
  <c r="F15" i="57"/>
  <c r="E15" i="57"/>
  <c r="D15" i="57"/>
  <c r="C15" i="57"/>
  <c r="B15" i="57"/>
  <c r="AO14" i="57"/>
  <c r="AL14" i="57"/>
  <c r="AK14" i="57"/>
  <c r="AF14" i="57"/>
  <c r="AH14" i="57" s="1"/>
  <c r="X14" i="57"/>
  <c r="S14" i="57"/>
  <c r="I14" i="57"/>
  <c r="H14" i="57"/>
  <c r="G14" i="57"/>
  <c r="F14" i="57"/>
  <c r="E14" i="57"/>
  <c r="D14" i="57"/>
  <c r="C14" i="57"/>
  <c r="B14" i="57"/>
  <c r="AO13" i="57"/>
  <c r="AL13" i="57"/>
  <c r="AK13" i="57"/>
  <c r="AF13" i="57"/>
  <c r="AH13" i="57" s="1"/>
  <c r="X13" i="57"/>
  <c r="S13" i="57"/>
  <c r="U13" i="57" s="1"/>
  <c r="I13" i="57"/>
  <c r="H13" i="57"/>
  <c r="G13" i="57"/>
  <c r="F13" i="57"/>
  <c r="E13" i="57"/>
  <c r="D13" i="57"/>
  <c r="C13" i="57"/>
  <c r="B13" i="57"/>
  <c r="AO12" i="57"/>
  <c r="AL12" i="57"/>
  <c r="AK12" i="57"/>
  <c r="AF12" i="57"/>
  <c r="AH12" i="57" s="1"/>
  <c r="X12" i="57"/>
  <c r="S12" i="57"/>
  <c r="U12" i="57" s="1"/>
  <c r="I12" i="57"/>
  <c r="H12" i="57"/>
  <c r="G12" i="57"/>
  <c r="F12" i="57"/>
  <c r="E12" i="57"/>
  <c r="D12" i="57"/>
  <c r="C12" i="57"/>
  <c r="B12" i="57"/>
  <c r="AO11" i="57"/>
  <c r="AL11" i="57"/>
  <c r="AK11" i="57"/>
  <c r="AF11" i="57"/>
  <c r="AH11" i="57" s="1"/>
  <c r="X11" i="57"/>
  <c r="AM11" i="57" s="1"/>
  <c r="S11" i="57"/>
  <c r="U11" i="57" s="1"/>
  <c r="I11" i="57"/>
  <c r="H11" i="57"/>
  <c r="G11" i="57"/>
  <c r="F11" i="57"/>
  <c r="E11" i="57"/>
  <c r="D11" i="57"/>
  <c r="C11" i="57"/>
  <c r="B11" i="57"/>
  <c r="AO10" i="57"/>
  <c r="AL10" i="57"/>
  <c r="AK10" i="57"/>
  <c r="AF10" i="57"/>
  <c r="AH10" i="57" s="1"/>
  <c r="X10" i="57"/>
  <c r="S10" i="57"/>
  <c r="U10" i="57" s="1"/>
  <c r="I10" i="57"/>
  <c r="H10" i="57"/>
  <c r="G10" i="57"/>
  <c r="F10" i="57"/>
  <c r="E10" i="57"/>
  <c r="C10" i="57"/>
  <c r="B10" i="57"/>
  <c r="AO9" i="57"/>
  <c r="AL9" i="57"/>
  <c r="AK9" i="57"/>
  <c r="AF9" i="57"/>
  <c r="AH9" i="57" s="1"/>
  <c r="X9" i="57"/>
  <c r="AM9" i="57" s="1"/>
  <c r="S9" i="57"/>
  <c r="I9" i="57"/>
  <c r="H9" i="57"/>
  <c r="G9" i="57"/>
  <c r="F9" i="57"/>
  <c r="E9" i="57"/>
  <c r="D9" i="57"/>
  <c r="C9" i="57"/>
  <c r="B9" i="57"/>
  <c r="AO8" i="57"/>
  <c r="AL8" i="57"/>
  <c r="AK8" i="57"/>
  <c r="AF8" i="57"/>
  <c r="AH8" i="57" s="1"/>
  <c r="X8" i="57"/>
  <c r="AM8" i="57" s="1"/>
  <c r="S8" i="57"/>
  <c r="U8" i="57" s="1"/>
  <c r="I8" i="57"/>
  <c r="H8" i="57"/>
  <c r="G8" i="57"/>
  <c r="F8" i="57"/>
  <c r="E8" i="57"/>
  <c r="D8" i="57"/>
  <c r="C8" i="57"/>
  <c r="B8" i="57"/>
  <c r="AO7" i="57"/>
  <c r="AL7" i="57"/>
  <c r="AK7" i="57"/>
  <c r="AM7" i="57" s="1"/>
  <c r="AH7" i="57"/>
  <c r="AF7" i="57"/>
  <c r="X7" i="57"/>
  <c r="S7" i="57"/>
  <c r="I7" i="57"/>
  <c r="H7" i="57"/>
  <c r="G7" i="57"/>
  <c r="F7" i="57"/>
  <c r="E7" i="57"/>
  <c r="D7" i="57"/>
  <c r="C7" i="57"/>
  <c r="B7" i="57"/>
  <c r="AO6" i="57"/>
  <c r="AO61" i="57" s="1"/>
  <c r="AL6" i="57"/>
  <c r="AK6" i="57"/>
  <c r="AF6" i="57"/>
  <c r="AH6" i="57" s="1"/>
  <c r="X6" i="57"/>
  <c r="S6" i="57"/>
  <c r="U6" i="57" s="1"/>
  <c r="I6" i="57"/>
  <c r="H6" i="57"/>
  <c r="G6" i="57"/>
  <c r="F6" i="57"/>
  <c r="E6" i="57"/>
  <c r="D6" i="57"/>
  <c r="C6" i="57"/>
  <c r="B6" i="57"/>
  <c r="AP69" i="57"/>
  <c r="AB69" i="57"/>
  <c r="H2" i="57"/>
  <c r="E2" i="57"/>
  <c r="C2" i="57"/>
  <c r="C56" i="57" s="1"/>
  <c r="AG90" i="20"/>
  <c r="AG89" i="20"/>
  <c r="AG88" i="20"/>
  <c r="AP2" i="56"/>
  <c r="AB2" i="56"/>
  <c r="AB69" i="56" s="1"/>
  <c r="N2" i="56"/>
  <c r="N69" i="56" s="1"/>
  <c r="J66" i="56"/>
  <c r="AG163" i="56" s="1"/>
  <c r="AG94" i="20" s="1"/>
  <c r="J65" i="56"/>
  <c r="AG162" i="56" s="1"/>
  <c r="AG93" i="20" s="1"/>
  <c r="J64" i="56"/>
  <c r="AG161" i="56" s="1"/>
  <c r="AG92" i="20" s="1"/>
  <c r="J63" i="56"/>
  <c r="AG160" i="56" s="1"/>
  <c r="AG91" i="20" s="1"/>
  <c r="AQ61" i="56"/>
  <c r="AJ61" i="56"/>
  <c r="AI61" i="56"/>
  <c r="AG61" i="56"/>
  <c r="AE61" i="56"/>
  <c r="AD61" i="56"/>
  <c r="AC61" i="56"/>
  <c r="AB61" i="56"/>
  <c r="AA61" i="56"/>
  <c r="Z61" i="56"/>
  <c r="Y61" i="56"/>
  <c r="W61" i="56"/>
  <c r="V61" i="56"/>
  <c r="T61" i="56"/>
  <c r="R61" i="56"/>
  <c r="Q61" i="56"/>
  <c r="P61" i="56"/>
  <c r="O61" i="56"/>
  <c r="N61" i="56"/>
  <c r="M61" i="56"/>
  <c r="L61" i="56"/>
  <c r="K61" i="56"/>
  <c r="AQ60" i="56"/>
  <c r="AJ60" i="56"/>
  <c r="AI60" i="56"/>
  <c r="AG60" i="56"/>
  <c r="AE60" i="56"/>
  <c r="AD60" i="56"/>
  <c r="AC60" i="56"/>
  <c r="AB60" i="56"/>
  <c r="AA60" i="56"/>
  <c r="Z60" i="56"/>
  <c r="Y60" i="56"/>
  <c r="W60" i="56"/>
  <c r="V60" i="56"/>
  <c r="T60" i="56"/>
  <c r="R60" i="56"/>
  <c r="Q60" i="56"/>
  <c r="P60" i="56"/>
  <c r="O60" i="56"/>
  <c r="N60" i="56"/>
  <c r="M60" i="56"/>
  <c r="L60" i="56"/>
  <c r="K60" i="56"/>
  <c r="AQ59" i="56"/>
  <c r="AJ59" i="56"/>
  <c r="AI59" i="56"/>
  <c r="AG59" i="56"/>
  <c r="AE59" i="56"/>
  <c r="AD59" i="56"/>
  <c r="AC59" i="56"/>
  <c r="AB59" i="56"/>
  <c r="AA59" i="56"/>
  <c r="Z59" i="56"/>
  <c r="Y59" i="56"/>
  <c r="W59" i="56"/>
  <c r="V59" i="56"/>
  <c r="T59" i="56"/>
  <c r="R59" i="56"/>
  <c r="Q59" i="56"/>
  <c r="P59" i="56"/>
  <c r="O59" i="56"/>
  <c r="N59" i="56"/>
  <c r="M59" i="56"/>
  <c r="L59" i="56"/>
  <c r="K59" i="56"/>
  <c r="AQ58" i="56"/>
  <c r="AJ58" i="56"/>
  <c r="AI58" i="56"/>
  <c r="AG58" i="56"/>
  <c r="AE58" i="56"/>
  <c r="AD58" i="56"/>
  <c r="AC58" i="56"/>
  <c r="AB58" i="56"/>
  <c r="AA58" i="56"/>
  <c r="Z58" i="56"/>
  <c r="Y58" i="56"/>
  <c r="Y62" i="56" s="1"/>
  <c r="W58" i="56"/>
  <c r="V58" i="56"/>
  <c r="T58" i="56"/>
  <c r="R58" i="56"/>
  <c r="Q58" i="56"/>
  <c r="P58" i="56"/>
  <c r="O58" i="56"/>
  <c r="N58" i="56"/>
  <c r="M58" i="56"/>
  <c r="L58" i="56"/>
  <c r="K58" i="56"/>
  <c r="AQ56" i="56"/>
  <c r="AF157" i="56" s="1"/>
  <c r="AF88" i="20" s="1"/>
  <c r="AJ56" i="56"/>
  <c r="W157" i="56" s="1"/>
  <c r="W88" i="20" s="1"/>
  <c r="AI56" i="56"/>
  <c r="V157" i="56" s="1"/>
  <c r="V88" i="20" s="1"/>
  <c r="AG56" i="56"/>
  <c r="Y157" i="56" s="1"/>
  <c r="Y88" i="20" s="1"/>
  <c r="AE56" i="56"/>
  <c r="AD56" i="56"/>
  <c r="AC56" i="56"/>
  <c r="AB56" i="56"/>
  <c r="AA56" i="56"/>
  <c r="Z56" i="56"/>
  <c r="Y56" i="56"/>
  <c r="U157" i="56" s="1"/>
  <c r="U88" i="20" s="1"/>
  <c r="W56" i="56"/>
  <c r="Q157" i="56" s="1"/>
  <c r="Q88" i="20" s="1"/>
  <c r="V56" i="56"/>
  <c r="P157" i="56" s="1"/>
  <c r="P88" i="20" s="1"/>
  <c r="T56" i="56"/>
  <c r="S157" i="56" s="1"/>
  <c r="S88" i="20" s="1"/>
  <c r="R56" i="56"/>
  <c r="Q56" i="56"/>
  <c r="P56" i="56"/>
  <c r="O56" i="56"/>
  <c r="N56" i="56"/>
  <c r="M56" i="56"/>
  <c r="L56" i="56"/>
  <c r="O157" i="56" s="1"/>
  <c r="O88" i="20" s="1"/>
  <c r="K56" i="56"/>
  <c r="N157" i="56" s="1"/>
  <c r="N88" i="20" s="1"/>
  <c r="AO55" i="56"/>
  <c r="AL55" i="56"/>
  <c r="AK55" i="56"/>
  <c r="AF55" i="56"/>
  <c r="AH55" i="56" s="1"/>
  <c r="X55" i="56"/>
  <c r="AM55" i="56" s="1"/>
  <c r="S55" i="56"/>
  <c r="I55" i="56"/>
  <c r="H55" i="56"/>
  <c r="G55" i="56"/>
  <c r="F55" i="56"/>
  <c r="E55" i="56"/>
  <c r="D55" i="56"/>
  <c r="C55" i="56"/>
  <c r="B55" i="56"/>
  <c r="AO54" i="56"/>
  <c r="AL54" i="56"/>
  <c r="AK54" i="56"/>
  <c r="AH54" i="56"/>
  <c r="AF54" i="56"/>
  <c r="X54" i="56"/>
  <c r="U54" i="56"/>
  <c r="S54" i="56"/>
  <c r="AN54" i="56" s="1"/>
  <c r="AP54" i="56" s="1"/>
  <c r="I54" i="56"/>
  <c r="H54" i="56"/>
  <c r="G54" i="56"/>
  <c r="F54" i="56"/>
  <c r="E54" i="56"/>
  <c r="D54" i="56"/>
  <c r="C54" i="56"/>
  <c r="B54" i="56"/>
  <c r="AO53" i="56"/>
  <c r="AL53" i="56"/>
  <c r="AK53" i="56"/>
  <c r="AM53" i="56" s="1"/>
  <c r="AH53" i="56"/>
  <c r="AF53" i="56"/>
  <c r="X53" i="56"/>
  <c r="S53" i="56"/>
  <c r="U53" i="56" s="1"/>
  <c r="I53" i="56"/>
  <c r="H53" i="56"/>
  <c r="G53" i="56"/>
  <c r="F53" i="56"/>
  <c r="E53" i="56"/>
  <c r="D53" i="56"/>
  <c r="C53" i="56"/>
  <c r="B53" i="56"/>
  <c r="AO52" i="56"/>
  <c r="AL52" i="56"/>
  <c r="AK52" i="56"/>
  <c r="AF52" i="56"/>
  <c r="AH52" i="56" s="1"/>
  <c r="X52" i="56"/>
  <c r="S52" i="56"/>
  <c r="U52" i="56" s="1"/>
  <c r="I52" i="56"/>
  <c r="H52" i="56"/>
  <c r="G52" i="56"/>
  <c r="F52" i="56"/>
  <c r="E52" i="56"/>
  <c r="D52" i="56"/>
  <c r="C52" i="56"/>
  <c r="B52" i="56"/>
  <c r="AO51" i="56"/>
  <c r="AL51" i="56"/>
  <c r="AK51" i="56"/>
  <c r="AF51" i="56"/>
  <c r="AH51" i="56" s="1"/>
  <c r="X51" i="56"/>
  <c r="AM51" i="56" s="1"/>
  <c r="S51" i="56"/>
  <c r="U51" i="56" s="1"/>
  <c r="I51" i="56"/>
  <c r="H51" i="56"/>
  <c r="G51" i="56"/>
  <c r="F51" i="56"/>
  <c r="E51" i="56"/>
  <c r="D51" i="56"/>
  <c r="C51" i="56"/>
  <c r="B51" i="56"/>
  <c r="AO50" i="56"/>
  <c r="AL50" i="56"/>
  <c r="AK50" i="56"/>
  <c r="AF50" i="56"/>
  <c r="AH50" i="56" s="1"/>
  <c r="X50" i="56"/>
  <c r="S50" i="56"/>
  <c r="U50" i="56" s="1"/>
  <c r="I50" i="56"/>
  <c r="H50" i="56"/>
  <c r="G50" i="56"/>
  <c r="F50" i="56"/>
  <c r="E50" i="56"/>
  <c r="D50" i="56"/>
  <c r="C50" i="56"/>
  <c r="B50" i="56"/>
  <c r="AO49" i="56"/>
  <c r="AL49" i="56"/>
  <c r="AK49" i="56"/>
  <c r="AF49" i="56"/>
  <c r="AH49" i="56" s="1"/>
  <c r="X49" i="56"/>
  <c r="AM49" i="56" s="1"/>
  <c r="U49" i="56"/>
  <c r="S49" i="56"/>
  <c r="I49" i="56"/>
  <c r="H49" i="56"/>
  <c r="G49" i="56"/>
  <c r="F49" i="56"/>
  <c r="E49" i="56"/>
  <c r="D49" i="56"/>
  <c r="C49" i="56"/>
  <c r="B49" i="56"/>
  <c r="AO48" i="56"/>
  <c r="AL48" i="56"/>
  <c r="AK48" i="56"/>
  <c r="AF48" i="56"/>
  <c r="AH48" i="56" s="1"/>
  <c r="X48" i="56"/>
  <c r="AM48" i="56" s="1"/>
  <c r="S48" i="56"/>
  <c r="U48" i="56" s="1"/>
  <c r="I48" i="56"/>
  <c r="H48" i="56"/>
  <c r="G48" i="56"/>
  <c r="F48" i="56"/>
  <c r="E48" i="56"/>
  <c r="D48" i="56"/>
  <c r="C48" i="56"/>
  <c r="B48" i="56"/>
  <c r="AO47" i="56"/>
  <c r="AM47" i="56"/>
  <c r="AL47" i="56"/>
  <c r="AK47" i="56"/>
  <c r="AH47" i="56"/>
  <c r="AF47" i="56"/>
  <c r="X47" i="56"/>
  <c r="S47" i="56"/>
  <c r="I47" i="56"/>
  <c r="H47" i="56"/>
  <c r="G47" i="56"/>
  <c r="F47" i="56"/>
  <c r="E47" i="56"/>
  <c r="D47" i="56"/>
  <c r="C47" i="56"/>
  <c r="B47" i="56"/>
  <c r="AO46" i="56"/>
  <c r="AL46" i="56"/>
  <c r="AK46" i="56"/>
  <c r="AH46" i="56"/>
  <c r="AF46" i="56"/>
  <c r="X46" i="56"/>
  <c r="S46" i="56"/>
  <c r="I46" i="56"/>
  <c r="H46" i="56"/>
  <c r="G46" i="56"/>
  <c r="F46" i="56"/>
  <c r="E46" i="56"/>
  <c r="D46" i="56"/>
  <c r="C46" i="56"/>
  <c r="B46" i="56"/>
  <c r="AO45" i="56"/>
  <c r="AL45" i="56"/>
  <c r="AK45" i="56"/>
  <c r="AM45" i="56" s="1"/>
  <c r="AH45" i="56"/>
  <c r="AF45" i="56"/>
  <c r="X45" i="56"/>
  <c r="S45" i="56"/>
  <c r="U45" i="56" s="1"/>
  <c r="I45" i="56"/>
  <c r="H45" i="56"/>
  <c r="G45" i="56"/>
  <c r="F45" i="56"/>
  <c r="E45" i="56"/>
  <c r="D45" i="56"/>
  <c r="C45" i="56"/>
  <c r="B45" i="56"/>
  <c r="AO44" i="56"/>
  <c r="AL44" i="56"/>
  <c r="AK44" i="56"/>
  <c r="AF44" i="56"/>
  <c r="AH44" i="56" s="1"/>
  <c r="X44" i="56"/>
  <c r="AM44" i="56" s="1"/>
  <c r="S44" i="56"/>
  <c r="U44" i="56" s="1"/>
  <c r="I44" i="56"/>
  <c r="H44" i="56"/>
  <c r="G44" i="56"/>
  <c r="F44" i="56"/>
  <c r="E44" i="56"/>
  <c r="D44" i="56"/>
  <c r="C44" i="56"/>
  <c r="B44" i="56"/>
  <c r="AO43" i="56"/>
  <c r="AL43" i="56"/>
  <c r="AK43" i="56"/>
  <c r="AF43" i="56"/>
  <c r="AH43" i="56" s="1"/>
  <c r="X43" i="56"/>
  <c r="AM43" i="56" s="1"/>
  <c r="U43" i="56"/>
  <c r="S43" i="56"/>
  <c r="I43" i="56"/>
  <c r="H43" i="56"/>
  <c r="G43" i="56"/>
  <c r="F43" i="56"/>
  <c r="E43" i="56"/>
  <c r="D43" i="56"/>
  <c r="C43" i="56"/>
  <c r="B43" i="56"/>
  <c r="AO42" i="56"/>
  <c r="AL42" i="56"/>
  <c r="AK42" i="56"/>
  <c r="AF42" i="56"/>
  <c r="AH42" i="56" s="1"/>
  <c r="X42" i="56"/>
  <c r="U42" i="56"/>
  <c r="S42" i="56"/>
  <c r="I42" i="56"/>
  <c r="H42" i="56"/>
  <c r="G42" i="56"/>
  <c r="F42" i="56"/>
  <c r="E42" i="56"/>
  <c r="D42" i="56"/>
  <c r="C42" i="56"/>
  <c r="B42" i="56"/>
  <c r="AO41" i="56"/>
  <c r="AL41" i="56"/>
  <c r="AK41" i="56"/>
  <c r="AF41" i="56"/>
  <c r="AH41" i="56" s="1"/>
  <c r="X41" i="56"/>
  <c r="AM41" i="56" s="1"/>
  <c r="U41" i="56"/>
  <c r="S41" i="56"/>
  <c r="I41" i="56"/>
  <c r="H41" i="56"/>
  <c r="G41" i="56"/>
  <c r="F41" i="56"/>
  <c r="E41" i="56"/>
  <c r="D41" i="56"/>
  <c r="C41" i="56"/>
  <c r="B41" i="56"/>
  <c r="AO40" i="56"/>
  <c r="AL40" i="56"/>
  <c r="AK40" i="56"/>
  <c r="AF40" i="56"/>
  <c r="AH40" i="56" s="1"/>
  <c r="X40" i="56"/>
  <c r="AM40" i="56" s="1"/>
  <c r="S40" i="56"/>
  <c r="U40" i="56" s="1"/>
  <c r="I40" i="56"/>
  <c r="H40" i="56"/>
  <c r="G40" i="56"/>
  <c r="F40" i="56"/>
  <c r="E40" i="56"/>
  <c r="D40" i="56"/>
  <c r="C40" i="56"/>
  <c r="B40" i="56"/>
  <c r="AO39" i="56"/>
  <c r="AL39" i="56"/>
  <c r="AK39" i="56"/>
  <c r="AF39" i="56"/>
  <c r="AH39" i="56" s="1"/>
  <c r="X39" i="56"/>
  <c r="AM39" i="56" s="1"/>
  <c r="U39" i="56"/>
  <c r="S39" i="56"/>
  <c r="I39" i="56"/>
  <c r="H39" i="56"/>
  <c r="G39" i="56"/>
  <c r="F39" i="56"/>
  <c r="E39" i="56"/>
  <c r="D39" i="56"/>
  <c r="C39" i="56"/>
  <c r="B39" i="56"/>
  <c r="AO38" i="56"/>
  <c r="AL38" i="56"/>
  <c r="AK38" i="56"/>
  <c r="AF38" i="56"/>
  <c r="AH38" i="56" s="1"/>
  <c r="X38" i="56"/>
  <c r="U38" i="56"/>
  <c r="S38" i="56"/>
  <c r="I38" i="56"/>
  <c r="H38" i="56"/>
  <c r="G38" i="56"/>
  <c r="F38" i="56"/>
  <c r="E38" i="56"/>
  <c r="D38" i="56"/>
  <c r="C38" i="56"/>
  <c r="B38" i="56"/>
  <c r="AO37" i="56"/>
  <c r="AL37" i="56"/>
  <c r="AK37" i="56"/>
  <c r="AM37" i="56" s="1"/>
  <c r="AF37" i="56"/>
  <c r="AH37" i="56" s="1"/>
  <c r="X37" i="56"/>
  <c r="S37" i="56"/>
  <c r="U37" i="56" s="1"/>
  <c r="I37" i="56"/>
  <c r="H37" i="56"/>
  <c r="G37" i="56"/>
  <c r="F37" i="56"/>
  <c r="E37" i="56"/>
  <c r="D37" i="56"/>
  <c r="C37" i="56"/>
  <c r="B37" i="56"/>
  <c r="AO36" i="56"/>
  <c r="AL36" i="56"/>
  <c r="AK36" i="56"/>
  <c r="AF36" i="56"/>
  <c r="AH36" i="56" s="1"/>
  <c r="X36" i="56"/>
  <c r="AM36" i="56" s="1"/>
  <c r="S36" i="56"/>
  <c r="U36" i="56" s="1"/>
  <c r="I36" i="56"/>
  <c r="H36" i="56"/>
  <c r="G36" i="56"/>
  <c r="F36" i="56"/>
  <c r="E36" i="56"/>
  <c r="D36" i="56"/>
  <c r="C36" i="56"/>
  <c r="B36" i="56"/>
  <c r="AO35" i="56"/>
  <c r="AL35" i="56"/>
  <c r="AK35" i="56"/>
  <c r="AF35" i="56"/>
  <c r="AH35" i="56" s="1"/>
  <c r="X35" i="56"/>
  <c r="S35" i="56"/>
  <c r="U35" i="56" s="1"/>
  <c r="I35" i="56"/>
  <c r="H35" i="56"/>
  <c r="G35" i="56"/>
  <c r="F35" i="56"/>
  <c r="E35" i="56"/>
  <c r="D35" i="56"/>
  <c r="C35" i="56"/>
  <c r="B35" i="56"/>
  <c r="AO34" i="56"/>
  <c r="AL34" i="56"/>
  <c r="AK34" i="56"/>
  <c r="AF34" i="56"/>
  <c r="AH34" i="56" s="1"/>
  <c r="X34" i="56"/>
  <c r="AM34" i="56" s="1"/>
  <c r="U34" i="56"/>
  <c r="S34" i="56"/>
  <c r="I34" i="56"/>
  <c r="H34" i="56"/>
  <c r="G34" i="56"/>
  <c r="F34" i="56"/>
  <c r="E34" i="56"/>
  <c r="D34" i="56"/>
  <c r="C34" i="56"/>
  <c r="B34" i="56"/>
  <c r="AO33" i="56"/>
  <c r="AL33" i="56"/>
  <c r="AK33" i="56"/>
  <c r="AF33" i="56"/>
  <c r="AH33" i="56" s="1"/>
  <c r="X33" i="56"/>
  <c r="AM33" i="56" s="1"/>
  <c r="U33" i="56"/>
  <c r="S33" i="56"/>
  <c r="I33" i="56"/>
  <c r="H33" i="56"/>
  <c r="G33" i="56"/>
  <c r="F33" i="56"/>
  <c r="E33" i="56"/>
  <c r="D33" i="56"/>
  <c r="C33" i="56"/>
  <c r="B33" i="56"/>
  <c r="AO32" i="56"/>
  <c r="AM32" i="56"/>
  <c r="AL32" i="56"/>
  <c r="AK32" i="56"/>
  <c r="AH32" i="56"/>
  <c r="AF32" i="56"/>
  <c r="X32" i="56"/>
  <c r="S32" i="56"/>
  <c r="I32" i="56"/>
  <c r="H32" i="56"/>
  <c r="G32" i="56"/>
  <c r="F32" i="56"/>
  <c r="E32" i="56"/>
  <c r="D32" i="56"/>
  <c r="C32" i="56"/>
  <c r="B32" i="56"/>
  <c r="AO31" i="56"/>
  <c r="AM31" i="56"/>
  <c r="AL31" i="56"/>
  <c r="AK31" i="56"/>
  <c r="AH31" i="56"/>
  <c r="AF31" i="56"/>
  <c r="X31" i="56"/>
  <c r="S31" i="56"/>
  <c r="AN31" i="56" s="1"/>
  <c r="AP31" i="56" s="1"/>
  <c r="I31" i="56"/>
  <c r="H31" i="56"/>
  <c r="G31" i="56"/>
  <c r="F31" i="56"/>
  <c r="E31" i="56"/>
  <c r="D31" i="56"/>
  <c r="C31" i="56"/>
  <c r="B31" i="56"/>
  <c r="AO30" i="56"/>
  <c r="AL30" i="56"/>
  <c r="AK30" i="56"/>
  <c r="AH30" i="56"/>
  <c r="AF30" i="56"/>
  <c r="X30" i="56"/>
  <c r="AM30" i="56" s="1"/>
  <c r="S30" i="56"/>
  <c r="AN30" i="56" s="1"/>
  <c r="AP30" i="56" s="1"/>
  <c r="I30" i="56"/>
  <c r="H30" i="56"/>
  <c r="G30" i="56"/>
  <c r="F30" i="56"/>
  <c r="E30" i="56"/>
  <c r="D30" i="56"/>
  <c r="C30" i="56"/>
  <c r="B30" i="56"/>
  <c r="AO29" i="56"/>
  <c r="AL29" i="56"/>
  <c r="AK29" i="56"/>
  <c r="AH29" i="56"/>
  <c r="AF29" i="56"/>
  <c r="X29" i="56"/>
  <c r="S29" i="56"/>
  <c r="U29" i="56" s="1"/>
  <c r="I29" i="56"/>
  <c r="H29" i="56"/>
  <c r="G29" i="56"/>
  <c r="F29" i="56"/>
  <c r="E29" i="56"/>
  <c r="D29" i="56"/>
  <c r="C29" i="56"/>
  <c r="B29" i="56"/>
  <c r="AO28" i="56"/>
  <c r="AL28" i="56"/>
  <c r="AK28" i="56"/>
  <c r="AF28" i="56"/>
  <c r="AH28" i="56" s="1"/>
  <c r="X28" i="56"/>
  <c r="AM28" i="56" s="1"/>
  <c r="S28" i="56"/>
  <c r="U28" i="56" s="1"/>
  <c r="I28" i="56"/>
  <c r="H28" i="56"/>
  <c r="G28" i="56"/>
  <c r="F28" i="56"/>
  <c r="E28" i="56"/>
  <c r="D28" i="56"/>
  <c r="C28" i="56"/>
  <c r="B28" i="56"/>
  <c r="AO27" i="56"/>
  <c r="AL27" i="56"/>
  <c r="AK27" i="56"/>
  <c r="AF27" i="56"/>
  <c r="AH27" i="56" s="1"/>
  <c r="X27" i="56"/>
  <c r="S27" i="56"/>
  <c r="U27" i="56" s="1"/>
  <c r="I27" i="56"/>
  <c r="H27" i="56"/>
  <c r="G27" i="56"/>
  <c r="F27" i="56"/>
  <c r="E27" i="56"/>
  <c r="D27" i="56"/>
  <c r="C27" i="56"/>
  <c r="B27" i="56"/>
  <c r="AO26" i="56"/>
  <c r="AL26" i="56"/>
  <c r="AK26" i="56"/>
  <c r="AF26" i="56"/>
  <c r="AH26" i="56" s="1"/>
  <c r="X26" i="56"/>
  <c r="AM26" i="56" s="1"/>
  <c r="U26" i="56"/>
  <c r="S26" i="56"/>
  <c r="I26" i="56"/>
  <c r="H26" i="56"/>
  <c r="G26" i="56"/>
  <c r="F26" i="56"/>
  <c r="E26" i="56"/>
  <c r="D26" i="56"/>
  <c r="C26" i="56"/>
  <c r="B26" i="56"/>
  <c r="AO25" i="56"/>
  <c r="AL25" i="56"/>
  <c r="AK25" i="56"/>
  <c r="AF25" i="56"/>
  <c r="AH25" i="56" s="1"/>
  <c r="X25" i="56"/>
  <c r="AM25" i="56" s="1"/>
  <c r="U25" i="56"/>
  <c r="S25" i="56"/>
  <c r="I25" i="56"/>
  <c r="H25" i="56"/>
  <c r="G25" i="56"/>
  <c r="F25" i="56"/>
  <c r="E25" i="56"/>
  <c r="D25" i="56"/>
  <c r="C25" i="56"/>
  <c r="B25" i="56"/>
  <c r="AO24" i="56"/>
  <c r="AM24" i="56"/>
  <c r="AL24" i="56"/>
  <c r="AK24" i="56"/>
  <c r="AH24" i="56"/>
  <c r="AF24" i="56"/>
  <c r="X24" i="56"/>
  <c r="S24" i="56"/>
  <c r="AN24" i="56" s="1"/>
  <c r="I24" i="56"/>
  <c r="H24" i="56"/>
  <c r="G24" i="56"/>
  <c r="F24" i="56"/>
  <c r="E24" i="56"/>
  <c r="D24" i="56"/>
  <c r="C24" i="56"/>
  <c r="B24" i="56"/>
  <c r="AO23" i="56"/>
  <c r="AL23" i="56"/>
  <c r="AK23" i="56"/>
  <c r="AM23" i="56" s="1"/>
  <c r="AH23" i="56"/>
  <c r="AF23" i="56"/>
  <c r="X23" i="56"/>
  <c r="S23" i="56"/>
  <c r="AN23" i="56" s="1"/>
  <c r="AP23" i="56" s="1"/>
  <c r="I23" i="56"/>
  <c r="H23" i="56"/>
  <c r="G23" i="56"/>
  <c r="F23" i="56"/>
  <c r="E23" i="56"/>
  <c r="D23" i="56"/>
  <c r="C23" i="56"/>
  <c r="B23" i="56"/>
  <c r="AO22" i="56"/>
  <c r="AL22" i="56"/>
  <c r="AK22" i="56"/>
  <c r="AH22" i="56"/>
  <c r="AF22" i="56"/>
  <c r="X22" i="56"/>
  <c r="U22" i="56"/>
  <c r="S22" i="56"/>
  <c r="AN22" i="56" s="1"/>
  <c r="AP22" i="56" s="1"/>
  <c r="I22" i="56"/>
  <c r="H22" i="56"/>
  <c r="G22" i="56"/>
  <c r="F22" i="56"/>
  <c r="E22" i="56"/>
  <c r="D22" i="56"/>
  <c r="C22" i="56"/>
  <c r="B22" i="56"/>
  <c r="AO21" i="56"/>
  <c r="AL21" i="56"/>
  <c r="AK21" i="56"/>
  <c r="AM21" i="56" s="1"/>
  <c r="AF21" i="56"/>
  <c r="AH21" i="56" s="1"/>
  <c r="X21" i="56"/>
  <c r="S21" i="56"/>
  <c r="U21" i="56" s="1"/>
  <c r="I21" i="56"/>
  <c r="H21" i="56"/>
  <c r="G21" i="56"/>
  <c r="F21" i="56"/>
  <c r="E21" i="56"/>
  <c r="D21" i="56"/>
  <c r="C21" i="56"/>
  <c r="B21" i="56"/>
  <c r="AO20" i="56"/>
  <c r="AL20" i="56"/>
  <c r="AK20" i="56"/>
  <c r="AF20" i="56"/>
  <c r="AH20" i="56" s="1"/>
  <c r="X20" i="56"/>
  <c r="AM20" i="56" s="1"/>
  <c r="S20" i="56"/>
  <c r="U20" i="56" s="1"/>
  <c r="I20" i="56"/>
  <c r="H20" i="56"/>
  <c r="G20" i="56"/>
  <c r="F20" i="56"/>
  <c r="E20" i="56"/>
  <c r="D20" i="56"/>
  <c r="C20" i="56"/>
  <c r="B20" i="56"/>
  <c r="AO19" i="56"/>
  <c r="AL19" i="56"/>
  <c r="AK19" i="56"/>
  <c r="AF19" i="56"/>
  <c r="AH19" i="56" s="1"/>
  <c r="X19" i="56"/>
  <c r="S19" i="56"/>
  <c r="U19" i="56" s="1"/>
  <c r="I19" i="56"/>
  <c r="H19" i="56"/>
  <c r="G19" i="56"/>
  <c r="F19" i="56"/>
  <c r="E19" i="56"/>
  <c r="D19" i="56"/>
  <c r="C19" i="56"/>
  <c r="B19" i="56"/>
  <c r="AO18" i="56"/>
  <c r="AL18" i="56"/>
  <c r="AK18" i="56"/>
  <c r="AF18" i="56"/>
  <c r="AH18" i="56" s="1"/>
  <c r="X18" i="56"/>
  <c r="AM18" i="56" s="1"/>
  <c r="S18" i="56"/>
  <c r="I18" i="56"/>
  <c r="H18" i="56"/>
  <c r="G18" i="56"/>
  <c r="F18" i="56"/>
  <c r="E18" i="56"/>
  <c r="D18" i="56"/>
  <c r="C18" i="56"/>
  <c r="B18" i="56"/>
  <c r="AO17" i="56"/>
  <c r="AL17" i="56"/>
  <c r="AK17" i="56"/>
  <c r="AM17" i="56" s="1"/>
  <c r="AF17" i="56"/>
  <c r="AH17" i="56" s="1"/>
  <c r="X17" i="56"/>
  <c r="S17" i="56"/>
  <c r="U17" i="56" s="1"/>
  <c r="I17" i="56"/>
  <c r="H17" i="56"/>
  <c r="G17" i="56"/>
  <c r="F17" i="56"/>
  <c r="E17" i="56"/>
  <c r="D17" i="56"/>
  <c r="C17" i="56"/>
  <c r="B17" i="56"/>
  <c r="AO16" i="56"/>
  <c r="AL16" i="56"/>
  <c r="AK16" i="56"/>
  <c r="AM16" i="56" s="1"/>
  <c r="AH16" i="56"/>
  <c r="AF16" i="56"/>
  <c r="X16" i="56"/>
  <c r="S16" i="56"/>
  <c r="AN16" i="56" s="1"/>
  <c r="I16" i="56"/>
  <c r="H16" i="56"/>
  <c r="G16" i="56"/>
  <c r="F16" i="56"/>
  <c r="E16" i="56"/>
  <c r="D16" i="56"/>
  <c r="C16" i="56"/>
  <c r="B16" i="56"/>
  <c r="AO15" i="56"/>
  <c r="AL15" i="56"/>
  <c r="AK15" i="56"/>
  <c r="AM15" i="56" s="1"/>
  <c r="AF15" i="56"/>
  <c r="AH15" i="56" s="1"/>
  <c r="X15" i="56"/>
  <c r="S15" i="56"/>
  <c r="I15" i="56"/>
  <c r="H15" i="56"/>
  <c r="G15" i="56"/>
  <c r="F15" i="56"/>
  <c r="E15" i="56"/>
  <c r="D15" i="56"/>
  <c r="C15" i="56"/>
  <c r="B15" i="56"/>
  <c r="AO14" i="56"/>
  <c r="AL14" i="56"/>
  <c r="AK14" i="56"/>
  <c r="AF14" i="56"/>
  <c r="AH14" i="56" s="1"/>
  <c r="X14" i="56"/>
  <c r="AM14" i="56" s="1"/>
  <c r="U14" i="56"/>
  <c r="S14" i="56"/>
  <c r="I14" i="56"/>
  <c r="H14" i="56"/>
  <c r="G14" i="56"/>
  <c r="F14" i="56"/>
  <c r="E14" i="56"/>
  <c r="D14" i="56"/>
  <c r="C14" i="56"/>
  <c r="B14" i="56"/>
  <c r="AO13" i="56"/>
  <c r="AL13" i="56"/>
  <c r="AK13" i="56"/>
  <c r="AF13" i="56"/>
  <c r="AH13" i="56" s="1"/>
  <c r="X13" i="56"/>
  <c r="S13" i="56"/>
  <c r="U13" i="56" s="1"/>
  <c r="I13" i="56"/>
  <c r="H13" i="56"/>
  <c r="G13" i="56"/>
  <c r="F13" i="56"/>
  <c r="E13" i="56"/>
  <c r="D13" i="56"/>
  <c r="C13" i="56"/>
  <c r="B13" i="56"/>
  <c r="AO12" i="56"/>
  <c r="AL12" i="56"/>
  <c r="AK12" i="56"/>
  <c r="AF12" i="56"/>
  <c r="AH12" i="56" s="1"/>
  <c r="X12" i="56"/>
  <c r="AM12" i="56" s="1"/>
  <c r="S12" i="56"/>
  <c r="I12" i="56"/>
  <c r="H12" i="56"/>
  <c r="G12" i="56"/>
  <c r="F12" i="56"/>
  <c r="E12" i="56"/>
  <c r="D12" i="56"/>
  <c r="C12" i="56"/>
  <c r="B12" i="56"/>
  <c r="AO11" i="56"/>
  <c r="AL11" i="56"/>
  <c r="AK11" i="56"/>
  <c r="AF11" i="56"/>
  <c r="AH11" i="56" s="1"/>
  <c r="X11" i="56"/>
  <c r="S11" i="56"/>
  <c r="U11" i="56" s="1"/>
  <c r="I11" i="56"/>
  <c r="H11" i="56"/>
  <c r="G11" i="56"/>
  <c r="F11" i="56"/>
  <c r="E11" i="56"/>
  <c r="D11" i="56"/>
  <c r="C11" i="56"/>
  <c r="B11" i="56"/>
  <c r="AO10" i="56"/>
  <c r="AL10" i="56"/>
  <c r="AK10" i="56"/>
  <c r="AF10" i="56"/>
  <c r="AH10" i="56" s="1"/>
  <c r="X10" i="56"/>
  <c r="AM10" i="56" s="1"/>
  <c r="S10" i="56"/>
  <c r="I10" i="56"/>
  <c r="H10" i="56"/>
  <c r="G10" i="56"/>
  <c r="F10" i="56"/>
  <c r="E10" i="56"/>
  <c r="C10" i="56"/>
  <c r="B10" i="56"/>
  <c r="AO9" i="56"/>
  <c r="AL9" i="56"/>
  <c r="AK9" i="56"/>
  <c r="AH9" i="56"/>
  <c r="AF9" i="56"/>
  <c r="X9" i="56"/>
  <c r="AM9" i="56" s="1"/>
  <c r="U9" i="56"/>
  <c r="S9" i="56"/>
  <c r="I9" i="56"/>
  <c r="H9" i="56"/>
  <c r="G9" i="56"/>
  <c r="F9" i="56"/>
  <c r="E9" i="56"/>
  <c r="D9" i="56"/>
  <c r="C9" i="56"/>
  <c r="B9" i="56"/>
  <c r="AO8" i="56"/>
  <c r="AM8" i="56"/>
  <c r="AL8" i="56"/>
  <c r="AK8" i="56"/>
  <c r="AF8" i="56"/>
  <c r="AH8" i="56" s="1"/>
  <c r="X8" i="56"/>
  <c r="U8" i="56"/>
  <c r="S8" i="56"/>
  <c r="I8" i="56"/>
  <c r="H8" i="56"/>
  <c r="G8" i="56"/>
  <c r="F8" i="56"/>
  <c r="E8" i="56"/>
  <c r="D8" i="56"/>
  <c r="C8" i="56"/>
  <c r="B8" i="56"/>
  <c r="AO7" i="56"/>
  <c r="AL7" i="56"/>
  <c r="AK7" i="56"/>
  <c r="AF7" i="56"/>
  <c r="AH7" i="56" s="1"/>
  <c r="X7" i="56"/>
  <c r="AM7" i="56" s="1"/>
  <c r="S7" i="56"/>
  <c r="I7" i="56"/>
  <c r="H7" i="56"/>
  <c r="G7" i="56"/>
  <c r="F7" i="56"/>
  <c r="E7" i="56"/>
  <c r="D7" i="56"/>
  <c r="C7" i="56"/>
  <c r="B7" i="56"/>
  <c r="AO6" i="56"/>
  <c r="AL6" i="56"/>
  <c r="AK6" i="56"/>
  <c r="AH6" i="56"/>
  <c r="AF6" i="56"/>
  <c r="X6" i="56"/>
  <c r="S6" i="56"/>
  <c r="I6" i="56"/>
  <c r="H6" i="56"/>
  <c r="G6" i="56"/>
  <c r="F6" i="56"/>
  <c r="E6" i="56"/>
  <c r="D6" i="56"/>
  <c r="C6" i="56"/>
  <c r="B6" i="56"/>
  <c r="AP69" i="56"/>
  <c r="H2" i="56"/>
  <c r="E2" i="56"/>
  <c r="C2" i="56"/>
  <c r="C56" i="56" s="1"/>
  <c r="AG85" i="20"/>
  <c r="AG84" i="20"/>
  <c r="AG83" i="20"/>
  <c r="AG82" i="20"/>
  <c r="AG81" i="20"/>
  <c r="AP2" i="55"/>
  <c r="AB2" i="55"/>
  <c r="N2" i="55"/>
  <c r="J66" i="55"/>
  <c r="AG163" i="55" s="1"/>
  <c r="AG87" i="20" s="1"/>
  <c r="J65" i="55"/>
  <c r="AG162" i="55" s="1"/>
  <c r="AG86" i="20" s="1"/>
  <c r="J64" i="55"/>
  <c r="AG161" i="55" s="1"/>
  <c r="J63" i="55"/>
  <c r="AG160" i="55" s="1"/>
  <c r="AQ61" i="55"/>
  <c r="AJ61" i="55"/>
  <c r="AI61" i="55"/>
  <c r="AG61" i="55"/>
  <c r="AE61" i="55"/>
  <c r="AD61" i="55"/>
  <c r="AC61" i="55"/>
  <c r="AB61" i="55"/>
  <c r="AA61" i="55"/>
  <c r="Z61" i="55"/>
  <c r="Y61" i="55"/>
  <c r="W61" i="55"/>
  <c r="V61" i="55"/>
  <c r="T61" i="55"/>
  <c r="R61" i="55"/>
  <c r="Q61" i="55"/>
  <c r="P61" i="55"/>
  <c r="O61" i="55"/>
  <c r="N61" i="55"/>
  <c r="M61" i="55"/>
  <c r="L61" i="55"/>
  <c r="K61" i="55"/>
  <c r="AQ60" i="55"/>
  <c r="AJ60" i="55"/>
  <c r="AI60" i="55"/>
  <c r="AG60" i="55"/>
  <c r="AE60" i="55"/>
  <c r="AD60" i="55"/>
  <c r="AC60" i="55"/>
  <c r="AB60" i="55"/>
  <c r="AA60" i="55"/>
  <c r="Z60" i="55"/>
  <c r="Y60" i="55"/>
  <c r="W60" i="55"/>
  <c r="V60" i="55"/>
  <c r="T60" i="55"/>
  <c r="R60" i="55"/>
  <c r="Q60" i="55"/>
  <c r="P60" i="55"/>
  <c r="O60" i="55"/>
  <c r="N60" i="55"/>
  <c r="M60" i="55"/>
  <c r="L60" i="55"/>
  <c r="K60" i="55"/>
  <c r="AQ59" i="55"/>
  <c r="AJ59" i="55"/>
  <c r="AI59" i="55"/>
  <c r="AG59" i="55"/>
  <c r="AE59" i="55"/>
  <c r="AD59" i="55"/>
  <c r="AC59" i="55"/>
  <c r="AB59" i="55"/>
  <c r="AA59" i="55"/>
  <c r="Z59" i="55"/>
  <c r="Y59" i="55"/>
  <c r="W59" i="55"/>
  <c r="V59" i="55"/>
  <c r="T59" i="55"/>
  <c r="R59" i="55"/>
  <c r="Q59" i="55"/>
  <c r="P59" i="55"/>
  <c r="O59" i="55"/>
  <c r="N59" i="55"/>
  <c r="M59" i="55"/>
  <c r="L59" i="55"/>
  <c r="K59" i="55"/>
  <c r="AQ58" i="55"/>
  <c r="AJ58" i="55"/>
  <c r="AI58" i="55"/>
  <c r="AG58" i="55"/>
  <c r="AG62" i="55" s="1"/>
  <c r="AE58" i="55"/>
  <c r="AD58" i="55"/>
  <c r="AC58" i="55"/>
  <c r="AB58" i="55"/>
  <c r="AA58" i="55"/>
  <c r="Z58" i="55"/>
  <c r="Y58" i="55"/>
  <c r="W58" i="55"/>
  <c r="V58" i="55"/>
  <c r="T58" i="55"/>
  <c r="R58" i="55"/>
  <c r="Q58" i="55"/>
  <c r="P58" i="55"/>
  <c r="O58" i="55"/>
  <c r="N58" i="55"/>
  <c r="M58" i="55"/>
  <c r="L58" i="55"/>
  <c r="K58" i="55"/>
  <c r="AQ56" i="55"/>
  <c r="AF157" i="55" s="1"/>
  <c r="AF81" i="20" s="1"/>
  <c r="AJ56" i="55"/>
  <c r="W157" i="55" s="1"/>
  <c r="W81" i="20" s="1"/>
  <c r="AI56" i="55"/>
  <c r="V157" i="55" s="1"/>
  <c r="V81" i="20" s="1"/>
  <c r="AG56" i="55"/>
  <c r="Y157" i="55" s="1"/>
  <c r="Y81" i="20" s="1"/>
  <c r="AE56" i="55"/>
  <c r="AD56" i="55"/>
  <c r="AC56" i="55"/>
  <c r="AB56" i="55"/>
  <c r="AA56" i="55"/>
  <c r="Z56" i="55"/>
  <c r="Y56" i="55"/>
  <c r="U157" i="55" s="1"/>
  <c r="U81" i="20" s="1"/>
  <c r="W56" i="55"/>
  <c r="Q157" i="55" s="1"/>
  <c r="Q81" i="20" s="1"/>
  <c r="V56" i="55"/>
  <c r="P157" i="55" s="1"/>
  <c r="P81" i="20" s="1"/>
  <c r="T56" i="55"/>
  <c r="S157" i="55" s="1"/>
  <c r="S81" i="20" s="1"/>
  <c r="R56" i="55"/>
  <c r="Q56" i="55"/>
  <c r="P56" i="55"/>
  <c r="O56" i="55"/>
  <c r="N56" i="55"/>
  <c r="M56" i="55"/>
  <c r="L56" i="55"/>
  <c r="O157" i="55" s="1"/>
  <c r="O81" i="20" s="1"/>
  <c r="K56" i="55"/>
  <c r="N157" i="55" s="1"/>
  <c r="N81" i="20" s="1"/>
  <c r="AO55" i="55"/>
  <c r="AL55" i="55"/>
  <c r="AK55" i="55"/>
  <c r="AH55" i="55"/>
  <c r="AF55" i="55"/>
  <c r="X55" i="55"/>
  <c r="AM55" i="55" s="1"/>
  <c r="U55" i="55"/>
  <c r="S55" i="55"/>
  <c r="AN55" i="55" s="1"/>
  <c r="I55" i="55"/>
  <c r="H55" i="55"/>
  <c r="G55" i="55"/>
  <c r="F55" i="55"/>
  <c r="E55" i="55"/>
  <c r="D55" i="55"/>
  <c r="C55" i="55"/>
  <c r="B55" i="55"/>
  <c r="AO54" i="55"/>
  <c r="AL54" i="55"/>
  <c r="AK54" i="55"/>
  <c r="AF54" i="55"/>
  <c r="AH54" i="55" s="1"/>
  <c r="X54" i="55"/>
  <c r="S54" i="55"/>
  <c r="U54" i="55" s="1"/>
  <c r="I54" i="55"/>
  <c r="H54" i="55"/>
  <c r="G54" i="55"/>
  <c r="F54" i="55"/>
  <c r="E54" i="55"/>
  <c r="D54" i="55"/>
  <c r="C54" i="55"/>
  <c r="B54" i="55"/>
  <c r="AO53" i="55"/>
  <c r="AL53" i="55"/>
  <c r="AK53" i="55"/>
  <c r="AF53" i="55"/>
  <c r="AH53" i="55" s="1"/>
  <c r="X53" i="55"/>
  <c r="U53" i="55"/>
  <c r="S53" i="55"/>
  <c r="I53" i="55"/>
  <c r="H53" i="55"/>
  <c r="G53" i="55"/>
  <c r="F53" i="55"/>
  <c r="E53" i="55"/>
  <c r="D53" i="55"/>
  <c r="C53" i="55"/>
  <c r="B53" i="55"/>
  <c r="AO52" i="55"/>
  <c r="AL52" i="55"/>
  <c r="AK52" i="55"/>
  <c r="AF52" i="55"/>
  <c r="AH52" i="55" s="1"/>
  <c r="X52" i="55"/>
  <c r="S52" i="55"/>
  <c r="U52" i="55" s="1"/>
  <c r="I52" i="55"/>
  <c r="H52" i="55"/>
  <c r="G52" i="55"/>
  <c r="F52" i="55"/>
  <c r="E52" i="55"/>
  <c r="D52" i="55"/>
  <c r="C52" i="55"/>
  <c r="B52" i="55"/>
  <c r="AO51" i="55"/>
  <c r="AL51" i="55"/>
  <c r="AK51" i="55"/>
  <c r="AF51" i="55"/>
  <c r="AH51" i="55" s="1"/>
  <c r="X51" i="55"/>
  <c r="AM51" i="55" s="1"/>
  <c r="U51" i="55"/>
  <c r="S51" i="55"/>
  <c r="AN51" i="55" s="1"/>
  <c r="I51" i="55"/>
  <c r="H51" i="55"/>
  <c r="G51" i="55"/>
  <c r="F51" i="55"/>
  <c r="E51" i="55"/>
  <c r="D51" i="55"/>
  <c r="C51" i="55"/>
  <c r="B51" i="55"/>
  <c r="AO50" i="55"/>
  <c r="AL50" i="55"/>
  <c r="AK50" i="55"/>
  <c r="AH50" i="55"/>
  <c r="AF50" i="55"/>
  <c r="X50" i="55"/>
  <c r="AM50" i="55" s="1"/>
  <c r="S50" i="55"/>
  <c r="U50" i="55" s="1"/>
  <c r="I50" i="55"/>
  <c r="H50" i="55"/>
  <c r="G50" i="55"/>
  <c r="F50" i="55"/>
  <c r="E50" i="55"/>
  <c r="D50" i="55"/>
  <c r="C50" i="55"/>
  <c r="B50" i="55"/>
  <c r="AO49" i="55"/>
  <c r="AL49" i="55"/>
  <c r="AK49" i="55"/>
  <c r="AF49" i="55"/>
  <c r="AH49" i="55" s="1"/>
  <c r="X49" i="55"/>
  <c r="AM49" i="55" s="1"/>
  <c r="U49" i="55"/>
  <c r="S49" i="55"/>
  <c r="AN49" i="55" s="1"/>
  <c r="I49" i="55"/>
  <c r="H49" i="55"/>
  <c r="G49" i="55"/>
  <c r="F49" i="55"/>
  <c r="E49" i="55"/>
  <c r="D49" i="55"/>
  <c r="C49" i="55"/>
  <c r="B49" i="55"/>
  <c r="AO48" i="55"/>
  <c r="AL48" i="55"/>
  <c r="AK48" i="55"/>
  <c r="AH48" i="55"/>
  <c r="AF48" i="55"/>
  <c r="X48" i="55"/>
  <c r="S48" i="55"/>
  <c r="U48" i="55" s="1"/>
  <c r="I48" i="55"/>
  <c r="H48" i="55"/>
  <c r="G48" i="55"/>
  <c r="F48" i="55"/>
  <c r="E48" i="55"/>
  <c r="D48" i="55"/>
  <c r="C48" i="55"/>
  <c r="B48" i="55"/>
  <c r="AO47" i="55"/>
  <c r="AL47" i="55"/>
  <c r="AK47" i="55"/>
  <c r="AF47" i="55"/>
  <c r="AH47" i="55" s="1"/>
  <c r="X47" i="55"/>
  <c r="AM47" i="55" s="1"/>
  <c r="S47" i="55"/>
  <c r="AN47" i="55" s="1"/>
  <c r="I47" i="55"/>
  <c r="H47" i="55"/>
  <c r="G47" i="55"/>
  <c r="F47" i="55"/>
  <c r="E47" i="55"/>
  <c r="D47" i="55"/>
  <c r="C47" i="55"/>
  <c r="B47" i="55"/>
  <c r="AO46" i="55"/>
  <c r="AL46" i="55"/>
  <c r="AK46" i="55"/>
  <c r="AH46" i="55"/>
  <c r="AF46" i="55"/>
  <c r="X46" i="55"/>
  <c r="AM46" i="55" s="1"/>
  <c r="S46" i="55"/>
  <c r="U46" i="55" s="1"/>
  <c r="I46" i="55"/>
  <c r="H46" i="55"/>
  <c r="G46" i="55"/>
  <c r="F46" i="55"/>
  <c r="E46" i="55"/>
  <c r="D46" i="55"/>
  <c r="C46" i="55"/>
  <c r="B46" i="55"/>
  <c r="AO45" i="55"/>
  <c r="AP45" i="55" s="1"/>
  <c r="AL45" i="55"/>
  <c r="AK45" i="55"/>
  <c r="AF45" i="55"/>
  <c r="AH45" i="55" s="1"/>
  <c r="X45" i="55"/>
  <c r="U45" i="55"/>
  <c r="S45" i="55"/>
  <c r="AN45" i="55" s="1"/>
  <c r="I45" i="55"/>
  <c r="H45" i="55"/>
  <c r="G45" i="55"/>
  <c r="F45" i="55"/>
  <c r="E45" i="55"/>
  <c r="D45" i="55"/>
  <c r="C45" i="55"/>
  <c r="B45" i="55"/>
  <c r="AO44" i="55"/>
  <c r="AL44" i="55"/>
  <c r="AK44" i="55"/>
  <c r="AF44" i="55"/>
  <c r="AH44" i="55" s="1"/>
  <c r="X44" i="55"/>
  <c r="AM44" i="55" s="1"/>
  <c r="S44" i="55"/>
  <c r="U44" i="55" s="1"/>
  <c r="I44" i="55"/>
  <c r="H44" i="55"/>
  <c r="G44" i="55"/>
  <c r="F44" i="55"/>
  <c r="E44" i="55"/>
  <c r="D44" i="55"/>
  <c r="C44" i="55"/>
  <c r="B44" i="55"/>
  <c r="AO43" i="55"/>
  <c r="AL43" i="55"/>
  <c r="AK43" i="55"/>
  <c r="AF43" i="55"/>
  <c r="AH43" i="55" s="1"/>
  <c r="X43" i="55"/>
  <c r="AM43" i="55" s="1"/>
  <c r="U43" i="55"/>
  <c r="S43" i="55"/>
  <c r="AN43" i="55" s="1"/>
  <c r="I43" i="55"/>
  <c r="H43" i="55"/>
  <c r="G43" i="55"/>
  <c r="F43" i="55"/>
  <c r="E43" i="55"/>
  <c r="D43" i="55"/>
  <c r="C43" i="55"/>
  <c r="B43" i="55"/>
  <c r="AO42" i="55"/>
  <c r="AL42" i="55"/>
  <c r="AK42" i="55"/>
  <c r="AH42" i="55"/>
  <c r="AF42" i="55"/>
  <c r="X42" i="55"/>
  <c r="AM42" i="55" s="1"/>
  <c r="S42" i="55"/>
  <c r="U42" i="55" s="1"/>
  <c r="I42" i="55"/>
  <c r="H42" i="55"/>
  <c r="G42" i="55"/>
  <c r="F42" i="55"/>
  <c r="E42" i="55"/>
  <c r="D42" i="55"/>
  <c r="C42" i="55"/>
  <c r="B42" i="55"/>
  <c r="AO41" i="55"/>
  <c r="AL41" i="55"/>
  <c r="AK41" i="55"/>
  <c r="AM41" i="55" s="1"/>
  <c r="AF41" i="55"/>
  <c r="AH41" i="55" s="1"/>
  <c r="X41" i="55"/>
  <c r="S41" i="55"/>
  <c r="AN41" i="55" s="1"/>
  <c r="I41" i="55"/>
  <c r="H41" i="55"/>
  <c r="G41" i="55"/>
  <c r="F41" i="55"/>
  <c r="E41" i="55"/>
  <c r="D41" i="55"/>
  <c r="C41" i="55"/>
  <c r="B41" i="55"/>
  <c r="AO40" i="55"/>
  <c r="AL40" i="55"/>
  <c r="AK40" i="55"/>
  <c r="AH40" i="55"/>
  <c r="AF40" i="55"/>
  <c r="X40" i="55"/>
  <c r="AM40" i="55" s="1"/>
  <c r="S40" i="55"/>
  <c r="U40" i="55" s="1"/>
  <c r="I40" i="55"/>
  <c r="H40" i="55"/>
  <c r="G40" i="55"/>
  <c r="F40" i="55"/>
  <c r="E40" i="55"/>
  <c r="D40" i="55"/>
  <c r="C40" i="55"/>
  <c r="B40" i="55"/>
  <c r="AO39" i="55"/>
  <c r="AL39" i="55"/>
  <c r="AK39" i="55"/>
  <c r="AF39" i="55"/>
  <c r="AH39" i="55" s="1"/>
  <c r="X39" i="55"/>
  <c r="AM39" i="55" s="1"/>
  <c r="U39" i="55"/>
  <c r="S39" i="55"/>
  <c r="I39" i="55"/>
  <c r="H39" i="55"/>
  <c r="G39" i="55"/>
  <c r="F39" i="55"/>
  <c r="E39" i="55"/>
  <c r="D39" i="55"/>
  <c r="C39" i="55"/>
  <c r="B39" i="55"/>
  <c r="AO38" i="55"/>
  <c r="AL38" i="55"/>
  <c r="AK38" i="55"/>
  <c r="AF38" i="55"/>
  <c r="AH38" i="55" s="1"/>
  <c r="X38" i="55"/>
  <c r="AM38" i="55" s="1"/>
  <c r="S38" i="55"/>
  <c r="U38" i="55" s="1"/>
  <c r="I38" i="55"/>
  <c r="H38" i="55"/>
  <c r="G38" i="55"/>
  <c r="F38" i="55"/>
  <c r="E38" i="55"/>
  <c r="D38" i="55"/>
  <c r="C38" i="55"/>
  <c r="B38" i="55"/>
  <c r="AO37" i="55"/>
  <c r="AL37" i="55"/>
  <c r="AK37" i="55"/>
  <c r="AM37" i="55" s="1"/>
  <c r="AF37" i="55"/>
  <c r="AH37" i="55" s="1"/>
  <c r="X37" i="55"/>
  <c r="U37" i="55"/>
  <c r="S37" i="55"/>
  <c r="AN37" i="55" s="1"/>
  <c r="I37" i="55"/>
  <c r="H37" i="55"/>
  <c r="G37" i="55"/>
  <c r="F37" i="55"/>
  <c r="E37" i="55"/>
  <c r="D37" i="55"/>
  <c r="C37" i="55"/>
  <c r="B37" i="55"/>
  <c r="AO36" i="55"/>
  <c r="AL36" i="55"/>
  <c r="AK36" i="55"/>
  <c r="AH36" i="55"/>
  <c r="AF36" i="55"/>
  <c r="X36" i="55"/>
  <c r="AM36" i="55" s="1"/>
  <c r="S36" i="55"/>
  <c r="U36" i="55" s="1"/>
  <c r="I36" i="55"/>
  <c r="H36" i="55"/>
  <c r="G36" i="55"/>
  <c r="F36" i="55"/>
  <c r="E36" i="55"/>
  <c r="D36" i="55"/>
  <c r="C36" i="55"/>
  <c r="B36" i="55"/>
  <c r="AO35" i="55"/>
  <c r="AL35" i="55"/>
  <c r="AK35" i="55"/>
  <c r="AM35" i="55" s="1"/>
  <c r="AF35" i="55"/>
  <c r="AH35" i="55" s="1"/>
  <c r="X35" i="55"/>
  <c r="S35" i="55"/>
  <c r="AN35" i="55" s="1"/>
  <c r="I35" i="55"/>
  <c r="H35" i="55"/>
  <c r="G35" i="55"/>
  <c r="F35" i="55"/>
  <c r="E35" i="55"/>
  <c r="D35" i="55"/>
  <c r="C35" i="55"/>
  <c r="B35" i="55"/>
  <c r="AO34" i="55"/>
  <c r="AL34" i="55"/>
  <c r="AK34" i="55"/>
  <c r="AH34" i="55"/>
  <c r="AF34" i="55"/>
  <c r="X34" i="55"/>
  <c r="AM34" i="55" s="1"/>
  <c r="S34" i="55"/>
  <c r="U34" i="55" s="1"/>
  <c r="I34" i="55"/>
  <c r="H34" i="55"/>
  <c r="G34" i="55"/>
  <c r="F34" i="55"/>
  <c r="E34" i="55"/>
  <c r="D34" i="55"/>
  <c r="C34" i="55"/>
  <c r="B34" i="55"/>
  <c r="AO33" i="55"/>
  <c r="AP33" i="55" s="1"/>
  <c r="AL33" i="55"/>
  <c r="AK33" i="55"/>
  <c r="AF33" i="55"/>
  <c r="AH33" i="55" s="1"/>
  <c r="X33" i="55"/>
  <c r="U33" i="55"/>
  <c r="S33" i="55"/>
  <c r="AN33" i="55" s="1"/>
  <c r="I33" i="55"/>
  <c r="H33" i="55"/>
  <c r="G33" i="55"/>
  <c r="F33" i="55"/>
  <c r="E33" i="55"/>
  <c r="D33" i="55"/>
  <c r="C33" i="55"/>
  <c r="B33" i="55"/>
  <c r="AO32" i="55"/>
  <c r="AL32" i="55"/>
  <c r="AK32" i="55"/>
  <c r="AH32" i="55"/>
  <c r="AF32" i="55"/>
  <c r="X32" i="55"/>
  <c r="AM32" i="55" s="1"/>
  <c r="S32" i="55"/>
  <c r="U32" i="55" s="1"/>
  <c r="I32" i="55"/>
  <c r="H32" i="55"/>
  <c r="G32" i="55"/>
  <c r="F32" i="55"/>
  <c r="E32" i="55"/>
  <c r="D32" i="55"/>
  <c r="C32" i="55"/>
  <c r="B32" i="55"/>
  <c r="AO31" i="55"/>
  <c r="AL31" i="55"/>
  <c r="AK31" i="55"/>
  <c r="AF31" i="55"/>
  <c r="AH31" i="55" s="1"/>
  <c r="X31" i="55"/>
  <c r="AM31" i="55" s="1"/>
  <c r="U31" i="55"/>
  <c r="S31" i="55"/>
  <c r="AN31" i="55" s="1"/>
  <c r="I31" i="55"/>
  <c r="H31" i="55"/>
  <c r="G31" i="55"/>
  <c r="F31" i="55"/>
  <c r="E31" i="55"/>
  <c r="D31" i="55"/>
  <c r="C31" i="55"/>
  <c r="B31" i="55"/>
  <c r="AO30" i="55"/>
  <c r="AL30" i="55"/>
  <c r="AK30" i="55"/>
  <c r="AH30" i="55"/>
  <c r="AF30" i="55"/>
  <c r="X30" i="55"/>
  <c r="S30" i="55"/>
  <c r="U30" i="55" s="1"/>
  <c r="I30" i="55"/>
  <c r="H30" i="55"/>
  <c r="G30" i="55"/>
  <c r="F30" i="55"/>
  <c r="E30" i="55"/>
  <c r="D30" i="55"/>
  <c r="C30" i="55"/>
  <c r="B30" i="55"/>
  <c r="AO29" i="55"/>
  <c r="AL29" i="55"/>
  <c r="AK29" i="55"/>
  <c r="AF29" i="55"/>
  <c r="AH29" i="55" s="1"/>
  <c r="X29" i="55"/>
  <c r="U29" i="55"/>
  <c r="S29" i="55"/>
  <c r="I29" i="55"/>
  <c r="H29" i="55"/>
  <c r="G29" i="55"/>
  <c r="F29" i="55"/>
  <c r="E29" i="55"/>
  <c r="D29" i="55"/>
  <c r="C29" i="55"/>
  <c r="B29" i="55"/>
  <c r="AO28" i="55"/>
  <c r="AL28" i="55"/>
  <c r="AK28" i="55"/>
  <c r="AF28" i="55"/>
  <c r="AH28" i="55" s="1"/>
  <c r="X28" i="55"/>
  <c r="AM28" i="55" s="1"/>
  <c r="S28" i="55"/>
  <c r="U28" i="55" s="1"/>
  <c r="I28" i="55"/>
  <c r="H28" i="55"/>
  <c r="G28" i="55"/>
  <c r="F28" i="55"/>
  <c r="E28" i="55"/>
  <c r="D28" i="55"/>
  <c r="C28" i="55"/>
  <c r="B28" i="55"/>
  <c r="AO27" i="55"/>
  <c r="AL27" i="55"/>
  <c r="AK27" i="55"/>
  <c r="AM27" i="55" s="1"/>
  <c r="AF27" i="55"/>
  <c r="AH27" i="55" s="1"/>
  <c r="X27" i="55"/>
  <c r="U27" i="55"/>
  <c r="S27" i="55"/>
  <c r="I27" i="55"/>
  <c r="H27" i="55"/>
  <c r="G27" i="55"/>
  <c r="F27" i="55"/>
  <c r="E27" i="55"/>
  <c r="D27" i="55"/>
  <c r="C27" i="55"/>
  <c r="B27" i="55"/>
  <c r="AO26" i="55"/>
  <c r="AL26" i="55"/>
  <c r="AK26" i="55"/>
  <c r="AH26" i="55"/>
  <c r="AF26" i="55"/>
  <c r="X26" i="55"/>
  <c r="S26" i="55"/>
  <c r="U26" i="55" s="1"/>
  <c r="I26" i="55"/>
  <c r="H26" i="55"/>
  <c r="G26" i="55"/>
  <c r="F26" i="55"/>
  <c r="E26" i="55"/>
  <c r="D26" i="55"/>
  <c r="C26" i="55"/>
  <c r="B26" i="55"/>
  <c r="AO25" i="55"/>
  <c r="AL25" i="55"/>
  <c r="AK25" i="55"/>
  <c r="AF25" i="55"/>
  <c r="AH25" i="55" s="1"/>
  <c r="X25" i="55"/>
  <c r="S25" i="55"/>
  <c r="U25" i="55" s="1"/>
  <c r="I25" i="55"/>
  <c r="H25" i="55"/>
  <c r="G25" i="55"/>
  <c r="F25" i="55"/>
  <c r="E25" i="55"/>
  <c r="D25" i="55"/>
  <c r="C25" i="55"/>
  <c r="B25" i="55"/>
  <c r="AO24" i="55"/>
  <c r="AL24" i="55"/>
  <c r="AK24" i="55"/>
  <c r="AF24" i="55"/>
  <c r="AH24" i="55" s="1"/>
  <c r="X24" i="55"/>
  <c r="AM24" i="55" s="1"/>
  <c r="S24" i="55"/>
  <c r="U24" i="55" s="1"/>
  <c r="I24" i="55"/>
  <c r="H24" i="55"/>
  <c r="G24" i="55"/>
  <c r="F24" i="55"/>
  <c r="E24" i="55"/>
  <c r="D24" i="55"/>
  <c r="C24" i="55"/>
  <c r="B24" i="55"/>
  <c r="AO23" i="55"/>
  <c r="AL23" i="55"/>
  <c r="AK23" i="55"/>
  <c r="AF23" i="55"/>
  <c r="AH23" i="55" s="1"/>
  <c r="X23" i="55"/>
  <c r="AM23" i="55" s="1"/>
  <c r="S23" i="55"/>
  <c r="AN23" i="55" s="1"/>
  <c r="I23" i="55"/>
  <c r="H23" i="55"/>
  <c r="G23" i="55"/>
  <c r="F23" i="55"/>
  <c r="E23" i="55"/>
  <c r="D23" i="55"/>
  <c r="C23" i="55"/>
  <c r="B23" i="55"/>
  <c r="AO22" i="55"/>
  <c r="AL22" i="55"/>
  <c r="AK22" i="55"/>
  <c r="AH22" i="55"/>
  <c r="AF22" i="55"/>
  <c r="X22" i="55"/>
  <c r="AM22" i="55" s="1"/>
  <c r="S22" i="55"/>
  <c r="U22" i="55" s="1"/>
  <c r="I22" i="55"/>
  <c r="H22" i="55"/>
  <c r="G22" i="55"/>
  <c r="F22" i="55"/>
  <c r="E22" i="55"/>
  <c r="D22" i="55"/>
  <c r="C22" i="55"/>
  <c r="B22" i="55"/>
  <c r="AO21" i="55"/>
  <c r="AL21" i="55"/>
  <c r="AK21" i="55"/>
  <c r="AM21" i="55" s="1"/>
  <c r="AF21" i="55"/>
  <c r="AH21" i="55" s="1"/>
  <c r="X21" i="55"/>
  <c r="S21" i="55"/>
  <c r="U21" i="55" s="1"/>
  <c r="I21" i="55"/>
  <c r="H21" i="55"/>
  <c r="G21" i="55"/>
  <c r="F21" i="55"/>
  <c r="E21" i="55"/>
  <c r="D21" i="55"/>
  <c r="C21" i="55"/>
  <c r="B21" i="55"/>
  <c r="AO20" i="55"/>
  <c r="AL20" i="55"/>
  <c r="AK20" i="55"/>
  <c r="AF20" i="55"/>
  <c r="AH20" i="55" s="1"/>
  <c r="X20" i="55"/>
  <c r="AM20" i="55" s="1"/>
  <c r="S20" i="55"/>
  <c r="U20" i="55" s="1"/>
  <c r="I20" i="55"/>
  <c r="H20" i="55"/>
  <c r="G20" i="55"/>
  <c r="F20" i="55"/>
  <c r="E20" i="55"/>
  <c r="D20" i="55"/>
  <c r="C20" i="55"/>
  <c r="B20" i="55"/>
  <c r="AO19" i="55"/>
  <c r="AL19" i="55"/>
  <c r="AK19" i="55"/>
  <c r="AM19" i="55" s="1"/>
  <c r="AF19" i="55"/>
  <c r="AH19" i="55" s="1"/>
  <c r="X19" i="55"/>
  <c r="U19" i="55"/>
  <c r="S19" i="55"/>
  <c r="I19" i="55"/>
  <c r="H19" i="55"/>
  <c r="G19" i="55"/>
  <c r="F19" i="55"/>
  <c r="E19" i="55"/>
  <c r="D19" i="55"/>
  <c r="C19" i="55"/>
  <c r="B19" i="55"/>
  <c r="AO18" i="55"/>
  <c r="AL18" i="55"/>
  <c r="AK18" i="55"/>
  <c r="AH18" i="55"/>
  <c r="AF18" i="55"/>
  <c r="X18" i="55"/>
  <c r="S18" i="55"/>
  <c r="U18" i="55" s="1"/>
  <c r="I18" i="55"/>
  <c r="H18" i="55"/>
  <c r="G18" i="55"/>
  <c r="F18" i="55"/>
  <c r="E18" i="55"/>
  <c r="D18" i="55"/>
  <c r="C18" i="55"/>
  <c r="B18" i="55"/>
  <c r="AO17" i="55"/>
  <c r="AL17" i="55"/>
  <c r="AK17" i="55"/>
  <c r="AF17" i="55"/>
  <c r="AH17" i="55" s="1"/>
  <c r="X17" i="55"/>
  <c r="S17" i="55"/>
  <c r="U17" i="55" s="1"/>
  <c r="I17" i="55"/>
  <c r="H17" i="55"/>
  <c r="G17" i="55"/>
  <c r="F17" i="55"/>
  <c r="E17" i="55"/>
  <c r="D17" i="55"/>
  <c r="C17" i="55"/>
  <c r="B17" i="55"/>
  <c r="AO16" i="55"/>
  <c r="AL16" i="55"/>
  <c r="AK16" i="55"/>
  <c r="AF16" i="55"/>
  <c r="AH16" i="55" s="1"/>
  <c r="X16" i="55"/>
  <c r="AM16" i="55" s="1"/>
  <c r="S16" i="55"/>
  <c r="U16" i="55" s="1"/>
  <c r="I16" i="55"/>
  <c r="H16" i="55"/>
  <c r="G16" i="55"/>
  <c r="F16" i="55"/>
  <c r="E16" i="55"/>
  <c r="D16" i="55"/>
  <c r="C16" i="55"/>
  <c r="B16" i="55"/>
  <c r="AO15" i="55"/>
  <c r="AL15" i="55"/>
  <c r="AK15" i="55"/>
  <c r="AF15" i="55"/>
  <c r="AH15" i="55" s="1"/>
  <c r="X15" i="55"/>
  <c r="AM15" i="55" s="1"/>
  <c r="S15" i="55"/>
  <c r="AN15" i="55" s="1"/>
  <c r="I15" i="55"/>
  <c r="H15" i="55"/>
  <c r="G15" i="55"/>
  <c r="F15" i="55"/>
  <c r="E15" i="55"/>
  <c r="D15" i="55"/>
  <c r="C15" i="55"/>
  <c r="B15" i="55"/>
  <c r="AO14" i="55"/>
  <c r="AL14" i="55"/>
  <c r="AK14" i="55"/>
  <c r="AH14" i="55"/>
  <c r="AF14" i="55"/>
  <c r="X14" i="55"/>
  <c r="S14" i="55"/>
  <c r="U14" i="55" s="1"/>
  <c r="I14" i="55"/>
  <c r="H14" i="55"/>
  <c r="G14" i="55"/>
  <c r="F14" i="55"/>
  <c r="E14" i="55"/>
  <c r="D14" i="55"/>
  <c r="C14" i="55"/>
  <c r="B14" i="55"/>
  <c r="AO13" i="55"/>
  <c r="AL13" i="55"/>
  <c r="AK13" i="55"/>
  <c r="AF13" i="55"/>
  <c r="AH13" i="55" s="1"/>
  <c r="X13" i="55"/>
  <c r="S13" i="55"/>
  <c r="I13" i="55"/>
  <c r="H13" i="55"/>
  <c r="G13" i="55"/>
  <c r="F13" i="55"/>
  <c r="E13" i="55"/>
  <c r="D13" i="55"/>
  <c r="C13" i="55"/>
  <c r="B13" i="55"/>
  <c r="AO12" i="55"/>
  <c r="AL12" i="55"/>
  <c r="AK12" i="55"/>
  <c r="AH12" i="55"/>
  <c r="AF12" i="55"/>
  <c r="X12" i="55"/>
  <c r="AM12" i="55" s="1"/>
  <c r="S12" i="55"/>
  <c r="U12" i="55" s="1"/>
  <c r="I12" i="55"/>
  <c r="H12" i="55"/>
  <c r="G12" i="55"/>
  <c r="F12" i="55"/>
  <c r="E12" i="55"/>
  <c r="D12" i="55"/>
  <c r="C12" i="55"/>
  <c r="B12" i="55"/>
  <c r="AO11" i="55"/>
  <c r="AL11" i="55"/>
  <c r="AK11" i="55"/>
  <c r="AF11" i="55"/>
  <c r="AH11" i="55" s="1"/>
  <c r="X11" i="55"/>
  <c r="AM11" i="55" s="1"/>
  <c r="S11" i="55"/>
  <c r="U11" i="55" s="1"/>
  <c r="I11" i="55"/>
  <c r="H11" i="55"/>
  <c r="G11" i="55"/>
  <c r="F11" i="55"/>
  <c r="E11" i="55"/>
  <c r="D11" i="55"/>
  <c r="C11" i="55"/>
  <c r="B11" i="55"/>
  <c r="AO10" i="55"/>
  <c r="AL10" i="55"/>
  <c r="AK10" i="55"/>
  <c r="AF10" i="55"/>
  <c r="AH10" i="55" s="1"/>
  <c r="X10" i="55"/>
  <c r="AM10" i="55" s="1"/>
  <c r="S10" i="55"/>
  <c r="U10" i="55" s="1"/>
  <c r="I10" i="55"/>
  <c r="H10" i="55"/>
  <c r="G10" i="55"/>
  <c r="F10" i="55"/>
  <c r="E10" i="55"/>
  <c r="C10" i="55"/>
  <c r="B10" i="55"/>
  <c r="AO9" i="55"/>
  <c r="AL9" i="55"/>
  <c r="AK9" i="55"/>
  <c r="AM9" i="55" s="1"/>
  <c r="AF9" i="55"/>
  <c r="AH9" i="55" s="1"/>
  <c r="X9" i="55"/>
  <c r="S9" i="55"/>
  <c r="AN9" i="55" s="1"/>
  <c r="I9" i="55"/>
  <c r="H9" i="55"/>
  <c r="G9" i="55"/>
  <c r="F9" i="55"/>
  <c r="E9" i="55"/>
  <c r="D9" i="55"/>
  <c r="C9" i="55"/>
  <c r="B9" i="55"/>
  <c r="AO8" i="55"/>
  <c r="AL8" i="55"/>
  <c r="AK8" i="55"/>
  <c r="AH8" i="55"/>
  <c r="AF8" i="55"/>
  <c r="X8" i="55"/>
  <c r="AM8" i="55" s="1"/>
  <c r="S8" i="55"/>
  <c r="U8" i="55" s="1"/>
  <c r="I8" i="55"/>
  <c r="H8" i="55"/>
  <c r="G8" i="55"/>
  <c r="F8" i="55"/>
  <c r="E8" i="55"/>
  <c r="D8" i="55"/>
  <c r="C8" i="55"/>
  <c r="B8" i="55"/>
  <c r="AO7" i="55"/>
  <c r="AL7" i="55"/>
  <c r="AK7" i="55"/>
  <c r="AF7" i="55"/>
  <c r="AH7" i="55" s="1"/>
  <c r="X7" i="55"/>
  <c r="AM7" i="55" s="1"/>
  <c r="S7" i="55"/>
  <c r="U7" i="55" s="1"/>
  <c r="I7" i="55"/>
  <c r="H7" i="55"/>
  <c r="G7" i="55"/>
  <c r="F7" i="55"/>
  <c r="E7" i="55"/>
  <c r="D7" i="55"/>
  <c r="C7" i="55"/>
  <c r="B7" i="55"/>
  <c r="AO6" i="55"/>
  <c r="AL6" i="55"/>
  <c r="AK6" i="55"/>
  <c r="AF6" i="55"/>
  <c r="AH6" i="55" s="1"/>
  <c r="X6" i="55"/>
  <c r="S6" i="55"/>
  <c r="I6" i="55"/>
  <c r="H6" i="55"/>
  <c r="G6" i="55"/>
  <c r="F6" i="55"/>
  <c r="E6" i="55"/>
  <c r="D6" i="55"/>
  <c r="C6" i="55"/>
  <c r="B6" i="55"/>
  <c r="AP69" i="55"/>
  <c r="AB69" i="55"/>
  <c r="N69" i="55"/>
  <c r="H2" i="55"/>
  <c r="E2" i="55"/>
  <c r="C2" i="55"/>
  <c r="C56" i="55" s="1"/>
  <c r="AG80" i="20"/>
  <c r="AG76" i="20"/>
  <c r="AG75" i="20"/>
  <c r="AG74" i="20"/>
  <c r="AP2" i="54"/>
  <c r="AP69" i="54" s="1"/>
  <c r="AB2" i="54"/>
  <c r="N2" i="54"/>
  <c r="J66" i="54"/>
  <c r="AG163" i="54" s="1"/>
  <c r="J65" i="54"/>
  <c r="AG162" i="54" s="1"/>
  <c r="AG79" i="20" s="1"/>
  <c r="J64" i="54"/>
  <c r="AG161" i="54" s="1"/>
  <c r="AG78" i="20" s="1"/>
  <c r="J63" i="54"/>
  <c r="AG160" i="54" s="1"/>
  <c r="AG77" i="20" s="1"/>
  <c r="AQ61" i="54"/>
  <c r="AJ61" i="54"/>
  <c r="AI61" i="54"/>
  <c r="AG61" i="54"/>
  <c r="AE61" i="54"/>
  <c r="AD61" i="54"/>
  <c r="AC61" i="54"/>
  <c r="AB61" i="54"/>
  <c r="AA61" i="54"/>
  <c r="Z61" i="54"/>
  <c r="Y61" i="54"/>
  <c r="W61" i="54"/>
  <c r="V61" i="54"/>
  <c r="T61" i="54"/>
  <c r="R61" i="54"/>
  <c r="Q61" i="54"/>
  <c r="P61" i="54"/>
  <c r="O61" i="54"/>
  <c r="N61" i="54"/>
  <c r="M61" i="54"/>
  <c r="L61" i="54"/>
  <c r="K61" i="54"/>
  <c r="AQ60" i="54"/>
  <c r="AJ60" i="54"/>
  <c r="AI60" i="54"/>
  <c r="AG60" i="54"/>
  <c r="AE60" i="54"/>
  <c r="AD60" i="54"/>
  <c r="AC60" i="54"/>
  <c r="AB60" i="54"/>
  <c r="AA60" i="54"/>
  <c r="Z60" i="54"/>
  <c r="Y60" i="54"/>
  <c r="W60" i="54"/>
  <c r="V60" i="54"/>
  <c r="T60" i="54"/>
  <c r="R60" i="54"/>
  <c r="Q60" i="54"/>
  <c r="P60" i="54"/>
  <c r="O60" i="54"/>
  <c r="N60" i="54"/>
  <c r="M60" i="54"/>
  <c r="L60" i="54"/>
  <c r="K60" i="54"/>
  <c r="AQ59" i="54"/>
  <c r="AJ59" i="54"/>
  <c r="AI59" i="54"/>
  <c r="AG59" i="54"/>
  <c r="AE59" i="54"/>
  <c r="AD59" i="54"/>
  <c r="AC59" i="54"/>
  <c r="AB59" i="54"/>
  <c r="AA59" i="54"/>
  <c r="Z59" i="54"/>
  <c r="Y59" i="54"/>
  <c r="W59" i="54"/>
  <c r="V59" i="54"/>
  <c r="T59" i="54"/>
  <c r="R59" i="54"/>
  <c r="Q59" i="54"/>
  <c r="P59" i="54"/>
  <c r="O59" i="54"/>
  <c r="N59" i="54"/>
  <c r="M59" i="54"/>
  <c r="L59" i="54"/>
  <c r="K59" i="54"/>
  <c r="AQ58" i="54"/>
  <c r="AJ58" i="54"/>
  <c r="AI58" i="54"/>
  <c r="AI62" i="54" s="1"/>
  <c r="AI66" i="54" s="1"/>
  <c r="V163" i="54" s="1"/>
  <c r="V80" i="20" s="1"/>
  <c r="AG58" i="54"/>
  <c r="AG62" i="54" s="1"/>
  <c r="AG63" i="54" s="1"/>
  <c r="Y160" i="54" s="1"/>
  <c r="Y77" i="20" s="1"/>
  <c r="AE58" i="54"/>
  <c r="AD58" i="54"/>
  <c r="AC58" i="54"/>
  <c r="AB58" i="54"/>
  <c r="AA58" i="54"/>
  <c r="Z58" i="54"/>
  <c r="Y58" i="54"/>
  <c r="Y62" i="54" s="1"/>
  <c r="Y63" i="54" s="1"/>
  <c r="U160" i="54" s="1"/>
  <c r="U77" i="20" s="1"/>
  <c r="W58" i="54"/>
  <c r="V58" i="54"/>
  <c r="T58" i="54"/>
  <c r="R58" i="54"/>
  <c r="Q58" i="54"/>
  <c r="P58" i="54"/>
  <c r="O58" i="54"/>
  <c r="N58" i="54"/>
  <c r="M58" i="54"/>
  <c r="L58" i="54"/>
  <c r="K58" i="54"/>
  <c r="AQ56" i="54"/>
  <c r="AF157" i="54" s="1"/>
  <c r="AF74" i="20" s="1"/>
  <c r="AJ56" i="54"/>
  <c r="W157" i="54" s="1"/>
  <c r="W74" i="20" s="1"/>
  <c r="AI56" i="54"/>
  <c r="V157" i="54" s="1"/>
  <c r="V74" i="20" s="1"/>
  <c r="AG56" i="54"/>
  <c r="Y157" i="54" s="1"/>
  <c r="Y74" i="20" s="1"/>
  <c r="AE56" i="54"/>
  <c r="AD56" i="54"/>
  <c r="AC56" i="54"/>
  <c r="AB56" i="54"/>
  <c r="AA56" i="54"/>
  <c r="Z56" i="54"/>
  <c r="Y56" i="54"/>
  <c r="U157" i="54" s="1"/>
  <c r="U74" i="20" s="1"/>
  <c r="W56" i="54"/>
  <c r="Q157" i="54" s="1"/>
  <c r="Q74" i="20" s="1"/>
  <c r="V56" i="54"/>
  <c r="P157" i="54" s="1"/>
  <c r="P74" i="20" s="1"/>
  <c r="T56" i="54"/>
  <c r="S157" i="54" s="1"/>
  <c r="S74" i="20" s="1"/>
  <c r="R56" i="54"/>
  <c r="Q56" i="54"/>
  <c r="P56" i="54"/>
  <c r="O56" i="54"/>
  <c r="N56" i="54"/>
  <c r="M56" i="54"/>
  <c r="L56" i="54"/>
  <c r="O157" i="54" s="1"/>
  <c r="O74" i="20" s="1"/>
  <c r="K56" i="54"/>
  <c r="N157" i="54" s="1"/>
  <c r="N74" i="20" s="1"/>
  <c r="AO55" i="54"/>
  <c r="AL55" i="54"/>
  <c r="AK55" i="54"/>
  <c r="AF55" i="54"/>
  <c r="AH55" i="54" s="1"/>
  <c r="X55" i="54"/>
  <c r="S55" i="54"/>
  <c r="U55" i="54" s="1"/>
  <c r="I55" i="54"/>
  <c r="H55" i="54"/>
  <c r="G55" i="54"/>
  <c r="F55" i="54"/>
  <c r="E55" i="54"/>
  <c r="D55" i="54"/>
  <c r="C55" i="54"/>
  <c r="B55" i="54"/>
  <c r="AO54" i="54"/>
  <c r="AL54" i="54"/>
  <c r="AK54" i="54"/>
  <c r="AF54" i="54"/>
  <c r="AH54" i="54" s="1"/>
  <c r="X54" i="54"/>
  <c r="AM54" i="54" s="1"/>
  <c r="U54" i="54"/>
  <c r="S54" i="54"/>
  <c r="I54" i="54"/>
  <c r="H54" i="54"/>
  <c r="G54" i="54"/>
  <c r="F54" i="54"/>
  <c r="E54" i="54"/>
  <c r="D54" i="54"/>
  <c r="C54" i="54"/>
  <c r="B54" i="54"/>
  <c r="AO53" i="54"/>
  <c r="AL53" i="54"/>
  <c r="AK53" i="54"/>
  <c r="AF53" i="54"/>
  <c r="AH53" i="54" s="1"/>
  <c r="X53" i="54"/>
  <c r="AM53" i="54" s="1"/>
  <c r="S53" i="54"/>
  <c r="U53" i="54" s="1"/>
  <c r="I53" i="54"/>
  <c r="H53" i="54"/>
  <c r="G53" i="54"/>
  <c r="F53" i="54"/>
  <c r="E53" i="54"/>
  <c r="D53" i="54"/>
  <c r="C53" i="54"/>
  <c r="B53" i="54"/>
  <c r="AO52" i="54"/>
  <c r="AL52" i="54"/>
  <c r="AK52" i="54"/>
  <c r="AF52" i="54"/>
  <c r="AH52" i="54" s="1"/>
  <c r="X52" i="54"/>
  <c r="AM52" i="54" s="1"/>
  <c r="U52" i="54"/>
  <c r="S52" i="54"/>
  <c r="AN52" i="54" s="1"/>
  <c r="I52" i="54"/>
  <c r="H52" i="54"/>
  <c r="G52" i="54"/>
  <c r="F52" i="54"/>
  <c r="E52" i="54"/>
  <c r="D52" i="54"/>
  <c r="C52" i="54"/>
  <c r="B52" i="54"/>
  <c r="AO51" i="54"/>
  <c r="AL51" i="54"/>
  <c r="AK51" i="54"/>
  <c r="AH51" i="54"/>
  <c r="AF51" i="54"/>
  <c r="X51" i="54"/>
  <c r="S51" i="54"/>
  <c r="U51" i="54" s="1"/>
  <c r="I51" i="54"/>
  <c r="H51" i="54"/>
  <c r="G51" i="54"/>
  <c r="F51" i="54"/>
  <c r="E51" i="54"/>
  <c r="D51" i="54"/>
  <c r="C51" i="54"/>
  <c r="B51" i="54"/>
  <c r="AO50" i="54"/>
  <c r="AL50" i="54"/>
  <c r="AK50" i="54"/>
  <c r="AF50" i="54"/>
  <c r="AH50" i="54" s="1"/>
  <c r="X50" i="54"/>
  <c r="AM50" i="54" s="1"/>
  <c r="S50" i="54"/>
  <c r="AN50" i="54" s="1"/>
  <c r="I50" i="54"/>
  <c r="H50" i="54"/>
  <c r="G50" i="54"/>
  <c r="F50" i="54"/>
  <c r="E50" i="54"/>
  <c r="D50" i="54"/>
  <c r="C50" i="54"/>
  <c r="B50" i="54"/>
  <c r="AO49" i="54"/>
  <c r="AL49" i="54"/>
  <c r="AK49" i="54"/>
  <c r="AH49" i="54"/>
  <c r="AF49" i="54"/>
  <c r="X49" i="54"/>
  <c r="S49" i="54"/>
  <c r="AN49" i="54" s="1"/>
  <c r="AP49" i="54" s="1"/>
  <c r="I49" i="54"/>
  <c r="H49" i="54"/>
  <c r="G49" i="54"/>
  <c r="F49" i="54"/>
  <c r="E49" i="54"/>
  <c r="D49" i="54"/>
  <c r="C49" i="54"/>
  <c r="B49" i="54"/>
  <c r="AO48" i="54"/>
  <c r="AL48" i="54"/>
  <c r="AK48" i="54"/>
  <c r="AF48" i="54"/>
  <c r="AH48" i="54" s="1"/>
  <c r="X48" i="54"/>
  <c r="S48" i="54"/>
  <c r="I48" i="54"/>
  <c r="H48" i="54"/>
  <c r="G48" i="54"/>
  <c r="F48" i="54"/>
  <c r="E48" i="54"/>
  <c r="D48" i="54"/>
  <c r="C48" i="54"/>
  <c r="B48" i="54"/>
  <c r="AO47" i="54"/>
  <c r="AL47" i="54"/>
  <c r="AK47" i="54"/>
  <c r="AH47" i="54"/>
  <c r="AF47" i="54"/>
  <c r="AN47" i="54" s="1"/>
  <c r="AP47" i="54" s="1"/>
  <c r="X47" i="54"/>
  <c r="S47" i="54"/>
  <c r="U47" i="54" s="1"/>
  <c r="I47" i="54"/>
  <c r="H47" i="54"/>
  <c r="G47" i="54"/>
  <c r="F47" i="54"/>
  <c r="E47" i="54"/>
  <c r="D47" i="54"/>
  <c r="C47" i="54"/>
  <c r="B47" i="54"/>
  <c r="AO46" i="54"/>
  <c r="AL46" i="54"/>
  <c r="AK46" i="54"/>
  <c r="AF46" i="54"/>
  <c r="AH46" i="54" s="1"/>
  <c r="X46" i="54"/>
  <c r="AM46" i="54" s="1"/>
  <c r="U46" i="54"/>
  <c r="S46" i="54"/>
  <c r="I46" i="54"/>
  <c r="H46" i="54"/>
  <c r="G46" i="54"/>
  <c r="F46" i="54"/>
  <c r="E46" i="54"/>
  <c r="D46" i="54"/>
  <c r="C46" i="54"/>
  <c r="B46" i="54"/>
  <c r="AO45" i="54"/>
  <c r="AL45" i="54"/>
  <c r="AK45" i="54"/>
  <c r="AF45" i="54"/>
  <c r="AH45" i="54" s="1"/>
  <c r="X45" i="54"/>
  <c r="AM45" i="54" s="1"/>
  <c r="S45" i="54"/>
  <c r="U45" i="54" s="1"/>
  <c r="I45" i="54"/>
  <c r="H45" i="54"/>
  <c r="G45" i="54"/>
  <c r="F45" i="54"/>
  <c r="E45" i="54"/>
  <c r="D45" i="54"/>
  <c r="C45" i="54"/>
  <c r="B45" i="54"/>
  <c r="AO44" i="54"/>
  <c r="AL44" i="54"/>
  <c r="AK44" i="54"/>
  <c r="AF44" i="54"/>
  <c r="AH44" i="54" s="1"/>
  <c r="X44" i="54"/>
  <c r="AM44" i="54" s="1"/>
  <c r="U44" i="54"/>
  <c r="S44" i="54"/>
  <c r="AN44" i="54" s="1"/>
  <c r="I44" i="54"/>
  <c r="H44" i="54"/>
  <c r="G44" i="54"/>
  <c r="F44" i="54"/>
  <c r="E44" i="54"/>
  <c r="D44" i="54"/>
  <c r="C44" i="54"/>
  <c r="B44" i="54"/>
  <c r="AO43" i="54"/>
  <c r="AL43" i="54"/>
  <c r="AK43" i="54"/>
  <c r="AH43" i="54"/>
  <c r="AF43" i="54"/>
  <c r="X43" i="54"/>
  <c r="U43" i="54"/>
  <c r="S43" i="54"/>
  <c r="AN43" i="54" s="1"/>
  <c r="AP43" i="54" s="1"/>
  <c r="I43" i="54"/>
  <c r="H43" i="54"/>
  <c r="G43" i="54"/>
  <c r="F43" i="54"/>
  <c r="E43" i="54"/>
  <c r="D43" i="54"/>
  <c r="C43" i="54"/>
  <c r="B43" i="54"/>
  <c r="AO42" i="54"/>
  <c r="AL42" i="54"/>
  <c r="AK42" i="54"/>
  <c r="AF42" i="54"/>
  <c r="AH42" i="54" s="1"/>
  <c r="X42" i="54"/>
  <c r="AM42" i="54" s="1"/>
  <c r="U42" i="54"/>
  <c r="S42" i="54"/>
  <c r="I42" i="54"/>
  <c r="H42" i="54"/>
  <c r="G42" i="54"/>
  <c r="F42" i="54"/>
  <c r="E42" i="54"/>
  <c r="D42" i="54"/>
  <c r="C42" i="54"/>
  <c r="B42" i="54"/>
  <c r="AO41" i="54"/>
  <c r="AL41" i="54"/>
  <c r="AK41" i="54"/>
  <c r="AF41" i="54"/>
  <c r="AH41" i="54" s="1"/>
  <c r="X41" i="54"/>
  <c r="AM41" i="54" s="1"/>
  <c r="S41" i="54"/>
  <c r="I41" i="54"/>
  <c r="H41" i="54"/>
  <c r="G41" i="54"/>
  <c r="F41" i="54"/>
  <c r="E41" i="54"/>
  <c r="D41" i="54"/>
  <c r="C41" i="54"/>
  <c r="B41" i="54"/>
  <c r="AO40" i="54"/>
  <c r="AL40" i="54"/>
  <c r="AK40" i="54"/>
  <c r="AM40" i="54" s="1"/>
  <c r="AF40" i="54"/>
  <c r="AH40" i="54" s="1"/>
  <c r="X40" i="54"/>
  <c r="S40" i="54"/>
  <c r="U40" i="54" s="1"/>
  <c r="I40" i="54"/>
  <c r="H40" i="54"/>
  <c r="G40" i="54"/>
  <c r="F40" i="54"/>
  <c r="E40" i="54"/>
  <c r="D40" i="54"/>
  <c r="C40" i="54"/>
  <c r="B40" i="54"/>
  <c r="AO39" i="54"/>
  <c r="AL39" i="54"/>
  <c r="AK39" i="54"/>
  <c r="AF39" i="54"/>
  <c r="AH39" i="54" s="1"/>
  <c r="X39" i="54"/>
  <c r="AM39" i="54" s="1"/>
  <c r="S39" i="54"/>
  <c r="U39" i="54" s="1"/>
  <c r="I39" i="54"/>
  <c r="H39" i="54"/>
  <c r="G39" i="54"/>
  <c r="F39" i="54"/>
  <c r="E39" i="54"/>
  <c r="D39" i="54"/>
  <c r="C39" i="54"/>
  <c r="B39" i="54"/>
  <c r="AO38" i="54"/>
  <c r="AL38" i="54"/>
  <c r="AK38" i="54"/>
  <c r="AF38" i="54"/>
  <c r="AH38" i="54" s="1"/>
  <c r="X38" i="54"/>
  <c r="U38" i="54"/>
  <c r="S38" i="54"/>
  <c r="I38" i="54"/>
  <c r="H38" i="54"/>
  <c r="G38" i="54"/>
  <c r="F38" i="54"/>
  <c r="E38" i="54"/>
  <c r="D38" i="54"/>
  <c r="C38" i="54"/>
  <c r="B38" i="54"/>
  <c r="AO37" i="54"/>
  <c r="AL37" i="54"/>
  <c r="AK37" i="54"/>
  <c r="AH37" i="54"/>
  <c r="AF37" i="54"/>
  <c r="X37" i="54"/>
  <c r="AM37" i="54" s="1"/>
  <c r="S37" i="54"/>
  <c r="U37" i="54" s="1"/>
  <c r="I37" i="54"/>
  <c r="H37" i="54"/>
  <c r="G37" i="54"/>
  <c r="F37" i="54"/>
  <c r="E37" i="54"/>
  <c r="D37" i="54"/>
  <c r="C37" i="54"/>
  <c r="B37" i="54"/>
  <c r="AO36" i="54"/>
  <c r="AL36" i="54"/>
  <c r="AK36" i="54"/>
  <c r="AF36" i="54"/>
  <c r="AH36" i="54" s="1"/>
  <c r="X36" i="54"/>
  <c r="AM36" i="54" s="1"/>
  <c r="U36" i="54"/>
  <c r="S36" i="54"/>
  <c r="AN36" i="54" s="1"/>
  <c r="I36" i="54"/>
  <c r="H36" i="54"/>
  <c r="G36" i="54"/>
  <c r="F36" i="54"/>
  <c r="E36" i="54"/>
  <c r="D36" i="54"/>
  <c r="C36" i="54"/>
  <c r="B36" i="54"/>
  <c r="AO35" i="54"/>
  <c r="AL35" i="54"/>
  <c r="AK35" i="54"/>
  <c r="AH35" i="54"/>
  <c r="AF35" i="54"/>
  <c r="X35" i="54"/>
  <c r="U35" i="54"/>
  <c r="S35" i="54"/>
  <c r="AN35" i="54" s="1"/>
  <c r="AP35" i="54" s="1"/>
  <c r="I35" i="54"/>
  <c r="H35" i="54"/>
  <c r="G35" i="54"/>
  <c r="F35" i="54"/>
  <c r="E35" i="54"/>
  <c r="D35" i="54"/>
  <c r="C35" i="54"/>
  <c r="B35" i="54"/>
  <c r="AO34" i="54"/>
  <c r="AL34" i="54"/>
  <c r="AK34" i="54"/>
  <c r="AH34" i="54"/>
  <c r="AF34" i="54"/>
  <c r="X34" i="54"/>
  <c r="AM34" i="54" s="1"/>
  <c r="U34" i="54"/>
  <c r="S34" i="54"/>
  <c r="AN34" i="54" s="1"/>
  <c r="I34" i="54"/>
  <c r="H34" i="54"/>
  <c r="G34" i="54"/>
  <c r="F34" i="54"/>
  <c r="E34" i="54"/>
  <c r="D34" i="54"/>
  <c r="C34" i="54"/>
  <c r="B34" i="54"/>
  <c r="AO33" i="54"/>
  <c r="AL33" i="54"/>
  <c r="AK33" i="54"/>
  <c r="AF33" i="54"/>
  <c r="AH33" i="54" s="1"/>
  <c r="X33" i="54"/>
  <c r="AM33" i="54" s="1"/>
  <c r="S33" i="54"/>
  <c r="I33" i="54"/>
  <c r="H33" i="54"/>
  <c r="G33" i="54"/>
  <c r="F33" i="54"/>
  <c r="E33" i="54"/>
  <c r="D33" i="54"/>
  <c r="C33" i="54"/>
  <c r="B33" i="54"/>
  <c r="AO32" i="54"/>
  <c r="AL32" i="54"/>
  <c r="AK32" i="54"/>
  <c r="AF32" i="54"/>
  <c r="AH32" i="54" s="1"/>
  <c r="X32" i="54"/>
  <c r="S32" i="54"/>
  <c r="U32" i="54" s="1"/>
  <c r="I32" i="54"/>
  <c r="H32" i="54"/>
  <c r="G32" i="54"/>
  <c r="F32" i="54"/>
  <c r="E32" i="54"/>
  <c r="D32" i="54"/>
  <c r="C32" i="54"/>
  <c r="B32" i="54"/>
  <c r="AO31" i="54"/>
  <c r="AL31" i="54"/>
  <c r="AK31" i="54"/>
  <c r="AF31" i="54"/>
  <c r="AH31" i="54" s="1"/>
  <c r="X31" i="54"/>
  <c r="AM31" i="54" s="1"/>
  <c r="S31" i="54"/>
  <c r="U31" i="54" s="1"/>
  <c r="I31" i="54"/>
  <c r="H31" i="54"/>
  <c r="G31" i="54"/>
  <c r="F31" i="54"/>
  <c r="E31" i="54"/>
  <c r="D31" i="54"/>
  <c r="C31" i="54"/>
  <c r="B31" i="54"/>
  <c r="AO30" i="54"/>
  <c r="AL30" i="54"/>
  <c r="AK30" i="54"/>
  <c r="AF30" i="54"/>
  <c r="AH30" i="54" s="1"/>
  <c r="X30" i="54"/>
  <c r="U30" i="54"/>
  <c r="S30" i="54"/>
  <c r="I30" i="54"/>
  <c r="H30" i="54"/>
  <c r="G30" i="54"/>
  <c r="F30" i="54"/>
  <c r="E30" i="54"/>
  <c r="D30" i="54"/>
  <c r="C30" i="54"/>
  <c r="B30" i="54"/>
  <c r="AO29" i="54"/>
  <c r="AL29" i="54"/>
  <c r="AK29" i="54"/>
  <c r="AH29" i="54"/>
  <c r="AF29" i="54"/>
  <c r="X29" i="54"/>
  <c r="AM29" i="54" s="1"/>
  <c r="S29" i="54"/>
  <c r="U29" i="54" s="1"/>
  <c r="I29" i="54"/>
  <c r="H29" i="54"/>
  <c r="G29" i="54"/>
  <c r="F29" i="54"/>
  <c r="E29" i="54"/>
  <c r="D29" i="54"/>
  <c r="C29" i="54"/>
  <c r="B29" i="54"/>
  <c r="AO28" i="54"/>
  <c r="AL28" i="54"/>
  <c r="AK28" i="54"/>
  <c r="AF28" i="54"/>
  <c r="AH28" i="54" s="1"/>
  <c r="X28" i="54"/>
  <c r="AM28" i="54" s="1"/>
  <c r="U28" i="54"/>
  <c r="S28" i="54"/>
  <c r="AN28" i="54" s="1"/>
  <c r="I28" i="54"/>
  <c r="H28" i="54"/>
  <c r="G28" i="54"/>
  <c r="F28" i="54"/>
  <c r="E28" i="54"/>
  <c r="D28" i="54"/>
  <c r="C28" i="54"/>
  <c r="B28" i="54"/>
  <c r="AO27" i="54"/>
  <c r="AL27" i="54"/>
  <c r="AK27" i="54"/>
  <c r="AH27" i="54"/>
  <c r="AF27" i="54"/>
  <c r="X27" i="54"/>
  <c r="U27" i="54"/>
  <c r="S27" i="54"/>
  <c r="AN27" i="54" s="1"/>
  <c r="AP27" i="54" s="1"/>
  <c r="I27" i="54"/>
  <c r="H27" i="54"/>
  <c r="G27" i="54"/>
  <c r="F27" i="54"/>
  <c r="E27" i="54"/>
  <c r="D27" i="54"/>
  <c r="C27" i="54"/>
  <c r="B27" i="54"/>
  <c r="AO26" i="54"/>
  <c r="AL26" i="54"/>
  <c r="AK26" i="54"/>
  <c r="AH26" i="54"/>
  <c r="AF26" i="54"/>
  <c r="X26" i="54"/>
  <c r="AM26" i="54" s="1"/>
  <c r="U26" i="54"/>
  <c r="S26" i="54"/>
  <c r="AN26" i="54" s="1"/>
  <c r="I26" i="54"/>
  <c r="H26" i="54"/>
  <c r="G26" i="54"/>
  <c r="F26" i="54"/>
  <c r="E26" i="54"/>
  <c r="D26" i="54"/>
  <c r="C26" i="54"/>
  <c r="B26" i="54"/>
  <c r="AO25" i="54"/>
  <c r="AL25" i="54"/>
  <c r="AK25" i="54"/>
  <c r="AF25" i="54"/>
  <c r="AH25" i="54" s="1"/>
  <c r="X25" i="54"/>
  <c r="AM25" i="54" s="1"/>
  <c r="S25" i="54"/>
  <c r="I25" i="54"/>
  <c r="H25" i="54"/>
  <c r="G25" i="54"/>
  <c r="F25" i="54"/>
  <c r="E25" i="54"/>
  <c r="D25" i="54"/>
  <c r="C25" i="54"/>
  <c r="B25" i="54"/>
  <c r="AO24" i="54"/>
  <c r="AL24" i="54"/>
  <c r="AK24" i="54"/>
  <c r="AM24" i="54" s="1"/>
  <c r="AF24" i="54"/>
  <c r="AH24" i="54" s="1"/>
  <c r="X24" i="54"/>
  <c r="S24" i="54"/>
  <c r="U24" i="54" s="1"/>
  <c r="I24" i="54"/>
  <c r="H24" i="54"/>
  <c r="G24" i="54"/>
  <c r="F24" i="54"/>
  <c r="E24" i="54"/>
  <c r="D24" i="54"/>
  <c r="C24" i="54"/>
  <c r="B24" i="54"/>
  <c r="AO23" i="54"/>
  <c r="AL23" i="54"/>
  <c r="AK23" i="54"/>
  <c r="AF23" i="54"/>
  <c r="AH23" i="54" s="1"/>
  <c r="X23" i="54"/>
  <c r="AM23" i="54" s="1"/>
  <c r="S23" i="54"/>
  <c r="U23" i="54" s="1"/>
  <c r="I23" i="54"/>
  <c r="H23" i="54"/>
  <c r="G23" i="54"/>
  <c r="F23" i="54"/>
  <c r="E23" i="54"/>
  <c r="D23" i="54"/>
  <c r="C23" i="54"/>
  <c r="B23" i="54"/>
  <c r="AO22" i="54"/>
  <c r="AL22" i="54"/>
  <c r="AK22" i="54"/>
  <c r="AF22" i="54"/>
  <c r="AH22" i="54" s="1"/>
  <c r="X22" i="54"/>
  <c r="S22" i="54"/>
  <c r="U22" i="54" s="1"/>
  <c r="I22" i="54"/>
  <c r="H22" i="54"/>
  <c r="G22" i="54"/>
  <c r="F22" i="54"/>
  <c r="E22" i="54"/>
  <c r="D22" i="54"/>
  <c r="C22" i="54"/>
  <c r="B22" i="54"/>
  <c r="AO21" i="54"/>
  <c r="AL21" i="54"/>
  <c r="AK21" i="54"/>
  <c r="AH21" i="54"/>
  <c r="AF21" i="54"/>
  <c r="X21" i="54"/>
  <c r="AM21" i="54" s="1"/>
  <c r="S21" i="54"/>
  <c r="U21" i="54" s="1"/>
  <c r="I21" i="54"/>
  <c r="H21" i="54"/>
  <c r="G21" i="54"/>
  <c r="F21" i="54"/>
  <c r="E21" i="54"/>
  <c r="D21" i="54"/>
  <c r="C21" i="54"/>
  <c r="B21" i="54"/>
  <c r="AO20" i="54"/>
  <c r="AL20" i="54"/>
  <c r="AK20" i="54"/>
  <c r="AM20" i="54" s="1"/>
  <c r="AF20" i="54"/>
  <c r="AH20" i="54" s="1"/>
  <c r="X20" i="54"/>
  <c r="S20" i="54"/>
  <c r="I20" i="54"/>
  <c r="H20" i="54"/>
  <c r="G20" i="54"/>
  <c r="F20" i="54"/>
  <c r="E20" i="54"/>
  <c r="D20" i="54"/>
  <c r="C20" i="54"/>
  <c r="B20" i="54"/>
  <c r="AO19" i="54"/>
  <c r="AL19" i="54"/>
  <c r="AK19" i="54"/>
  <c r="AF19" i="54"/>
  <c r="AH19" i="54" s="1"/>
  <c r="X19" i="54"/>
  <c r="S19" i="54"/>
  <c r="I19" i="54"/>
  <c r="H19" i="54"/>
  <c r="G19" i="54"/>
  <c r="F19" i="54"/>
  <c r="E19" i="54"/>
  <c r="D19" i="54"/>
  <c r="C19" i="54"/>
  <c r="B19" i="54"/>
  <c r="AO18" i="54"/>
  <c r="AL18" i="54"/>
  <c r="AK18" i="54"/>
  <c r="AF18" i="54"/>
  <c r="AH18" i="54" s="1"/>
  <c r="X18" i="54"/>
  <c r="S18" i="54"/>
  <c r="U18" i="54" s="1"/>
  <c r="I18" i="54"/>
  <c r="H18" i="54"/>
  <c r="G18" i="54"/>
  <c r="F18" i="54"/>
  <c r="E18" i="54"/>
  <c r="D18" i="54"/>
  <c r="C18" i="54"/>
  <c r="B18" i="54"/>
  <c r="AO17" i="54"/>
  <c r="AL17" i="54"/>
  <c r="AK17" i="54"/>
  <c r="AF17" i="54"/>
  <c r="AH17" i="54" s="1"/>
  <c r="X17" i="54"/>
  <c r="S17" i="54"/>
  <c r="I17" i="54"/>
  <c r="H17" i="54"/>
  <c r="G17" i="54"/>
  <c r="F17" i="54"/>
  <c r="E17" i="54"/>
  <c r="D17" i="54"/>
  <c r="C17" i="54"/>
  <c r="B17" i="54"/>
  <c r="AO16" i="54"/>
  <c r="AL16" i="54"/>
  <c r="AK16" i="54"/>
  <c r="AF16" i="54"/>
  <c r="AH16" i="54" s="1"/>
  <c r="X16" i="54"/>
  <c r="S16" i="54"/>
  <c r="U16" i="54" s="1"/>
  <c r="I16" i="54"/>
  <c r="H16" i="54"/>
  <c r="G16" i="54"/>
  <c r="F16" i="54"/>
  <c r="E16" i="54"/>
  <c r="D16" i="54"/>
  <c r="C16" i="54"/>
  <c r="B16" i="54"/>
  <c r="AO15" i="54"/>
  <c r="AL15" i="54"/>
  <c r="AK15" i="54"/>
  <c r="AF15" i="54"/>
  <c r="AH15" i="54" s="1"/>
  <c r="X15" i="54"/>
  <c r="S15" i="54"/>
  <c r="U15" i="54" s="1"/>
  <c r="I15" i="54"/>
  <c r="H15" i="54"/>
  <c r="G15" i="54"/>
  <c r="F15" i="54"/>
  <c r="E15" i="54"/>
  <c r="D15" i="54"/>
  <c r="C15" i="54"/>
  <c r="B15" i="54"/>
  <c r="AO14" i="54"/>
  <c r="AL14" i="54"/>
  <c r="AK14" i="54"/>
  <c r="AF14" i="54"/>
  <c r="AH14" i="54" s="1"/>
  <c r="X14" i="54"/>
  <c r="S14" i="54"/>
  <c r="AN14" i="54" s="1"/>
  <c r="I14" i="54"/>
  <c r="H14" i="54"/>
  <c r="G14" i="54"/>
  <c r="F14" i="54"/>
  <c r="E14" i="54"/>
  <c r="D14" i="54"/>
  <c r="C14" i="54"/>
  <c r="B14" i="54"/>
  <c r="AO13" i="54"/>
  <c r="AM13" i="54"/>
  <c r="AL13" i="54"/>
  <c r="AK13" i="54"/>
  <c r="AF13" i="54"/>
  <c r="AH13" i="54" s="1"/>
  <c r="X13" i="54"/>
  <c r="S13" i="54"/>
  <c r="U13" i="54" s="1"/>
  <c r="I13" i="54"/>
  <c r="H13" i="54"/>
  <c r="G13" i="54"/>
  <c r="F13" i="54"/>
  <c r="E13" i="54"/>
  <c r="D13" i="54"/>
  <c r="C13" i="54"/>
  <c r="B13" i="54"/>
  <c r="AO12" i="54"/>
  <c r="AL12" i="54"/>
  <c r="AK12" i="54"/>
  <c r="AF12" i="54"/>
  <c r="AH12" i="54" s="1"/>
  <c r="X12" i="54"/>
  <c r="AM12" i="54" s="1"/>
  <c r="U12" i="54"/>
  <c r="S12" i="54"/>
  <c r="I12" i="54"/>
  <c r="H12" i="54"/>
  <c r="G12" i="54"/>
  <c r="F12" i="54"/>
  <c r="E12" i="54"/>
  <c r="D12" i="54"/>
  <c r="C12" i="54"/>
  <c r="B12" i="54"/>
  <c r="AO11" i="54"/>
  <c r="AL11" i="54"/>
  <c r="AK11" i="54"/>
  <c r="AH11" i="54"/>
  <c r="AF11" i="54"/>
  <c r="X11" i="54"/>
  <c r="AM11" i="54" s="1"/>
  <c r="U11" i="54"/>
  <c r="S11" i="54"/>
  <c r="I11" i="54"/>
  <c r="H11" i="54"/>
  <c r="G11" i="54"/>
  <c r="F11" i="54"/>
  <c r="E11" i="54"/>
  <c r="D11" i="54"/>
  <c r="C11" i="54"/>
  <c r="B11" i="54"/>
  <c r="AO10" i="54"/>
  <c r="AM10" i="54"/>
  <c r="AL10" i="54"/>
  <c r="AK10" i="54"/>
  <c r="AF10" i="54"/>
  <c r="AH10" i="54" s="1"/>
  <c r="X10" i="54"/>
  <c r="U10" i="54"/>
  <c r="S10" i="54"/>
  <c r="I10" i="54"/>
  <c r="H10" i="54"/>
  <c r="G10" i="54"/>
  <c r="F10" i="54"/>
  <c r="E10" i="54"/>
  <c r="C10" i="54"/>
  <c r="B10" i="54"/>
  <c r="AO9" i="54"/>
  <c r="AL9" i="54"/>
  <c r="AK9" i="54"/>
  <c r="AF9" i="54"/>
  <c r="AH9" i="54" s="1"/>
  <c r="X9" i="54"/>
  <c r="S9" i="54"/>
  <c r="I9" i="54"/>
  <c r="H9" i="54"/>
  <c r="G9" i="54"/>
  <c r="F9" i="54"/>
  <c r="E9" i="54"/>
  <c r="D9" i="54"/>
  <c r="C9" i="54"/>
  <c r="B9" i="54"/>
  <c r="AO8" i="54"/>
  <c r="AL8" i="54"/>
  <c r="AK8" i="54"/>
  <c r="AM8" i="54" s="1"/>
  <c r="AF8" i="54"/>
  <c r="AH8" i="54" s="1"/>
  <c r="X8" i="54"/>
  <c r="S8" i="54"/>
  <c r="U8" i="54" s="1"/>
  <c r="I8" i="54"/>
  <c r="H8" i="54"/>
  <c r="G8" i="54"/>
  <c r="F8" i="54"/>
  <c r="E8" i="54"/>
  <c r="D8" i="54"/>
  <c r="C8" i="54"/>
  <c r="B8" i="54"/>
  <c r="AO7" i="54"/>
  <c r="AL7" i="54"/>
  <c r="AK7" i="54"/>
  <c r="AF7" i="54"/>
  <c r="AH7" i="54" s="1"/>
  <c r="X7" i="54"/>
  <c r="S7" i="54"/>
  <c r="U7" i="54" s="1"/>
  <c r="I7" i="54"/>
  <c r="H7" i="54"/>
  <c r="G7" i="54"/>
  <c r="F7" i="54"/>
  <c r="E7" i="54"/>
  <c r="D7" i="54"/>
  <c r="C7" i="54"/>
  <c r="B7" i="54"/>
  <c r="AO6" i="54"/>
  <c r="AL6" i="54"/>
  <c r="AK6" i="54"/>
  <c r="AF6" i="54"/>
  <c r="X6" i="54"/>
  <c r="S6" i="54"/>
  <c r="U6" i="54" s="1"/>
  <c r="I6" i="54"/>
  <c r="H6" i="54"/>
  <c r="G6" i="54"/>
  <c r="F6" i="54"/>
  <c r="E6" i="54"/>
  <c r="D6" i="54"/>
  <c r="C6" i="54"/>
  <c r="B6" i="54"/>
  <c r="AB69" i="54"/>
  <c r="N69" i="54"/>
  <c r="H2" i="54"/>
  <c r="E2" i="54"/>
  <c r="D56" i="54" s="1"/>
  <c r="C2" i="54"/>
  <c r="AG68" i="20"/>
  <c r="AG69" i="20"/>
  <c r="AG73" i="20"/>
  <c r="AG67" i="20"/>
  <c r="AP2" i="53"/>
  <c r="AP69" i="53" s="1"/>
  <c r="AB2" i="53"/>
  <c r="E157" i="53" s="1"/>
  <c r="E67" i="20" s="1"/>
  <c r="N2" i="53"/>
  <c r="J66" i="53"/>
  <c r="AG163" i="53" s="1"/>
  <c r="J65" i="53"/>
  <c r="AG162" i="53" s="1"/>
  <c r="AG72" i="20" s="1"/>
  <c r="J64" i="53"/>
  <c r="AG161" i="53" s="1"/>
  <c r="AG71" i="20" s="1"/>
  <c r="J63" i="53"/>
  <c r="AG160" i="53" s="1"/>
  <c r="AG70" i="20" s="1"/>
  <c r="AQ61" i="53"/>
  <c r="AJ61" i="53"/>
  <c r="AI61" i="53"/>
  <c r="AG61" i="53"/>
  <c r="AE61" i="53"/>
  <c r="AD61" i="53"/>
  <c r="AC61" i="53"/>
  <c r="AB61" i="53"/>
  <c r="AA61" i="53"/>
  <c r="Z61" i="53"/>
  <c r="Y61" i="53"/>
  <c r="W61" i="53"/>
  <c r="V61" i="53"/>
  <c r="T61" i="53"/>
  <c r="R61" i="53"/>
  <c r="Q61" i="53"/>
  <c r="P61" i="53"/>
  <c r="O61" i="53"/>
  <c r="N61" i="53"/>
  <c r="M61" i="53"/>
  <c r="L61" i="53"/>
  <c r="K61" i="53"/>
  <c r="AQ60" i="53"/>
  <c r="AJ60" i="53"/>
  <c r="AI60" i="53"/>
  <c r="AG60" i="53"/>
  <c r="AE60" i="53"/>
  <c r="AD60" i="53"/>
  <c r="AC60" i="53"/>
  <c r="AB60" i="53"/>
  <c r="AA60" i="53"/>
  <c r="Z60" i="53"/>
  <c r="Y60" i="53"/>
  <c r="W60" i="53"/>
  <c r="V60" i="53"/>
  <c r="T60" i="53"/>
  <c r="R60" i="53"/>
  <c r="Q60" i="53"/>
  <c r="P60" i="53"/>
  <c r="O60" i="53"/>
  <c r="N60" i="53"/>
  <c r="M60" i="53"/>
  <c r="L60" i="53"/>
  <c r="K60" i="53"/>
  <c r="AQ59" i="53"/>
  <c r="AJ59" i="53"/>
  <c r="AI59" i="53"/>
  <c r="AG59" i="53"/>
  <c r="AE59" i="53"/>
  <c r="AD59" i="53"/>
  <c r="AC59" i="53"/>
  <c r="AB59" i="53"/>
  <c r="AA59" i="53"/>
  <c r="Z59" i="53"/>
  <c r="Y59" i="53"/>
  <c r="W59" i="53"/>
  <c r="V59" i="53"/>
  <c r="T59" i="53"/>
  <c r="R59" i="53"/>
  <c r="Q59" i="53"/>
  <c r="P59" i="53"/>
  <c r="O59" i="53"/>
  <c r="N59" i="53"/>
  <c r="M59" i="53"/>
  <c r="L59" i="53"/>
  <c r="K59" i="53"/>
  <c r="AQ58" i="53"/>
  <c r="AJ58" i="53"/>
  <c r="AI58" i="53"/>
  <c r="AG58" i="53"/>
  <c r="AE58" i="53"/>
  <c r="AD58" i="53"/>
  <c r="AC58" i="53"/>
  <c r="AB58" i="53"/>
  <c r="AA58" i="53"/>
  <c r="AA62" i="53" s="1"/>
  <c r="AA63" i="53" s="1"/>
  <c r="Z58" i="53"/>
  <c r="Y58" i="53"/>
  <c r="W58" i="53"/>
  <c r="V58" i="53"/>
  <c r="T58" i="53"/>
  <c r="R58" i="53"/>
  <c r="Q58" i="53"/>
  <c r="P58" i="53"/>
  <c r="O58" i="53"/>
  <c r="N58" i="53"/>
  <c r="M58" i="53"/>
  <c r="L58" i="53"/>
  <c r="K58" i="53"/>
  <c r="AQ56" i="53"/>
  <c r="AF157" i="53" s="1"/>
  <c r="AF67" i="20" s="1"/>
  <c r="AJ56" i="53"/>
  <c r="W157" i="53" s="1"/>
  <c r="W67" i="20" s="1"/>
  <c r="AI56" i="53"/>
  <c r="V157" i="53" s="1"/>
  <c r="V67" i="20" s="1"/>
  <c r="AG56" i="53"/>
  <c r="Y157" i="53" s="1"/>
  <c r="Y67" i="20" s="1"/>
  <c r="AE56" i="53"/>
  <c r="AD56" i="53"/>
  <c r="AC56" i="53"/>
  <c r="AB56" i="53"/>
  <c r="AA56" i="53"/>
  <c r="Z56" i="53"/>
  <c r="Y56" i="53"/>
  <c r="U157" i="53" s="1"/>
  <c r="U67" i="20" s="1"/>
  <c r="W56" i="53"/>
  <c r="Q157" i="53" s="1"/>
  <c r="Q67" i="20" s="1"/>
  <c r="V56" i="53"/>
  <c r="P157" i="53" s="1"/>
  <c r="P67" i="20" s="1"/>
  <c r="T56" i="53"/>
  <c r="S157" i="53" s="1"/>
  <c r="S67" i="20" s="1"/>
  <c r="R56" i="53"/>
  <c r="Q56" i="53"/>
  <c r="P56" i="53"/>
  <c r="O56" i="53"/>
  <c r="N56" i="53"/>
  <c r="M56" i="53"/>
  <c r="L56" i="53"/>
  <c r="O157" i="53" s="1"/>
  <c r="O67" i="20" s="1"/>
  <c r="K56" i="53"/>
  <c r="N157" i="53" s="1"/>
  <c r="N67" i="20" s="1"/>
  <c r="AO55" i="53"/>
  <c r="AL55" i="53"/>
  <c r="AK55" i="53"/>
  <c r="AF55" i="53"/>
  <c r="AH55" i="53" s="1"/>
  <c r="X55" i="53"/>
  <c r="AM55" i="53" s="1"/>
  <c r="S55" i="53"/>
  <c r="I55" i="53"/>
  <c r="H55" i="53"/>
  <c r="G55" i="53"/>
  <c r="F55" i="53"/>
  <c r="E55" i="53"/>
  <c r="D55" i="53"/>
  <c r="C55" i="53"/>
  <c r="B55" i="53"/>
  <c r="AO54" i="53"/>
  <c r="AL54" i="53"/>
  <c r="AK54" i="53"/>
  <c r="AM54" i="53" s="1"/>
  <c r="AH54" i="53"/>
  <c r="AF54" i="53"/>
  <c r="X54" i="53"/>
  <c r="U54" i="53"/>
  <c r="S54" i="53"/>
  <c r="AN54" i="53" s="1"/>
  <c r="I54" i="53"/>
  <c r="H54" i="53"/>
  <c r="G54" i="53"/>
  <c r="F54" i="53"/>
  <c r="E54" i="53"/>
  <c r="D54" i="53"/>
  <c r="C54" i="53"/>
  <c r="B54" i="53"/>
  <c r="AO53" i="53"/>
  <c r="AL53" i="53"/>
  <c r="AK53" i="53"/>
  <c r="AF53" i="53"/>
  <c r="AH53" i="53" s="1"/>
  <c r="X53" i="53"/>
  <c r="S53" i="53"/>
  <c r="U53" i="53" s="1"/>
  <c r="I53" i="53"/>
  <c r="H53" i="53"/>
  <c r="G53" i="53"/>
  <c r="F53" i="53"/>
  <c r="E53" i="53"/>
  <c r="D53" i="53"/>
  <c r="C53" i="53"/>
  <c r="B53" i="53"/>
  <c r="AO52" i="53"/>
  <c r="AL52" i="53"/>
  <c r="AK52" i="53"/>
  <c r="AF52" i="53"/>
  <c r="AH52" i="53" s="1"/>
  <c r="X52" i="53"/>
  <c r="S52" i="53"/>
  <c r="U52" i="53" s="1"/>
  <c r="I52" i="53"/>
  <c r="H52" i="53"/>
  <c r="G52" i="53"/>
  <c r="F52" i="53"/>
  <c r="E52" i="53"/>
  <c r="D52" i="53"/>
  <c r="C52" i="53"/>
  <c r="B52" i="53"/>
  <c r="AO51" i="53"/>
  <c r="AL51" i="53"/>
  <c r="AK51" i="53"/>
  <c r="AF51" i="53"/>
  <c r="AH51" i="53" s="1"/>
  <c r="X51" i="53"/>
  <c r="S51" i="53"/>
  <c r="U51" i="53" s="1"/>
  <c r="I51" i="53"/>
  <c r="H51" i="53"/>
  <c r="G51" i="53"/>
  <c r="F51" i="53"/>
  <c r="E51" i="53"/>
  <c r="D51" i="53"/>
  <c r="C51" i="53"/>
  <c r="B51" i="53"/>
  <c r="AO50" i="53"/>
  <c r="AP50" i="53" s="1"/>
  <c r="AL50" i="53"/>
  <c r="AK50" i="53"/>
  <c r="AF50" i="53"/>
  <c r="AH50" i="53" s="1"/>
  <c r="X50" i="53"/>
  <c r="AM50" i="53" s="1"/>
  <c r="U50" i="53"/>
  <c r="S50" i="53"/>
  <c r="AN50" i="53" s="1"/>
  <c r="I50" i="53"/>
  <c r="H50" i="53"/>
  <c r="G50" i="53"/>
  <c r="F50" i="53"/>
  <c r="E50" i="53"/>
  <c r="D50" i="53"/>
  <c r="C50" i="53"/>
  <c r="B50" i="53"/>
  <c r="AO49" i="53"/>
  <c r="AL49" i="53"/>
  <c r="AK49" i="53"/>
  <c r="AF49" i="53"/>
  <c r="AH49" i="53" s="1"/>
  <c r="X49" i="53"/>
  <c r="AM49" i="53" s="1"/>
  <c r="S49" i="53"/>
  <c r="AN49" i="53" s="1"/>
  <c r="I49" i="53"/>
  <c r="H49" i="53"/>
  <c r="G49" i="53"/>
  <c r="F49" i="53"/>
  <c r="E49" i="53"/>
  <c r="D49" i="53"/>
  <c r="C49" i="53"/>
  <c r="B49" i="53"/>
  <c r="AO48" i="53"/>
  <c r="AL48" i="53"/>
  <c r="AK48" i="53"/>
  <c r="AF48" i="53"/>
  <c r="AH48" i="53" s="1"/>
  <c r="X48" i="53"/>
  <c r="AM48" i="53" s="1"/>
  <c r="U48" i="53"/>
  <c r="S48" i="53"/>
  <c r="AN48" i="53" s="1"/>
  <c r="I48" i="53"/>
  <c r="H48" i="53"/>
  <c r="G48" i="53"/>
  <c r="F48" i="53"/>
  <c r="E48" i="53"/>
  <c r="D48" i="53"/>
  <c r="C48" i="53"/>
  <c r="B48" i="53"/>
  <c r="AO47" i="53"/>
  <c r="AL47" i="53"/>
  <c r="AK47" i="53"/>
  <c r="AH47" i="53"/>
  <c r="AF47" i="53"/>
  <c r="X47" i="53"/>
  <c r="S47" i="53"/>
  <c r="U47" i="53" s="1"/>
  <c r="I47" i="53"/>
  <c r="H47" i="53"/>
  <c r="G47" i="53"/>
  <c r="F47" i="53"/>
  <c r="E47" i="53"/>
  <c r="D47" i="53"/>
  <c r="C47" i="53"/>
  <c r="B47" i="53"/>
  <c r="AO46" i="53"/>
  <c r="AL46" i="53"/>
  <c r="AK46" i="53"/>
  <c r="AF46" i="53"/>
  <c r="AH46" i="53" s="1"/>
  <c r="X46" i="53"/>
  <c r="S46" i="53"/>
  <c r="I46" i="53"/>
  <c r="H46" i="53"/>
  <c r="G46" i="53"/>
  <c r="F46" i="53"/>
  <c r="E46" i="53"/>
  <c r="D46" i="53"/>
  <c r="C46" i="53"/>
  <c r="B46" i="53"/>
  <c r="AO45" i="53"/>
  <c r="AL45" i="53"/>
  <c r="AK45" i="53"/>
  <c r="AF45" i="53"/>
  <c r="AH45" i="53" s="1"/>
  <c r="X45" i="53"/>
  <c r="AM45" i="53" s="1"/>
  <c r="S45" i="53"/>
  <c r="U45" i="53" s="1"/>
  <c r="I45" i="53"/>
  <c r="H45" i="53"/>
  <c r="G45" i="53"/>
  <c r="F45" i="53"/>
  <c r="E45" i="53"/>
  <c r="D45" i="53"/>
  <c r="C45" i="53"/>
  <c r="B45" i="53"/>
  <c r="AO44" i="53"/>
  <c r="AL44" i="53"/>
  <c r="AK44" i="53"/>
  <c r="AM44" i="53" s="1"/>
  <c r="AF44" i="53"/>
  <c r="AH44" i="53" s="1"/>
  <c r="X44" i="53"/>
  <c r="U44" i="53"/>
  <c r="S44" i="53"/>
  <c r="AN44" i="53" s="1"/>
  <c r="I44" i="53"/>
  <c r="H44" i="53"/>
  <c r="G44" i="53"/>
  <c r="F44" i="53"/>
  <c r="E44" i="53"/>
  <c r="D44" i="53"/>
  <c r="C44" i="53"/>
  <c r="B44" i="53"/>
  <c r="AO43" i="53"/>
  <c r="AL43" i="53"/>
  <c r="AK43" i="53"/>
  <c r="AH43" i="53"/>
  <c r="AF43" i="53"/>
  <c r="X43" i="53"/>
  <c r="S43" i="53"/>
  <c r="U43" i="53" s="1"/>
  <c r="I43" i="53"/>
  <c r="H43" i="53"/>
  <c r="G43" i="53"/>
  <c r="F43" i="53"/>
  <c r="E43" i="53"/>
  <c r="D43" i="53"/>
  <c r="C43" i="53"/>
  <c r="B43" i="53"/>
  <c r="AO42" i="53"/>
  <c r="AL42" i="53"/>
  <c r="AK42" i="53"/>
  <c r="AF42" i="53"/>
  <c r="AH42" i="53" s="1"/>
  <c r="X42" i="53"/>
  <c r="AM42" i="53" s="1"/>
  <c r="S42" i="53"/>
  <c r="I42" i="53"/>
  <c r="H42" i="53"/>
  <c r="G42" i="53"/>
  <c r="F42" i="53"/>
  <c r="E42" i="53"/>
  <c r="D42" i="53"/>
  <c r="C42" i="53"/>
  <c r="B42" i="53"/>
  <c r="AO41" i="53"/>
  <c r="AL41" i="53"/>
  <c r="AK41" i="53"/>
  <c r="AF41" i="53"/>
  <c r="AH41" i="53" s="1"/>
  <c r="X41" i="53"/>
  <c r="AM41" i="53" s="1"/>
  <c r="S41" i="53"/>
  <c r="I41" i="53"/>
  <c r="H41" i="53"/>
  <c r="G41" i="53"/>
  <c r="F41" i="53"/>
  <c r="E41" i="53"/>
  <c r="D41" i="53"/>
  <c r="C41" i="53"/>
  <c r="B41" i="53"/>
  <c r="AO40" i="53"/>
  <c r="AL40" i="53"/>
  <c r="AK40" i="53"/>
  <c r="AF40" i="53"/>
  <c r="AH40" i="53" s="1"/>
  <c r="X40" i="53"/>
  <c r="AM40" i="53" s="1"/>
  <c r="U40" i="53"/>
  <c r="S40" i="53"/>
  <c r="I40" i="53"/>
  <c r="H40" i="53"/>
  <c r="G40" i="53"/>
  <c r="F40" i="53"/>
  <c r="E40" i="53"/>
  <c r="D40" i="53"/>
  <c r="C40" i="53"/>
  <c r="B40" i="53"/>
  <c r="AO39" i="53"/>
  <c r="AL39" i="53"/>
  <c r="AK39" i="53"/>
  <c r="AF39" i="53"/>
  <c r="AH39" i="53" s="1"/>
  <c r="X39" i="53"/>
  <c r="AM39" i="53" s="1"/>
  <c r="S39" i="53"/>
  <c r="U39" i="53" s="1"/>
  <c r="I39" i="53"/>
  <c r="H39" i="53"/>
  <c r="G39" i="53"/>
  <c r="F39" i="53"/>
  <c r="E39" i="53"/>
  <c r="D39" i="53"/>
  <c r="C39" i="53"/>
  <c r="B39" i="53"/>
  <c r="AO38" i="53"/>
  <c r="AL38" i="53"/>
  <c r="AK38" i="53"/>
  <c r="AM38" i="53" s="1"/>
  <c r="AF38" i="53"/>
  <c r="AH38" i="53" s="1"/>
  <c r="X38" i="53"/>
  <c r="S38" i="53"/>
  <c r="AN38" i="53" s="1"/>
  <c r="I38" i="53"/>
  <c r="H38" i="53"/>
  <c r="G38" i="53"/>
  <c r="F38" i="53"/>
  <c r="E38" i="53"/>
  <c r="D38" i="53"/>
  <c r="C38" i="53"/>
  <c r="B38" i="53"/>
  <c r="AO37" i="53"/>
  <c r="AL37" i="53"/>
  <c r="AK37" i="53"/>
  <c r="AH37" i="53"/>
  <c r="AF37" i="53"/>
  <c r="X37" i="53"/>
  <c r="S37" i="53"/>
  <c r="U37" i="53" s="1"/>
  <c r="I37" i="53"/>
  <c r="H37" i="53"/>
  <c r="G37" i="53"/>
  <c r="F37" i="53"/>
  <c r="E37" i="53"/>
  <c r="D37" i="53"/>
  <c r="C37" i="53"/>
  <c r="B37" i="53"/>
  <c r="AO36" i="53"/>
  <c r="AL36" i="53"/>
  <c r="AK36" i="53"/>
  <c r="AF36" i="53"/>
  <c r="AH36" i="53" s="1"/>
  <c r="X36" i="53"/>
  <c r="S36" i="53"/>
  <c r="U36" i="53" s="1"/>
  <c r="I36" i="53"/>
  <c r="H36" i="53"/>
  <c r="G36" i="53"/>
  <c r="F36" i="53"/>
  <c r="E36" i="53"/>
  <c r="D36" i="53"/>
  <c r="C36" i="53"/>
  <c r="B36" i="53"/>
  <c r="AO35" i="53"/>
  <c r="AL35" i="53"/>
  <c r="AK35" i="53"/>
  <c r="AF35" i="53"/>
  <c r="AH35" i="53" s="1"/>
  <c r="X35" i="53"/>
  <c r="S35" i="53"/>
  <c r="U35" i="53" s="1"/>
  <c r="I35" i="53"/>
  <c r="H35" i="53"/>
  <c r="G35" i="53"/>
  <c r="F35" i="53"/>
  <c r="E35" i="53"/>
  <c r="D35" i="53"/>
  <c r="C35" i="53"/>
  <c r="B35" i="53"/>
  <c r="AO34" i="53"/>
  <c r="AL34" i="53"/>
  <c r="AK34" i="53"/>
  <c r="AF34" i="53"/>
  <c r="AH34" i="53" s="1"/>
  <c r="X34" i="53"/>
  <c r="AM34" i="53" s="1"/>
  <c r="S34" i="53"/>
  <c r="I34" i="53"/>
  <c r="H34" i="53"/>
  <c r="G34" i="53"/>
  <c r="F34" i="53"/>
  <c r="E34" i="53"/>
  <c r="D34" i="53"/>
  <c r="C34" i="53"/>
  <c r="B34" i="53"/>
  <c r="AO33" i="53"/>
  <c r="AL33" i="53"/>
  <c r="AK33" i="53"/>
  <c r="AF33" i="53"/>
  <c r="AH33" i="53" s="1"/>
  <c r="X33" i="53"/>
  <c r="AM33" i="53" s="1"/>
  <c r="S33" i="53"/>
  <c r="I33" i="53"/>
  <c r="H33" i="53"/>
  <c r="G33" i="53"/>
  <c r="F33" i="53"/>
  <c r="E33" i="53"/>
  <c r="D33" i="53"/>
  <c r="C33" i="53"/>
  <c r="B33" i="53"/>
  <c r="AO32" i="53"/>
  <c r="AL32" i="53"/>
  <c r="AK32" i="53"/>
  <c r="AF32" i="53"/>
  <c r="AH32" i="53" s="1"/>
  <c r="X32" i="53"/>
  <c r="AM32" i="53" s="1"/>
  <c r="U32" i="53"/>
  <c r="S32" i="53"/>
  <c r="I32" i="53"/>
  <c r="H32" i="53"/>
  <c r="G32" i="53"/>
  <c r="F32" i="53"/>
  <c r="E32" i="53"/>
  <c r="D32" i="53"/>
  <c r="C32" i="53"/>
  <c r="B32" i="53"/>
  <c r="AO31" i="53"/>
  <c r="AL31" i="53"/>
  <c r="AK31" i="53"/>
  <c r="AF31" i="53"/>
  <c r="AH31" i="53" s="1"/>
  <c r="X31" i="53"/>
  <c r="AM31" i="53" s="1"/>
  <c r="U31" i="53"/>
  <c r="S31" i="53"/>
  <c r="I31" i="53"/>
  <c r="H31" i="53"/>
  <c r="G31" i="53"/>
  <c r="F31" i="53"/>
  <c r="E31" i="53"/>
  <c r="D31" i="53"/>
  <c r="C31" i="53"/>
  <c r="B31" i="53"/>
  <c r="AO30" i="53"/>
  <c r="AL30" i="53"/>
  <c r="AK30" i="53"/>
  <c r="AF30" i="53"/>
  <c r="AH30" i="53" s="1"/>
  <c r="X30" i="53"/>
  <c r="U30" i="53"/>
  <c r="S30" i="53"/>
  <c r="I30" i="53"/>
  <c r="H30" i="53"/>
  <c r="G30" i="53"/>
  <c r="F30" i="53"/>
  <c r="E30" i="53"/>
  <c r="D30" i="53"/>
  <c r="C30" i="53"/>
  <c r="B30" i="53"/>
  <c r="AO29" i="53"/>
  <c r="AL29" i="53"/>
  <c r="AK29" i="53"/>
  <c r="AF29" i="53"/>
  <c r="AN29" i="53" s="1"/>
  <c r="AP29" i="53" s="1"/>
  <c r="X29" i="53"/>
  <c r="AM29" i="53" s="1"/>
  <c r="S29" i="53"/>
  <c r="U29" i="53" s="1"/>
  <c r="I29" i="53"/>
  <c r="H29" i="53"/>
  <c r="G29" i="53"/>
  <c r="F29" i="53"/>
  <c r="E29" i="53"/>
  <c r="D29" i="53"/>
  <c r="C29" i="53"/>
  <c r="B29" i="53"/>
  <c r="AO28" i="53"/>
  <c r="AL28" i="53"/>
  <c r="AK28" i="53"/>
  <c r="AM28" i="53" s="1"/>
  <c r="AF28" i="53"/>
  <c r="AH28" i="53" s="1"/>
  <c r="X28" i="53"/>
  <c r="S28" i="53"/>
  <c r="U28" i="53" s="1"/>
  <c r="I28" i="53"/>
  <c r="H28" i="53"/>
  <c r="G28" i="53"/>
  <c r="F28" i="53"/>
  <c r="E28" i="53"/>
  <c r="D28" i="53"/>
  <c r="C28" i="53"/>
  <c r="B28" i="53"/>
  <c r="AO27" i="53"/>
  <c r="AL27" i="53"/>
  <c r="AK27" i="53"/>
  <c r="AF27" i="53"/>
  <c r="AH27" i="53" s="1"/>
  <c r="X27" i="53"/>
  <c r="AM27" i="53" s="1"/>
  <c r="S27" i="53"/>
  <c r="U27" i="53" s="1"/>
  <c r="I27" i="53"/>
  <c r="H27" i="53"/>
  <c r="G27" i="53"/>
  <c r="F27" i="53"/>
  <c r="E27" i="53"/>
  <c r="D27" i="53"/>
  <c r="C27" i="53"/>
  <c r="B27" i="53"/>
  <c r="AO26" i="53"/>
  <c r="AL26" i="53"/>
  <c r="AK26" i="53"/>
  <c r="AF26" i="53"/>
  <c r="AH26" i="53" s="1"/>
  <c r="X26" i="53"/>
  <c r="U26" i="53"/>
  <c r="S26" i="53"/>
  <c r="AN26" i="53" s="1"/>
  <c r="I26" i="53"/>
  <c r="H26" i="53"/>
  <c r="G26" i="53"/>
  <c r="F26" i="53"/>
  <c r="E26" i="53"/>
  <c r="D26" i="53"/>
  <c r="C26" i="53"/>
  <c r="B26" i="53"/>
  <c r="AO25" i="53"/>
  <c r="AL25" i="53"/>
  <c r="AK25" i="53"/>
  <c r="AM25" i="53" s="1"/>
  <c r="AH25" i="53"/>
  <c r="AF25" i="53"/>
  <c r="X25" i="53"/>
  <c r="S25" i="53"/>
  <c r="AN25" i="53" s="1"/>
  <c r="I25" i="53"/>
  <c r="H25" i="53"/>
  <c r="G25" i="53"/>
  <c r="F25" i="53"/>
  <c r="E25" i="53"/>
  <c r="D25" i="53"/>
  <c r="C25" i="53"/>
  <c r="B25" i="53"/>
  <c r="AO24" i="53"/>
  <c r="AL24" i="53"/>
  <c r="AK24" i="53"/>
  <c r="AF24" i="53"/>
  <c r="AH24" i="53" s="1"/>
  <c r="X24" i="53"/>
  <c r="AM24" i="53" s="1"/>
  <c r="S24" i="53"/>
  <c r="AN24" i="53" s="1"/>
  <c r="I24" i="53"/>
  <c r="H24" i="53"/>
  <c r="G24" i="53"/>
  <c r="F24" i="53"/>
  <c r="E24" i="53"/>
  <c r="D24" i="53"/>
  <c r="C24" i="53"/>
  <c r="B24" i="53"/>
  <c r="AO23" i="53"/>
  <c r="AL23" i="53"/>
  <c r="AK23" i="53"/>
  <c r="AH23" i="53"/>
  <c r="AF23" i="53"/>
  <c r="X23" i="53"/>
  <c r="AM23" i="53" s="1"/>
  <c r="S23" i="53"/>
  <c r="U23" i="53" s="1"/>
  <c r="I23" i="53"/>
  <c r="H23" i="53"/>
  <c r="G23" i="53"/>
  <c r="F23" i="53"/>
  <c r="E23" i="53"/>
  <c r="D23" i="53"/>
  <c r="C23" i="53"/>
  <c r="B23" i="53"/>
  <c r="AO22" i="53"/>
  <c r="AL22" i="53"/>
  <c r="AK22" i="53"/>
  <c r="AF22" i="53"/>
  <c r="AH22" i="53" s="1"/>
  <c r="X22" i="53"/>
  <c r="S22" i="53"/>
  <c r="AN22" i="53" s="1"/>
  <c r="I22" i="53"/>
  <c r="H22" i="53"/>
  <c r="G22" i="53"/>
  <c r="F22" i="53"/>
  <c r="E22" i="53"/>
  <c r="D22" i="53"/>
  <c r="C22" i="53"/>
  <c r="B22" i="53"/>
  <c r="AO21" i="53"/>
  <c r="AL21" i="53"/>
  <c r="AK21" i="53"/>
  <c r="AH21" i="53"/>
  <c r="AF21" i="53"/>
  <c r="X21" i="53"/>
  <c r="AM21" i="53" s="1"/>
  <c r="S21" i="53"/>
  <c r="U21" i="53" s="1"/>
  <c r="I21" i="53"/>
  <c r="H21" i="53"/>
  <c r="G21" i="53"/>
  <c r="F21" i="53"/>
  <c r="E21" i="53"/>
  <c r="D21" i="53"/>
  <c r="C21" i="53"/>
  <c r="B21" i="53"/>
  <c r="AO20" i="53"/>
  <c r="AL20" i="53"/>
  <c r="AK20" i="53"/>
  <c r="AF20" i="53"/>
  <c r="AH20" i="53" s="1"/>
  <c r="X20" i="53"/>
  <c r="AM20" i="53" s="1"/>
  <c r="S20" i="53"/>
  <c r="U20" i="53" s="1"/>
  <c r="I20" i="53"/>
  <c r="H20" i="53"/>
  <c r="G20" i="53"/>
  <c r="F20" i="53"/>
  <c r="E20" i="53"/>
  <c r="D20" i="53"/>
  <c r="C20" i="53"/>
  <c r="B20" i="53"/>
  <c r="AO19" i="53"/>
  <c r="AL19" i="53"/>
  <c r="AK19" i="53"/>
  <c r="AF19" i="53"/>
  <c r="AH19" i="53" s="1"/>
  <c r="X19" i="53"/>
  <c r="AM19" i="53" s="1"/>
  <c r="S19" i="53"/>
  <c r="U19" i="53" s="1"/>
  <c r="I19" i="53"/>
  <c r="H19" i="53"/>
  <c r="G19" i="53"/>
  <c r="F19" i="53"/>
  <c r="E19" i="53"/>
  <c r="D19" i="53"/>
  <c r="C19" i="53"/>
  <c r="B19" i="53"/>
  <c r="AO18" i="53"/>
  <c r="AL18" i="53"/>
  <c r="AK18" i="53"/>
  <c r="AF18" i="53"/>
  <c r="AH18" i="53" s="1"/>
  <c r="X18" i="53"/>
  <c r="S18" i="53"/>
  <c r="U18" i="53" s="1"/>
  <c r="I18" i="53"/>
  <c r="H18" i="53"/>
  <c r="G18" i="53"/>
  <c r="F18" i="53"/>
  <c r="E18" i="53"/>
  <c r="D18" i="53"/>
  <c r="C18" i="53"/>
  <c r="B18" i="53"/>
  <c r="AO17" i="53"/>
  <c r="AL17" i="53"/>
  <c r="AK17" i="53"/>
  <c r="AF17" i="53"/>
  <c r="AH17" i="53" s="1"/>
  <c r="X17" i="53"/>
  <c r="S17" i="53"/>
  <c r="I17" i="53"/>
  <c r="H17" i="53"/>
  <c r="G17" i="53"/>
  <c r="F17" i="53"/>
  <c r="E17" i="53"/>
  <c r="D17" i="53"/>
  <c r="C17" i="53"/>
  <c r="B17" i="53"/>
  <c r="AO16" i="53"/>
  <c r="AL16" i="53"/>
  <c r="AK16" i="53"/>
  <c r="AF16" i="53"/>
  <c r="AH16" i="53" s="1"/>
  <c r="X16" i="53"/>
  <c r="AM16" i="53" s="1"/>
  <c r="S16" i="53"/>
  <c r="I16" i="53"/>
  <c r="H16" i="53"/>
  <c r="G16" i="53"/>
  <c r="F16" i="53"/>
  <c r="E16" i="53"/>
  <c r="D16" i="53"/>
  <c r="C16" i="53"/>
  <c r="B16" i="53"/>
  <c r="AO15" i="53"/>
  <c r="AL15" i="53"/>
  <c r="AK15" i="53"/>
  <c r="AH15" i="53"/>
  <c r="AF15" i="53"/>
  <c r="X15" i="53"/>
  <c r="S15" i="53"/>
  <c r="AN15" i="53" s="1"/>
  <c r="AP15" i="53" s="1"/>
  <c r="I15" i="53"/>
  <c r="H15" i="53"/>
  <c r="G15" i="53"/>
  <c r="F15" i="53"/>
  <c r="E15" i="53"/>
  <c r="D15" i="53"/>
  <c r="C15" i="53"/>
  <c r="B15" i="53"/>
  <c r="AO14" i="53"/>
  <c r="AL14" i="53"/>
  <c r="AK14" i="53"/>
  <c r="AM14" i="53" s="1"/>
  <c r="AF14" i="53"/>
  <c r="AH14" i="53" s="1"/>
  <c r="X14" i="53"/>
  <c r="S14" i="53"/>
  <c r="I14" i="53"/>
  <c r="H14" i="53"/>
  <c r="G14" i="53"/>
  <c r="F14" i="53"/>
  <c r="E14" i="53"/>
  <c r="D14" i="53"/>
  <c r="C14" i="53"/>
  <c r="B14" i="53"/>
  <c r="AO13" i="53"/>
  <c r="AL13" i="53"/>
  <c r="AK13" i="53"/>
  <c r="AF13" i="53"/>
  <c r="AH13" i="53" s="1"/>
  <c r="X13" i="53"/>
  <c r="AM13" i="53" s="1"/>
  <c r="S13" i="53"/>
  <c r="U13" i="53" s="1"/>
  <c r="I13" i="53"/>
  <c r="H13" i="53"/>
  <c r="G13" i="53"/>
  <c r="F13" i="53"/>
  <c r="E13" i="53"/>
  <c r="D13" i="53"/>
  <c r="C13" i="53"/>
  <c r="B13" i="53"/>
  <c r="AO12" i="53"/>
  <c r="AL12" i="53"/>
  <c r="AK12" i="53"/>
  <c r="AM12" i="53" s="1"/>
  <c r="AF12" i="53"/>
  <c r="AH12" i="53" s="1"/>
  <c r="X12" i="53"/>
  <c r="S12" i="53"/>
  <c r="U12" i="53" s="1"/>
  <c r="I12" i="53"/>
  <c r="H12" i="53"/>
  <c r="G12" i="53"/>
  <c r="F12" i="53"/>
  <c r="E12" i="53"/>
  <c r="D12" i="53"/>
  <c r="C12" i="53"/>
  <c r="B12" i="53"/>
  <c r="AO11" i="53"/>
  <c r="AL11" i="53"/>
  <c r="AK11" i="53"/>
  <c r="AF11" i="53"/>
  <c r="AH11" i="53" s="1"/>
  <c r="X11" i="53"/>
  <c r="S11" i="53"/>
  <c r="U11" i="53" s="1"/>
  <c r="I11" i="53"/>
  <c r="H11" i="53"/>
  <c r="G11" i="53"/>
  <c r="F11" i="53"/>
  <c r="E11" i="53"/>
  <c r="D11" i="53"/>
  <c r="C11" i="53"/>
  <c r="B11" i="53"/>
  <c r="AO10" i="53"/>
  <c r="AL10" i="53"/>
  <c r="AK10" i="53"/>
  <c r="AM10" i="53" s="1"/>
  <c r="AF10" i="53"/>
  <c r="AH10" i="53" s="1"/>
  <c r="X10" i="53"/>
  <c r="S10" i="53"/>
  <c r="I10" i="53"/>
  <c r="H10" i="53"/>
  <c r="G10" i="53"/>
  <c r="F10" i="53"/>
  <c r="E10" i="53"/>
  <c r="D10" i="53"/>
  <c r="C10" i="53"/>
  <c r="B10" i="53"/>
  <c r="AO9" i="53"/>
  <c r="AL9" i="53"/>
  <c r="AK9" i="53"/>
  <c r="AF9" i="53"/>
  <c r="AH9" i="53" s="1"/>
  <c r="X9" i="53"/>
  <c r="S9" i="53"/>
  <c r="I9" i="53"/>
  <c r="H9" i="53"/>
  <c r="G9" i="53"/>
  <c r="F9" i="53"/>
  <c r="E9" i="53"/>
  <c r="D9" i="53"/>
  <c r="C9" i="53"/>
  <c r="B9" i="53"/>
  <c r="AO8" i="53"/>
  <c r="AL8" i="53"/>
  <c r="AK8" i="53"/>
  <c r="AM8" i="53" s="1"/>
  <c r="AF8" i="53"/>
  <c r="AH8" i="53" s="1"/>
  <c r="X8" i="53"/>
  <c r="S8" i="53"/>
  <c r="I8" i="53"/>
  <c r="H8" i="53"/>
  <c r="G8" i="53"/>
  <c r="F8" i="53"/>
  <c r="E8" i="53"/>
  <c r="D8" i="53"/>
  <c r="C8" i="53"/>
  <c r="B8" i="53"/>
  <c r="AO7" i="53"/>
  <c r="AL7" i="53"/>
  <c r="AK7" i="53"/>
  <c r="AF7" i="53"/>
  <c r="AH7" i="53" s="1"/>
  <c r="X7" i="53"/>
  <c r="S7" i="53"/>
  <c r="I7" i="53"/>
  <c r="H7" i="53"/>
  <c r="G7" i="53"/>
  <c r="F7" i="53"/>
  <c r="E7" i="53"/>
  <c r="D7" i="53"/>
  <c r="C7" i="53"/>
  <c r="B7" i="53"/>
  <c r="AO6" i="53"/>
  <c r="AL6" i="53"/>
  <c r="AK6" i="53"/>
  <c r="AF6" i="53"/>
  <c r="AH6" i="53" s="1"/>
  <c r="X6" i="53"/>
  <c r="S6" i="53"/>
  <c r="I6" i="53"/>
  <c r="H6" i="53"/>
  <c r="G6" i="53"/>
  <c r="F6" i="53"/>
  <c r="E6" i="53"/>
  <c r="D6" i="53"/>
  <c r="C6" i="53"/>
  <c r="B6" i="53"/>
  <c r="AB69" i="53"/>
  <c r="H2" i="53"/>
  <c r="E2" i="53"/>
  <c r="E69" i="53" s="1"/>
  <c r="C2" i="53"/>
  <c r="K64" i="59" l="1"/>
  <c r="N161" i="59" s="1"/>
  <c r="N113" i="20" s="1"/>
  <c r="K64" i="60"/>
  <c r="N161" i="60" s="1"/>
  <c r="N120" i="20" s="1"/>
  <c r="K63" i="60"/>
  <c r="N160" i="60" s="1"/>
  <c r="N119" i="20" s="1"/>
  <c r="K65" i="60"/>
  <c r="N162" i="60" s="1"/>
  <c r="N121" i="20" s="1"/>
  <c r="O64" i="59"/>
  <c r="O66" i="59"/>
  <c r="T158" i="59"/>
  <c r="T110" i="20" s="1"/>
  <c r="AC158" i="59"/>
  <c r="AC110" i="20" s="1"/>
  <c r="O65" i="59"/>
  <c r="N66" i="59"/>
  <c r="AP8" i="59"/>
  <c r="U60" i="59"/>
  <c r="T158" i="60"/>
  <c r="T117" i="20" s="1"/>
  <c r="AC159" i="60"/>
  <c r="AC118" i="20" s="1"/>
  <c r="U58" i="61"/>
  <c r="AC159" i="61"/>
  <c r="AC125" i="20" s="1"/>
  <c r="U61" i="61"/>
  <c r="U56" i="61"/>
  <c r="T157" i="61" s="1"/>
  <c r="T123" i="20" s="1"/>
  <c r="T159" i="61"/>
  <c r="T125" i="20" s="1"/>
  <c r="U60" i="61"/>
  <c r="U59" i="61"/>
  <c r="AC158" i="61"/>
  <c r="AC124" i="20" s="1"/>
  <c r="U23" i="57"/>
  <c r="U22" i="57"/>
  <c r="U17" i="57"/>
  <c r="U23" i="56"/>
  <c r="U16" i="56"/>
  <c r="U23" i="55"/>
  <c r="U14" i="54"/>
  <c r="U22" i="53"/>
  <c r="AP22" i="53"/>
  <c r="AC15" i="41"/>
  <c r="AO61" i="53"/>
  <c r="AN17" i="53"/>
  <c r="AM18" i="53"/>
  <c r="U24" i="53"/>
  <c r="AM26" i="53"/>
  <c r="AH29" i="53"/>
  <c r="AN34" i="53"/>
  <c r="AM35" i="53"/>
  <c r="AM36" i="53"/>
  <c r="AM37" i="53"/>
  <c r="U38" i="53"/>
  <c r="AP40" i="53"/>
  <c r="AN42" i="53"/>
  <c r="AM43" i="53"/>
  <c r="AP44" i="53"/>
  <c r="AN46" i="53"/>
  <c r="AM46" i="53"/>
  <c r="AM47" i="53"/>
  <c r="AM15" i="41"/>
  <c r="AN9" i="53"/>
  <c r="AM22" i="53"/>
  <c r="AN30" i="53"/>
  <c r="AN31" i="53"/>
  <c r="AP31" i="53" s="1"/>
  <c r="AN32" i="53"/>
  <c r="AP32" i="53" s="1"/>
  <c r="AN33" i="53"/>
  <c r="U34" i="53"/>
  <c r="AN37" i="53"/>
  <c r="AP37" i="53" s="1"/>
  <c r="AP38" i="53"/>
  <c r="AN40" i="53"/>
  <c r="AN41" i="53"/>
  <c r="U42" i="53"/>
  <c r="U46" i="53"/>
  <c r="AM51" i="53"/>
  <c r="AM52" i="53"/>
  <c r="AM53" i="53"/>
  <c r="AM30" i="53"/>
  <c r="AP34" i="53"/>
  <c r="AN55" i="53"/>
  <c r="AP55" i="53" s="1"/>
  <c r="U55" i="53"/>
  <c r="AP41" i="53"/>
  <c r="AN44" i="55"/>
  <c r="AP44" i="55" s="1"/>
  <c r="AN46" i="56"/>
  <c r="AP46" i="56" s="1"/>
  <c r="U46" i="56"/>
  <c r="AN10" i="54"/>
  <c r="AP10" i="54" s="1"/>
  <c r="AM22" i="54"/>
  <c r="AM27" i="54"/>
  <c r="AM30" i="54"/>
  <c r="AM32" i="54"/>
  <c r="AM35" i="54"/>
  <c r="AM38" i="54"/>
  <c r="AM43" i="54"/>
  <c r="AN48" i="54"/>
  <c r="AM48" i="54"/>
  <c r="AM49" i="54"/>
  <c r="U50" i="54"/>
  <c r="AM51" i="54"/>
  <c r="AF17" i="41"/>
  <c r="AM13" i="55"/>
  <c r="AM14" i="55"/>
  <c r="AN17" i="55"/>
  <c r="AP17" i="55" s="1"/>
  <c r="AM18" i="55"/>
  <c r="AN25" i="55"/>
  <c r="AM25" i="55"/>
  <c r="AM26" i="55"/>
  <c r="AN29" i="55"/>
  <c r="AM29" i="55"/>
  <c r="AM30" i="55"/>
  <c r="U35" i="55"/>
  <c r="AN36" i="55"/>
  <c r="AP36" i="55" s="1"/>
  <c r="AP37" i="55"/>
  <c r="AN39" i="55"/>
  <c r="AP39" i="55" s="1"/>
  <c r="U41" i="55"/>
  <c r="U47" i="55"/>
  <c r="AM48" i="55"/>
  <c r="AN53" i="55"/>
  <c r="AM54" i="55"/>
  <c r="Z62" i="55"/>
  <c r="Z66" i="55" s="1"/>
  <c r="AN8" i="56"/>
  <c r="AP8" i="56" s="1"/>
  <c r="AM22" i="56"/>
  <c r="U24" i="56"/>
  <c r="AN25" i="56"/>
  <c r="AP25" i="56" s="1"/>
  <c r="AN26" i="56"/>
  <c r="AM27" i="56"/>
  <c r="AM29" i="56"/>
  <c r="U30" i="56"/>
  <c r="U31" i="56"/>
  <c r="AN32" i="56"/>
  <c r="U32" i="56"/>
  <c r="AM38" i="56"/>
  <c r="AI62" i="53"/>
  <c r="AI63" i="53" s="1"/>
  <c r="V160" i="53" s="1"/>
  <c r="V70" i="20" s="1"/>
  <c r="Y16" i="41"/>
  <c r="AN9" i="54"/>
  <c r="AP9" i="54" s="1"/>
  <c r="AM15" i="54"/>
  <c r="AN15" i="54"/>
  <c r="AP15" i="54" s="1"/>
  <c r="AN25" i="54"/>
  <c r="AP25" i="54" s="1"/>
  <c r="AN33" i="54"/>
  <c r="AP33" i="54" s="1"/>
  <c r="AP36" i="54"/>
  <c r="AN41" i="54"/>
  <c r="AP41" i="54" s="1"/>
  <c r="AN42" i="54"/>
  <c r="AM47" i="54"/>
  <c r="U48" i="54"/>
  <c r="AM55" i="54"/>
  <c r="P62" i="54"/>
  <c r="AA62" i="54"/>
  <c r="AA66" i="54" s="1"/>
  <c r="AM33" i="55"/>
  <c r="AP41" i="55"/>
  <c r="AM45" i="55"/>
  <c r="AP49" i="55"/>
  <c r="AM52" i="55"/>
  <c r="AN7" i="56"/>
  <c r="AP7" i="56" s="1"/>
  <c r="F18" i="41"/>
  <c r="AM11" i="56"/>
  <c r="AM42" i="56"/>
  <c r="AM52" i="56"/>
  <c r="AN55" i="56"/>
  <c r="U55" i="56"/>
  <c r="AP48" i="54"/>
  <c r="AP50" i="54"/>
  <c r="AP25" i="55"/>
  <c r="AP47" i="55"/>
  <c r="AP26" i="56"/>
  <c r="AP33" i="56"/>
  <c r="AN36" i="56"/>
  <c r="AP36" i="56" s="1"/>
  <c r="AN44" i="56"/>
  <c r="AP44" i="56" s="1"/>
  <c r="AN47" i="56"/>
  <c r="AP47" i="56" s="1"/>
  <c r="U47" i="56"/>
  <c r="AN33" i="56"/>
  <c r="AN34" i="56"/>
  <c r="AP34" i="56" s="1"/>
  <c r="AM35" i="56"/>
  <c r="AN38" i="56"/>
  <c r="AP38" i="56" s="1"/>
  <c r="AN39" i="56"/>
  <c r="AP39" i="56" s="1"/>
  <c r="AN41" i="56"/>
  <c r="AN42" i="56"/>
  <c r="AN43" i="56"/>
  <c r="AP43" i="56" s="1"/>
  <c r="AM46" i="56"/>
  <c r="AN49" i="56"/>
  <c r="AM50" i="56"/>
  <c r="AP55" i="56"/>
  <c r="AM14" i="57"/>
  <c r="AM37" i="57"/>
  <c r="AM43" i="57"/>
  <c r="AN12" i="58"/>
  <c r="AP12" i="58" s="1"/>
  <c r="AN25" i="58"/>
  <c r="AM28" i="58"/>
  <c r="AN30" i="58"/>
  <c r="AP30" i="58" s="1"/>
  <c r="AN31" i="58"/>
  <c r="AN38" i="58"/>
  <c r="AP38" i="58" s="1"/>
  <c r="AN39" i="58"/>
  <c r="AM42" i="58"/>
  <c r="AM43" i="58"/>
  <c r="AM45" i="58"/>
  <c r="AN48" i="58"/>
  <c r="AN49" i="58"/>
  <c r="AN52" i="58"/>
  <c r="AP52" i="58" s="1"/>
  <c r="AN53" i="58"/>
  <c r="AP53" i="58" s="1"/>
  <c r="AN54" i="58"/>
  <c r="AP54" i="58" s="1"/>
  <c r="AN55" i="58"/>
  <c r="P62" i="58"/>
  <c r="Y62" i="58"/>
  <c r="Y66" i="58" s="1"/>
  <c r="U163" i="58" s="1"/>
  <c r="U108" i="20" s="1"/>
  <c r="V63" i="61"/>
  <c r="P160" i="61" s="1"/>
  <c r="P126" i="20" s="1"/>
  <c r="K65" i="61"/>
  <c r="N162" i="61" s="1"/>
  <c r="N128" i="20" s="1"/>
  <c r="N64" i="62"/>
  <c r="AC64" i="63"/>
  <c r="AI63" i="60"/>
  <c r="V160" i="60" s="1"/>
  <c r="V119" i="20" s="1"/>
  <c r="Y64" i="62"/>
  <c r="U161" i="62" s="1"/>
  <c r="U134" i="20" s="1"/>
  <c r="AK59" i="57"/>
  <c r="N63" i="60"/>
  <c r="W63" i="61"/>
  <c r="Q160" i="61" s="1"/>
  <c r="Q126" i="20" s="1"/>
  <c r="W66" i="63"/>
  <c r="Q163" i="63" s="1"/>
  <c r="Q143" i="20" s="1"/>
  <c r="J19" i="41"/>
  <c r="AN14" i="57"/>
  <c r="AP14" i="57" s="1"/>
  <c r="U15" i="57"/>
  <c r="AM17" i="57"/>
  <c r="AM22" i="57"/>
  <c r="U24" i="57"/>
  <c r="AN25" i="57"/>
  <c r="U27" i="57"/>
  <c r="AN30" i="57"/>
  <c r="AP30" i="57" s="1"/>
  <c r="AN31" i="57"/>
  <c r="AN43" i="57"/>
  <c r="AP43" i="57" s="1"/>
  <c r="AM46" i="57"/>
  <c r="AM54" i="57"/>
  <c r="AP25" i="58"/>
  <c r="AM30" i="58"/>
  <c r="U32" i="58"/>
  <c r="AN33" i="58"/>
  <c r="AP33" i="58" s="1"/>
  <c r="AM38" i="58"/>
  <c r="U40" i="58"/>
  <c r="U41" i="58"/>
  <c r="AM48" i="58"/>
  <c r="AM54" i="58"/>
  <c r="U59" i="59"/>
  <c r="T64" i="60"/>
  <c r="S161" i="60" s="1"/>
  <c r="S120" i="20" s="1"/>
  <c r="AC66" i="63"/>
  <c r="U58" i="62"/>
  <c r="Y63" i="62"/>
  <c r="U160" i="62" s="1"/>
  <c r="U133" i="20" s="1"/>
  <c r="AN48" i="56"/>
  <c r="AM54" i="56"/>
  <c r="Z62" i="56"/>
  <c r="Z66" i="56" s="1"/>
  <c r="AK58" i="57"/>
  <c r="AM10" i="57"/>
  <c r="AM12" i="57"/>
  <c r="AM13" i="57"/>
  <c r="U14" i="57"/>
  <c r="U25" i="57"/>
  <c r="U56" i="57" s="1"/>
  <c r="T157" i="57" s="1"/>
  <c r="T95" i="20" s="1"/>
  <c r="AM26" i="57"/>
  <c r="AM27" i="57"/>
  <c r="AM29" i="57"/>
  <c r="U30" i="57"/>
  <c r="U31" i="57"/>
  <c r="AN32" i="57"/>
  <c r="AP32" i="57" s="1"/>
  <c r="AM36" i="57"/>
  <c r="AN38" i="57"/>
  <c r="AP38" i="57" s="1"/>
  <c r="AN39" i="57"/>
  <c r="AP39" i="57" s="1"/>
  <c r="AN41" i="57"/>
  <c r="AP41" i="57" s="1"/>
  <c r="U43" i="57"/>
  <c r="AN44" i="57"/>
  <c r="AP44" i="57" s="1"/>
  <c r="AP47" i="57"/>
  <c r="AP49" i="57"/>
  <c r="AN51" i="57"/>
  <c r="AP51" i="57" s="1"/>
  <c r="Z62" i="57"/>
  <c r="Z66" i="57" s="1"/>
  <c r="AM9" i="58"/>
  <c r="AM10" i="58"/>
  <c r="AM11" i="58"/>
  <c r="AM14" i="58"/>
  <c r="AN24" i="58"/>
  <c r="U33" i="58"/>
  <c r="AM40" i="58"/>
  <c r="AN46" i="58"/>
  <c r="AP46" i="58" s="1"/>
  <c r="AN47" i="58"/>
  <c r="AP48" i="58"/>
  <c r="AP49" i="58"/>
  <c r="AM50" i="58"/>
  <c r="AM51" i="58"/>
  <c r="Z62" i="58"/>
  <c r="Z66" i="58" s="1"/>
  <c r="Q62" i="58"/>
  <c r="Q66" i="58" s="1"/>
  <c r="U58" i="59"/>
  <c r="L65" i="63"/>
  <c r="O162" i="63" s="1"/>
  <c r="O142" i="20" s="1"/>
  <c r="O63" i="63"/>
  <c r="Y65" i="62"/>
  <c r="U162" i="62" s="1"/>
  <c r="U135" i="20" s="1"/>
  <c r="AJ63" i="63"/>
  <c r="W160" i="63" s="1"/>
  <c r="W140" i="20" s="1"/>
  <c r="AJ64" i="63"/>
  <c r="W161" i="63" s="1"/>
  <c r="W141" i="20" s="1"/>
  <c r="AK62" i="63"/>
  <c r="AK63" i="63" s="1"/>
  <c r="AJ66" i="63"/>
  <c r="W163" i="63" s="1"/>
  <c r="W143" i="20" s="1"/>
  <c r="AB25" i="41"/>
  <c r="AD25" i="41"/>
  <c r="Y65" i="63"/>
  <c r="U162" i="63" s="1"/>
  <c r="U142" i="20" s="1"/>
  <c r="AE66" i="63"/>
  <c r="AA64" i="63"/>
  <c r="AA63" i="63"/>
  <c r="AK25" i="41"/>
  <c r="U60" i="63"/>
  <c r="N63" i="63"/>
  <c r="U58" i="63"/>
  <c r="L63" i="63"/>
  <c r="O160" i="63" s="1"/>
  <c r="O140" i="20" s="1"/>
  <c r="O25" i="41"/>
  <c r="R64" i="63"/>
  <c r="U59" i="63"/>
  <c r="U62" i="63" s="1"/>
  <c r="U64" i="63" s="1"/>
  <c r="T161" i="63" s="1"/>
  <c r="T141" i="20" s="1"/>
  <c r="U61" i="63"/>
  <c r="K65" i="63"/>
  <c r="N162" i="63" s="1"/>
  <c r="N142" i="20" s="1"/>
  <c r="M64" i="63"/>
  <c r="U56" i="63"/>
  <c r="R65" i="63"/>
  <c r="R63" i="63"/>
  <c r="AH58" i="62"/>
  <c r="AH56" i="62"/>
  <c r="AB63" i="62"/>
  <c r="AE65" i="62"/>
  <c r="AE66" i="62"/>
  <c r="AB24" i="41"/>
  <c r="AE64" i="62"/>
  <c r="T65" i="62"/>
  <c r="S162" i="62" s="1"/>
  <c r="S135" i="20" s="1"/>
  <c r="T64" i="62"/>
  <c r="S161" i="62" s="1"/>
  <c r="S134" i="20" s="1"/>
  <c r="AK24" i="41"/>
  <c r="N63" i="62"/>
  <c r="Q24" i="41"/>
  <c r="M65" i="62"/>
  <c r="R63" i="62"/>
  <c r="AH24" i="41"/>
  <c r="O24" i="41"/>
  <c r="AL62" i="61"/>
  <c r="AL63" i="61" s="1"/>
  <c r="AA160" i="61" s="1"/>
  <c r="AA126" i="20" s="1"/>
  <c r="AD23" i="41"/>
  <c r="AD66" i="61"/>
  <c r="W65" i="61"/>
  <c r="Q162" i="61" s="1"/>
  <c r="Q128" i="20" s="1"/>
  <c r="V65" i="61"/>
  <c r="P162" i="61" s="1"/>
  <c r="P128" i="20" s="1"/>
  <c r="AK23" i="41"/>
  <c r="Q23" i="41"/>
  <c r="AH23" i="41"/>
  <c r="N65" i="61"/>
  <c r="N66" i="61"/>
  <c r="AJ65" i="60"/>
  <c r="W162" i="60" s="1"/>
  <c r="W121" i="20" s="1"/>
  <c r="AJ66" i="60"/>
  <c r="W163" i="60" s="1"/>
  <c r="W122" i="20" s="1"/>
  <c r="AI65" i="60"/>
  <c r="V162" i="60" s="1"/>
  <c r="V121" i="20" s="1"/>
  <c r="AI64" i="60"/>
  <c r="V161" i="60" s="1"/>
  <c r="V120" i="20" s="1"/>
  <c r="AB22" i="41"/>
  <c r="Z65" i="60"/>
  <c r="AB63" i="60"/>
  <c r="AB65" i="60"/>
  <c r="Z66" i="60"/>
  <c r="AK22" i="41"/>
  <c r="T63" i="60"/>
  <c r="S160" i="60" s="1"/>
  <c r="S119" i="20" s="1"/>
  <c r="U60" i="60"/>
  <c r="AH22" i="41"/>
  <c r="U56" i="60"/>
  <c r="O22" i="41"/>
  <c r="AQ66" i="59"/>
  <c r="AF163" i="59" s="1"/>
  <c r="AF115" i="20" s="1"/>
  <c r="AC65" i="59"/>
  <c r="AC64" i="59"/>
  <c r="AC63" i="59"/>
  <c r="AD21" i="41"/>
  <c r="AK21" i="41"/>
  <c r="N63" i="59"/>
  <c r="O21" i="41"/>
  <c r="U61" i="59"/>
  <c r="AH21" i="41"/>
  <c r="N65" i="59"/>
  <c r="AM19" i="58"/>
  <c r="AM17" i="58"/>
  <c r="AG65" i="58"/>
  <c r="Y162" i="58" s="1"/>
  <c r="Y107" i="20" s="1"/>
  <c r="AG64" i="58"/>
  <c r="Y161" i="58" s="1"/>
  <c r="Y106" i="20" s="1"/>
  <c r="AG63" i="58"/>
  <c r="Y160" i="58" s="1"/>
  <c r="Y105" i="20" s="1"/>
  <c r="Y65" i="58"/>
  <c r="U162" i="58" s="1"/>
  <c r="U107" i="20" s="1"/>
  <c r="Z65" i="58"/>
  <c r="AN7" i="58"/>
  <c r="AP7" i="58" s="1"/>
  <c r="AE62" i="58"/>
  <c r="AE63" i="58" s="1"/>
  <c r="Y64" i="58"/>
  <c r="U161" i="58" s="1"/>
  <c r="U106" i="20" s="1"/>
  <c r="AN8" i="58"/>
  <c r="AN9" i="58"/>
  <c r="AP9" i="58" s="1"/>
  <c r="AN14" i="58"/>
  <c r="AP14" i="58" s="1"/>
  <c r="AN15" i="58"/>
  <c r="AP15" i="58" s="1"/>
  <c r="Z64" i="58"/>
  <c r="AN16" i="58"/>
  <c r="AP16" i="58" s="1"/>
  <c r="AN17" i="58"/>
  <c r="AP17" i="58" s="1"/>
  <c r="AN22" i="58"/>
  <c r="AP22" i="58" s="1"/>
  <c r="AN23" i="58"/>
  <c r="AP23" i="58" s="1"/>
  <c r="Y63" i="58"/>
  <c r="U160" i="58" s="1"/>
  <c r="U105" i="20" s="1"/>
  <c r="W62" i="58"/>
  <c r="W63" i="58" s="1"/>
  <c r="Q160" i="58" s="1"/>
  <c r="Q105" i="20" s="1"/>
  <c r="AM18" i="58"/>
  <c r="U8" i="58"/>
  <c r="P65" i="58"/>
  <c r="Q65" i="58"/>
  <c r="U16" i="58"/>
  <c r="R65" i="58"/>
  <c r="O62" i="58"/>
  <c r="O63" i="58" s="1"/>
  <c r="Q64" i="58"/>
  <c r="R64" i="58"/>
  <c r="Q63" i="58"/>
  <c r="AM19" i="57"/>
  <c r="AG62" i="57"/>
  <c r="AG65" i="57" s="1"/>
  <c r="Y162" i="57" s="1"/>
  <c r="Y100" i="20" s="1"/>
  <c r="AN7" i="57"/>
  <c r="AP7" i="57" s="1"/>
  <c r="AN8" i="57"/>
  <c r="AN9" i="57"/>
  <c r="AN10" i="57"/>
  <c r="AP10" i="57" s="1"/>
  <c r="R66" i="57"/>
  <c r="U16" i="57"/>
  <c r="AL58" i="57"/>
  <c r="R65" i="57"/>
  <c r="U7" i="57"/>
  <c r="P62" i="57"/>
  <c r="P63" i="57" s="1"/>
  <c r="R64" i="57"/>
  <c r="Q62" i="57"/>
  <c r="Q66" i="57" s="1"/>
  <c r="U9" i="57"/>
  <c r="R62" i="57"/>
  <c r="R63" i="57" s="1"/>
  <c r="AM19" i="56"/>
  <c r="AK58" i="56"/>
  <c r="AG62" i="56"/>
  <c r="AG65" i="56" s="1"/>
  <c r="Y162" i="56" s="1"/>
  <c r="Y93" i="20" s="1"/>
  <c r="AN9" i="56"/>
  <c r="AN10" i="56"/>
  <c r="Z65" i="56"/>
  <c r="Y64" i="56"/>
  <c r="U161" i="56" s="1"/>
  <c r="U92" i="20" s="1"/>
  <c r="AN14" i="56"/>
  <c r="AP14" i="56" s="1"/>
  <c r="AN15" i="56"/>
  <c r="AP15" i="56" s="1"/>
  <c r="Z64" i="56"/>
  <c r="AN17" i="56"/>
  <c r="AP17" i="56" s="1"/>
  <c r="AN12" i="56"/>
  <c r="AP12" i="56" s="1"/>
  <c r="AN18" i="56"/>
  <c r="Z63" i="56"/>
  <c r="Y66" i="56"/>
  <c r="U163" i="56" s="1"/>
  <c r="U94" i="20" s="1"/>
  <c r="AO61" i="56"/>
  <c r="U10" i="56"/>
  <c r="U18" i="56"/>
  <c r="T159" i="56" s="1"/>
  <c r="T90" i="20" s="1"/>
  <c r="AN20" i="56"/>
  <c r="AP20" i="56" s="1"/>
  <c r="P62" i="56"/>
  <c r="P63" i="56" s="1"/>
  <c r="Q62" i="56"/>
  <c r="S60" i="56"/>
  <c r="U6" i="56"/>
  <c r="U7" i="56"/>
  <c r="U15" i="56"/>
  <c r="R62" i="56"/>
  <c r="R66" i="56" s="1"/>
  <c r="AH61" i="55"/>
  <c r="AN7" i="55"/>
  <c r="AP7" i="55" s="1"/>
  <c r="AN21" i="55"/>
  <c r="Y62" i="55"/>
  <c r="Y65" i="55" s="1"/>
  <c r="U162" i="55" s="1"/>
  <c r="U86" i="20" s="1"/>
  <c r="AN13" i="55"/>
  <c r="AP13" i="55" s="1"/>
  <c r="Z65" i="55"/>
  <c r="AM17" i="55"/>
  <c r="AP15" i="55"/>
  <c r="AL58" i="55"/>
  <c r="AN12" i="55"/>
  <c r="AP12" i="55" s="1"/>
  <c r="R62" i="55"/>
  <c r="R66" i="55" s="1"/>
  <c r="U15" i="55"/>
  <c r="U13" i="55"/>
  <c r="U9" i="55"/>
  <c r="T159" i="55" s="1"/>
  <c r="T83" i="20" s="1"/>
  <c r="AQ62" i="54"/>
  <c r="AQ66" i="54" s="1"/>
  <c r="AF163" i="54" s="1"/>
  <c r="AF80" i="20" s="1"/>
  <c r="AI65" i="54"/>
  <c r="V162" i="54" s="1"/>
  <c r="V79" i="20" s="1"/>
  <c r="AM9" i="54"/>
  <c r="AI64" i="54"/>
  <c r="V161" i="54" s="1"/>
  <c r="V78" i="20" s="1"/>
  <c r="AM14" i="54"/>
  <c r="AM19" i="54"/>
  <c r="AI63" i="54"/>
  <c r="V160" i="54" s="1"/>
  <c r="V77" i="20" s="1"/>
  <c r="AM18" i="54"/>
  <c r="AM7" i="54"/>
  <c r="AM17" i="54"/>
  <c r="AN11" i="54"/>
  <c r="AP11" i="54" s="1"/>
  <c r="AN12" i="54"/>
  <c r="AP12" i="54" s="1"/>
  <c r="AN20" i="54"/>
  <c r="AP20" i="54" s="1"/>
  <c r="Y65" i="54"/>
  <c r="U162" i="54" s="1"/>
  <c r="U79" i="20" s="1"/>
  <c r="AN18" i="54"/>
  <c r="AN19" i="54"/>
  <c r="AP19" i="54" s="1"/>
  <c r="AN17" i="54"/>
  <c r="AP17" i="54" s="1"/>
  <c r="Y64" i="54"/>
  <c r="U161" i="54" s="1"/>
  <c r="U78" i="20" s="1"/>
  <c r="AM16" i="54"/>
  <c r="AO61" i="54"/>
  <c r="P65" i="54"/>
  <c r="AL56" i="54"/>
  <c r="AA157" i="54" s="1"/>
  <c r="AA74" i="20" s="1"/>
  <c r="P64" i="54"/>
  <c r="K62" i="54"/>
  <c r="K66" i="54" s="1"/>
  <c r="N163" i="54" s="1"/>
  <c r="N80" i="20" s="1"/>
  <c r="Q62" i="54"/>
  <c r="Q63" i="54" s="1"/>
  <c r="AL59" i="54"/>
  <c r="U19" i="54"/>
  <c r="U61" i="54" s="1"/>
  <c r="U20" i="54"/>
  <c r="P66" i="54"/>
  <c r="AQ64" i="53"/>
  <c r="AF161" i="53" s="1"/>
  <c r="AF71" i="20" s="1"/>
  <c r="AQ62" i="53"/>
  <c r="AQ63" i="53" s="1"/>
  <c r="AF160" i="53" s="1"/>
  <c r="AF70" i="20" s="1"/>
  <c r="AM7" i="53"/>
  <c r="AM17" i="53"/>
  <c r="AI64" i="53"/>
  <c r="V161" i="53" s="1"/>
  <c r="V71" i="20" s="1"/>
  <c r="AM11" i="53"/>
  <c r="AM15" i="53"/>
  <c r="AM9" i="53"/>
  <c r="AI66" i="53"/>
  <c r="V163" i="53" s="1"/>
  <c r="V73" i="20" s="1"/>
  <c r="AH56" i="53"/>
  <c r="Z157" i="53" s="1"/>
  <c r="Z67" i="20" s="1"/>
  <c r="AN18" i="53"/>
  <c r="AN10" i="53"/>
  <c r="AP10" i="53" s="1"/>
  <c r="AN16" i="53"/>
  <c r="AP16" i="53" s="1"/>
  <c r="AC62" i="53"/>
  <c r="AC66" i="53" s="1"/>
  <c r="AN14" i="53"/>
  <c r="AP14" i="53" s="1"/>
  <c r="AN8" i="53"/>
  <c r="AP8" i="53" s="1"/>
  <c r="AN7" i="53"/>
  <c r="AP7" i="53" s="1"/>
  <c r="AC65" i="53"/>
  <c r="U10" i="53"/>
  <c r="AN21" i="53"/>
  <c r="AP21" i="53" s="1"/>
  <c r="E69" i="55"/>
  <c r="D56" i="55"/>
  <c r="E69" i="56"/>
  <c r="D56" i="56"/>
  <c r="E69" i="58"/>
  <c r="D56" i="58"/>
  <c r="C157" i="53"/>
  <c r="C67" i="20" s="1"/>
  <c r="D56" i="53"/>
  <c r="E69" i="57"/>
  <c r="D56" i="57"/>
  <c r="C69" i="54"/>
  <c r="C56" i="54"/>
  <c r="C69" i="53"/>
  <c r="C56" i="53"/>
  <c r="AA16" i="41"/>
  <c r="N18" i="41"/>
  <c r="Z19" i="41"/>
  <c r="L16" i="41"/>
  <c r="M15" i="41"/>
  <c r="W15" i="41"/>
  <c r="AE15" i="41"/>
  <c r="K17" i="41"/>
  <c r="S17" i="41"/>
  <c r="AA17" i="41"/>
  <c r="G18" i="41"/>
  <c r="W18" i="41"/>
  <c r="AE18" i="41"/>
  <c r="AM18" i="41"/>
  <c r="K19" i="41"/>
  <c r="S19" i="41"/>
  <c r="AA19" i="41"/>
  <c r="J157" i="63"/>
  <c r="J137" i="20" s="1"/>
  <c r="H137" i="20"/>
  <c r="K16" i="41"/>
  <c r="R17" i="41"/>
  <c r="R19" i="41"/>
  <c r="M16" i="41"/>
  <c r="U16" i="41"/>
  <c r="AC16" i="41"/>
  <c r="N15" i="41"/>
  <c r="X15" i="41"/>
  <c r="AF15" i="41"/>
  <c r="L17" i="41"/>
  <c r="T17" i="41"/>
  <c r="H18" i="41"/>
  <c r="P18" i="41"/>
  <c r="X18" i="41"/>
  <c r="AF18" i="41"/>
  <c r="L19" i="41"/>
  <c r="T19" i="41"/>
  <c r="J157" i="61"/>
  <c r="J123" i="20" s="1"/>
  <c r="H123" i="20"/>
  <c r="L157" i="62"/>
  <c r="L130" i="20" s="1"/>
  <c r="L131" i="20"/>
  <c r="S16" i="41"/>
  <c r="V15" i="41"/>
  <c r="Z17" i="41"/>
  <c r="F16" i="41"/>
  <c r="N16" i="41"/>
  <c r="V16" i="41"/>
  <c r="P15" i="41"/>
  <c r="Y15" i="41"/>
  <c r="M17" i="41"/>
  <c r="U17" i="41"/>
  <c r="AC17" i="41"/>
  <c r="I18" i="41"/>
  <c r="Y18" i="41"/>
  <c r="M19" i="41"/>
  <c r="U19" i="41"/>
  <c r="AC19" i="41"/>
  <c r="L15" i="41"/>
  <c r="V18" i="41"/>
  <c r="G16" i="41"/>
  <c r="W16" i="41"/>
  <c r="AE16" i="41"/>
  <c r="AM16" i="41"/>
  <c r="R15" i="41"/>
  <c r="Z15" i="41"/>
  <c r="F17" i="41"/>
  <c r="N17" i="41"/>
  <c r="V17" i="41"/>
  <c r="J18" i="41"/>
  <c r="R18" i="41"/>
  <c r="Z18" i="41"/>
  <c r="F19" i="41"/>
  <c r="N19" i="41"/>
  <c r="V19" i="41"/>
  <c r="J17" i="41"/>
  <c r="H16" i="41"/>
  <c r="P16" i="41"/>
  <c r="X16" i="41"/>
  <c r="AF16" i="41"/>
  <c r="F15" i="41"/>
  <c r="S15" i="41"/>
  <c r="AA15" i="41"/>
  <c r="G17" i="41"/>
  <c r="W17" i="41"/>
  <c r="AE17" i="41"/>
  <c r="AM17" i="41"/>
  <c r="K18" i="41"/>
  <c r="S18" i="41"/>
  <c r="AA18" i="41"/>
  <c r="G19" i="41"/>
  <c r="W19" i="41"/>
  <c r="AE19" i="41"/>
  <c r="AM19" i="41"/>
  <c r="J15" i="41"/>
  <c r="I16" i="41"/>
  <c r="H19" i="41"/>
  <c r="P19" i="41"/>
  <c r="X19" i="41"/>
  <c r="AF19" i="41"/>
  <c r="J157" i="62"/>
  <c r="J130" i="20" s="1"/>
  <c r="H130" i="20"/>
  <c r="I15" i="41"/>
  <c r="T15" i="41"/>
  <c r="H17" i="41"/>
  <c r="P17" i="41"/>
  <c r="X17" i="41"/>
  <c r="L18" i="41"/>
  <c r="T18" i="41"/>
  <c r="J16" i="41"/>
  <c r="R16" i="41"/>
  <c r="Z16" i="41"/>
  <c r="K15" i="41"/>
  <c r="U15" i="41"/>
  <c r="I17" i="41"/>
  <c r="Y17" i="41"/>
  <c r="M18" i="41"/>
  <c r="U18" i="41"/>
  <c r="AC18" i="41"/>
  <c r="I19" i="41"/>
  <c r="Q19" i="41"/>
  <c r="Y19" i="41"/>
  <c r="AA20" i="41"/>
  <c r="S20" i="41"/>
  <c r="K20" i="41"/>
  <c r="Z20" i="41"/>
  <c r="R20" i="41"/>
  <c r="J20" i="41"/>
  <c r="H20" i="41"/>
  <c r="AB20" i="41"/>
  <c r="Y20" i="41"/>
  <c r="I20" i="41"/>
  <c r="G20" i="41"/>
  <c r="AF20" i="41"/>
  <c r="X20" i="41"/>
  <c r="P20" i="41"/>
  <c r="AM20" i="41"/>
  <c r="AE20" i="41"/>
  <c r="W20" i="41"/>
  <c r="L20" i="41"/>
  <c r="AD20" i="41"/>
  <c r="V20" i="41"/>
  <c r="N20" i="41"/>
  <c r="F20" i="41"/>
  <c r="AC20" i="41"/>
  <c r="U20" i="41"/>
  <c r="M20" i="41"/>
  <c r="H15" i="41"/>
  <c r="G15" i="41"/>
  <c r="K62" i="53"/>
  <c r="K63" i="53" s="1"/>
  <c r="N160" i="53" s="1"/>
  <c r="N70" i="20" s="1"/>
  <c r="G157" i="58"/>
  <c r="G102" i="20" s="1"/>
  <c r="E56" i="58"/>
  <c r="G157" i="57"/>
  <c r="G95" i="20" s="1"/>
  <c r="E56" i="57"/>
  <c r="G157" i="53"/>
  <c r="G67" i="20" s="1"/>
  <c r="E56" i="53"/>
  <c r="G157" i="54"/>
  <c r="G74" i="20" s="1"/>
  <c r="E56" i="54"/>
  <c r="G157" i="55"/>
  <c r="G81" i="20" s="1"/>
  <c r="E56" i="55"/>
  <c r="G157" i="56"/>
  <c r="G88" i="20" s="1"/>
  <c r="E56" i="56"/>
  <c r="M66" i="63"/>
  <c r="V66" i="63"/>
  <c r="P163" i="63" s="1"/>
  <c r="P143" i="20" s="1"/>
  <c r="O64" i="63"/>
  <c r="AQ65" i="63"/>
  <c r="AF162" i="63" s="1"/>
  <c r="AF142" i="20" s="1"/>
  <c r="AD63" i="63"/>
  <c r="N65" i="63"/>
  <c r="O66" i="63"/>
  <c r="AK66" i="63"/>
  <c r="AI66" i="63"/>
  <c r="V163" i="63" s="1"/>
  <c r="V143" i="20" s="1"/>
  <c r="AD65" i="63"/>
  <c r="L66" i="63"/>
  <c r="O163" i="63" s="1"/>
  <c r="O143" i="20" s="1"/>
  <c r="W63" i="63"/>
  <c r="Q160" i="63" s="1"/>
  <c r="Q140" i="20" s="1"/>
  <c r="AA65" i="63"/>
  <c r="T63" i="63"/>
  <c r="S160" i="63" s="1"/>
  <c r="S140" i="20" s="1"/>
  <c r="AE64" i="63"/>
  <c r="W65" i="63"/>
  <c r="Q162" i="63" s="1"/>
  <c r="Q142" i="20" s="1"/>
  <c r="N66" i="63"/>
  <c r="T65" i="63"/>
  <c r="S162" i="63" s="1"/>
  <c r="S142" i="20" s="1"/>
  <c r="AC65" i="63"/>
  <c r="AD66" i="63"/>
  <c r="M63" i="63"/>
  <c r="AB66" i="63"/>
  <c r="K63" i="63"/>
  <c r="N160" i="63" s="1"/>
  <c r="N140" i="20" s="1"/>
  <c r="AM61" i="63"/>
  <c r="AM56" i="63"/>
  <c r="AM60" i="63"/>
  <c r="AM59" i="63"/>
  <c r="AM58" i="63"/>
  <c r="AN61" i="63"/>
  <c r="AN60" i="63"/>
  <c r="AN59" i="63"/>
  <c r="AN58" i="63"/>
  <c r="AN56" i="63"/>
  <c r="AP6" i="63"/>
  <c r="AH62" i="63"/>
  <c r="AH66" i="63" s="1"/>
  <c r="Z163" i="63" s="1"/>
  <c r="Z143" i="20" s="1"/>
  <c r="AB159" i="63"/>
  <c r="AB139" i="20" s="1"/>
  <c r="AE65" i="63"/>
  <c r="AQ64" i="63"/>
  <c r="AF161" i="63" s="1"/>
  <c r="AF141" i="20" s="1"/>
  <c r="AK64" i="63"/>
  <c r="T66" i="63"/>
  <c r="S163" i="63" s="1"/>
  <c r="S143" i="20" s="1"/>
  <c r="AI64" i="63"/>
  <c r="V161" i="63" s="1"/>
  <c r="V141" i="20" s="1"/>
  <c r="AQ66" i="63"/>
  <c r="AF163" i="63" s="1"/>
  <c r="AF143" i="20" s="1"/>
  <c r="M158" i="63"/>
  <c r="K157" i="63"/>
  <c r="K137" i="20" s="1"/>
  <c r="AF64" i="63"/>
  <c r="X161" i="63" s="1"/>
  <c r="X141" i="20" s="1"/>
  <c r="AF62" i="63"/>
  <c r="AF66" i="63" s="1"/>
  <c r="X163" i="63" s="1"/>
  <c r="X143" i="20" s="1"/>
  <c r="V65" i="63"/>
  <c r="P162" i="63" s="1"/>
  <c r="P142" i="20" s="1"/>
  <c r="AB64" i="63"/>
  <c r="K66" i="63"/>
  <c r="N163" i="63" s="1"/>
  <c r="N143" i="20" s="1"/>
  <c r="X62" i="63"/>
  <c r="X66" i="63" s="1"/>
  <c r="X63" i="63"/>
  <c r="AO62" i="63"/>
  <c r="AO66" i="63" s="1"/>
  <c r="AD163" i="63" s="1"/>
  <c r="AD143" i="20" s="1"/>
  <c r="AL62" i="63"/>
  <c r="AL63" i="63" s="1"/>
  <c r="AA160" i="63" s="1"/>
  <c r="AA140" i="20" s="1"/>
  <c r="AB65" i="63"/>
  <c r="X64" i="63"/>
  <c r="S62" i="63"/>
  <c r="S65" i="63" s="1"/>
  <c r="R162" i="63" s="1"/>
  <c r="R142" i="20" s="1"/>
  <c r="L157" i="63"/>
  <c r="L137" i="20" s="1"/>
  <c r="V63" i="63"/>
  <c r="P160" i="63" s="1"/>
  <c r="P140" i="20" s="1"/>
  <c r="X65" i="63"/>
  <c r="R64" i="62"/>
  <c r="T66" i="62"/>
  <c r="S163" i="62" s="1"/>
  <c r="S136" i="20" s="1"/>
  <c r="Z63" i="62"/>
  <c r="AI66" i="62"/>
  <c r="V163" i="62" s="1"/>
  <c r="V136" i="20" s="1"/>
  <c r="K64" i="62"/>
  <c r="N161" i="62" s="1"/>
  <c r="N134" i="20" s="1"/>
  <c r="AH60" i="62"/>
  <c r="AQ63" i="62"/>
  <c r="AF160" i="62" s="1"/>
  <c r="AF133" i="20" s="1"/>
  <c r="V66" i="62"/>
  <c r="P163" i="62" s="1"/>
  <c r="P136" i="20" s="1"/>
  <c r="M158" i="62"/>
  <c r="K157" i="62"/>
  <c r="K130" i="20" s="1"/>
  <c r="K66" i="62"/>
  <c r="N163" i="62" s="1"/>
  <c r="N136" i="20" s="1"/>
  <c r="AQ66" i="62"/>
  <c r="AF163" i="62" s="1"/>
  <c r="AF136" i="20" s="1"/>
  <c r="AI63" i="62"/>
  <c r="V160" i="62" s="1"/>
  <c r="V133" i="20" s="1"/>
  <c r="AJ66" i="62"/>
  <c r="W163" i="62" s="1"/>
  <c r="W136" i="20" s="1"/>
  <c r="M63" i="62"/>
  <c r="Z66" i="62"/>
  <c r="AL62" i="62"/>
  <c r="AL64" i="62" s="1"/>
  <c r="AA161" i="62" s="1"/>
  <c r="AA134" i="20" s="1"/>
  <c r="L66" i="62"/>
  <c r="O163" i="62" s="1"/>
  <c r="O136" i="20" s="1"/>
  <c r="AB65" i="62"/>
  <c r="AC66" i="62"/>
  <c r="AB66" i="62"/>
  <c r="AA66" i="62"/>
  <c r="AC63" i="62"/>
  <c r="AC65" i="62"/>
  <c r="R65" i="62"/>
  <c r="AJ65" i="62"/>
  <c r="W162" i="62" s="1"/>
  <c r="W135" i="20" s="1"/>
  <c r="AP6" i="62"/>
  <c r="N65" i="62"/>
  <c r="AH59" i="62"/>
  <c r="AM61" i="62"/>
  <c r="AM60" i="62"/>
  <c r="AM59" i="62"/>
  <c r="AM58" i="62"/>
  <c r="AM56" i="62"/>
  <c r="M66" i="62"/>
  <c r="AQ64" i="62"/>
  <c r="AF161" i="62" s="1"/>
  <c r="AF134" i="20" s="1"/>
  <c r="Z65" i="62"/>
  <c r="AI65" i="62"/>
  <c r="V162" i="62" s="1"/>
  <c r="V135" i="20" s="1"/>
  <c r="V64" i="62"/>
  <c r="P161" i="62" s="1"/>
  <c r="P134" i="20" s="1"/>
  <c r="AK62" i="62"/>
  <c r="AK63" i="62" s="1"/>
  <c r="S62" i="62"/>
  <c r="S64" i="62" s="1"/>
  <c r="R161" i="62" s="1"/>
  <c r="R134" i="20" s="1"/>
  <c r="AF62" i="62"/>
  <c r="AF63" i="62" s="1"/>
  <c r="X160" i="62" s="1"/>
  <c r="X133" i="20" s="1"/>
  <c r="V65" i="62"/>
  <c r="P162" i="62" s="1"/>
  <c r="P135" i="20" s="1"/>
  <c r="K63" i="62"/>
  <c r="N160" i="62" s="1"/>
  <c r="N133" i="20" s="1"/>
  <c r="AD65" i="62"/>
  <c r="AA64" i="62"/>
  <c r="AA65" i="62"/>
  <c r="AO62" i="62"/>
  <c r="AO64" i="62" s="1"/>
  <c r="AD161" i="62" s="1"/>
  <c r="AD134" i="20" s="1"/>
  <c r="L64" i="62"/>
  <c r="O161" i="62" s="1"/>
  <c r="O134" i="20" s="1"/>
  <c r="AN61" i="62"/>
  <c r="AN60" i="62"/>
  <c r="AN59" i="62"/>
  <c r="AN58" i="62"/>
  <c r="AN56" i="62"/>
  <c r="AF65" i="62"/>
  <c r="X162" i="62" s="1"/>
  <c r="X135" i="20" s="1"/>
  <c r="AF64" i="62"/>
  <c r="X161" i="62" s="1"/>
  <c r="X134" i="20" s="1"/>
  <c r="X62" i="62"/>
  <c r="X63" i="62" s="1"/>
  <c r="AJ64" i="62"/>
  <c r="W161" i="62" s="1"/>
  <c r="W134" i="20" s="1"/>
  <c r="AD63" i="62"/>
  <c r="U62" i="62"/>
  <c r="U63" i="62" s="1"/>
  <c r="T160" i="62" s="1"/>
  <c r="T133" i="20" s="1"/>
  <c r="X65" i="62"/>
  <c r="AD64" i="62"/>
  <c r="L65" i="62"/>
  <c r="O162" i="62" s="1"/>
  <c r="O135" i="20" s="1"/>
  <c r="AF66" i="62"/>
  <c r="X163" i="62" s="1"/>
  <c r="X136" i="20" s="1"/>
  <c r="M63" i="61"/>
  <c r="M65" i="61"/>
  <c r="AC64" i="61"/>
  <c r="AC65" i="61"/>
  <c r="O64" i="61"/>
  <c r="AN61" i="61"/>
  <c r="AN60" i="61"/>
  <c r="AN59" i="61"/>
  <c r="AN58" i="61"/>
  <c r="AN56" i="61"/>
  <c r="AP6" i="61"/>
  <c r="AE158" i="61" s="1"/>
  <c r="AE124" i="20" s="1"/>
  <c r="AH64" i="61"/>
  <c r="Z161" i="61" s="1"/>
  <c r="Z127" i="20" s="1"/>
  <c r="AH62" i="61"/>
  <c r="AH63" i="61" s="1"/>
  <c r="Z160" i="61" s="1"/>
  <c r="Z126" i="20" s="1"/>
  <c r="AL65" i="61"/>
  <c r="AA162" i="61" s="1"/>
  <c r="AA128" i="20" s="1"/>
  <c r="AM61" i="61"/>
  <c r="AM60" i="61"/>
  <c r="AM59" i="61"/>
  <c r="AM58" i="61"/>
  <c r="AM56" i="61"/>
  <c r="AE64" i="61"/>
  <c r="T64" i="61"/>
  <c r="S161" i="61" s="1"/>
  <c r="S127" i="20" s="1"/>
  <c r="AJ64" i="61"/>
  <c r="W161" i="61" s="1"/>
  <c r="W127" i="20" s="1"/>
  <c r="AJ65" i="61"/>
  <c r="W162" i="61" s="1"/>
  <c r="W128" i="20" s="1"/>
  <c r="S62" i="61"/>
  <c r="S65" i="61" s="1"/>
  <c r="R162" i="61" s="1"/>
  <c r="R128" i="20" s="1"/>
  <c r="AF62" i="61"/>
  <c r="AF66" i="61" s="1"/>
  <c r="X163" i="61" s="1"/>
  <c r="X129" i="20" s="1"/>
  <c r="M64" i="61"/>
  <c r="AD63" i="61"/>
  <c r="K64" i="61"/>
  <c r="N161" i="61" s="1"/>
  <c r="N127" i="20" s="1"/>
  <c r="AB64" i="61"/>
  <c r="AC66" i="61"/>
  <c r="AH66" i="61"/>
  <c r="Z163" i="61" s="1"/>
  <c r="Z129" i="20" s="1"/>
  <c r="M158" i="61"/>
  <c r="K157" i="61"/>
  <c r="K123" i="20" s="1"/>
  <c r="AL66" i="61"/>
  <c r="AA163" i="61" s="1"/>
  <c r="AA129" i="20" s="1"/>
  <c r="AK65" i="61"/>
  <c r="AE63" i="61"/>
  <c r="L157" i="61"/>
  <c r="L123" i="20" s="1"/>
  <c r="T63" i="61"/>
  <c r="S160" i="61" s="1"/>
  <c r="S126" i="20" s="1"/>
  <c r="AE66" i="61"/>
  <c r="AK62" i="61"/>
  <c r="AK63" i="61" s="1"/>
  <c r="T65" i="61"/>
  <c r="S162" i="61" s="1"/>
  <c r="S128" i="20" s="1"/>
  <c r="AA65" i="61"/>
  <c r="W64" i="61"/>
  <c r="Q161" i="61" s="1"/>
  <c r="Q127" i="20" s="1"/>
  <c r="K63" i="61"/>
  <c r="N160" i="61" s="1"/>
  <c r="N126" i="20" s="1"/>
  <c r="V66" i="61"/>
  <c r="P163" i="61" s="1"/>
  <c r="P129" i="20" s="1"/>
  <c r="AB63" i="61"/>
  <c r="AJ63" i="61"/>
  <c r="W160" i="61" s="1"/>
  <c r="W126" i="20" s="1"/>
  <c r="AQ66" i="61"/>
  <c r="AF163" i="61" s="1"/>
  <c r="AF129" i="20" s="1"/>
  <c r="N63" i="61"/>
  <c r="AO62" i="61"/>
  <c r="AO65" i="61" s="1"/>
  <c r="AD162" i="61" s="1"/>
  <c r="AD128" i="20" s="1"/>
  <c r="AO63" i="61"/>
  <c r="AD160" i="61" s="1"/>
  <c r="AD126" i="20" s="1"/>
  <c r="AL64" i="61"/>
  <c r="AA161" i="61" s="1"/>
  <c r="AA127" i="20" s="1"/>
  <c r="O66" i="61"/>
  <c r="AA66" i="61"/>
  <c r="L66" i="61"/>
  <c r="O163" i="61" s="1"/>
  <c r="O129" i="20" s="1"/>
  <c r="L65" i="61"/>
  <c r="O162" i="61" s="1"/>
  <c r="O128" i="20" s="1"/>
  <c r="X62" i="61"/>
  <c r="X64" i="61" s="1"/>
  <c r="X63" i="61"/>
  <c r="L63" i="61"/>
  <c r="O160" i="61" s="1"/>
  <c r="O126" i="20" s="1"/>
  <c r="AD65" i="61"/>
  <c r="AA64" i="61"/>
  <c r="AQ65" i="61"/>
  <c r="AF162" i="61" s="1"/>
  <c r="AF128" i="20" s="1"/>
  <c r="O63" i="61"/>
  <c r="AB65" i="61"/>
  <c r="S62" i="60"/>
  <c r="S63" i="60" s="1"/>
  <c r="R160" i="60" s="1"/>
  <c r="R119" i="20" s="1"/>
  <c r="W63" i="60"/>
  <c r="Q160" i="60" s="1"/>
  <c r="Q119" i="20" s="1"/>
  <c r="AE63" i="60"/>
  <c r="L64" i="60"/>
  <c r="O161" i="60" s="1"/>
  <c r="O120" i="20" s="1"/>
  <c r="L65" i="60"/>
  <c r="O162" i="60" s="1"/>
  <c r="O121" i="20" s="1"/>
  <c r="AH61" i="60"/>
  <c r="AH60" i="60"/>
  <c r="AH59" i="60"/>
  <c r="AH58" i="60"/>
  <c r="AH56" i="60"/>
  <c r="Z159" i="60"/>
  <c r="Z118" i="20" s="1"/>
  <c r="T66" i="60"/>
  <c r="S163" i="60" s="1"/>
  <c r="S122" i="20" s="1"/>
  <c r="R65" i="60"/>
  <c r="AN61" i="60"/>
  <c r="AN60" i="60"/>
  <c r="AN59" i="60"/>
  <c r="AN58" i="60"/>
  <c r="AN56" i="60"/>
  <c r="U61" i="60"/>
  <c r="M63" i="60"/>
  <c r="N66" i="60"/>
  <c r="V63" i="60"/>
  <c r="P160" i="60" s="1"/>
  <c r="P119" i="20" s="1"/>
  <c r="AD63" i="60"/>
  <c r="AD64" i="60"/>
  <c r="AF62" i="60"/>
  <c r="AF64" i="60" s="1"/>
  <c r="X161" i="60" s="1"/>
  <c r="X120" i="20" s="1"/>
  <c r="AC64" i="60"/>
  <c r="AB64" i="60"/>
  <c r="AJ63" i="60"/>
  <c r="W160" i="60" s="1"/>
  <c r="W119" i="20" s="1"/>
  <c r="U59" i="60"/>
  <c r="AP6" i="60"/>
  <c r="O66" i="60"/>
  <c r="L63" i="60"/>
  <c r="O160" i="60" s="1"/>
  <c r="O119" i="20" s="1"/>
  <c r="R64" i="60"/>
  <c r="Z63" i="60"/>
  <c r="X62" i="60"/>
  <c r="X65" i="60" s="1"/>
  <c r="L157" i="60"/>
  <c r="L116" i="20" s="1"/>
  <c r="AL62" i="60"/>
  <c r="AL64" i="60" s="1"/>
  <c r="AA161" i="60" s="1"/>
  <c r="AA120" i="20" s="1"/>
  <c r="W65" i="60"/>
  <c r="Q162" i="60" s="1"/>
  <c r="Q121" i="20" s="1"/>
  <c r="AC158" i="60"/>
  <c r="AC117" i="20" s="1"/>
  <c r="AP7" i="60"/>
  <c r="AE158" i="60" s="1"/>
  <c r="AE117" i="20" s="1"/>
  <c r="W66" i="60"/>
  <c r="Q163" i="60" s="1"/>
  <c r="Q122" i="20" s="1"/>
  <c r="X66" i="60"/>
  <c r="O65" i="60"/>
  <c r="N65" i="60"/>
  <c r="M66" i="60"/>
  <c r="AE66" i="60"/>
  <c r="AC63" i="60"/>
  <c r="U58" i="60"/>
  <c r="O63" i="60"/>
  <c r="J157" i="60"/>
  <c r="J116" i="20" s="1"/>
  <c r="AE65" i="60"/>
  <c r="V66" i="60"/>
  <c r="P163" i="60" s="1"/>
  <c r="P122" i="20" s="1"/>
  <c r="R63" i="60"/>
  <c r="AC66" i="60"/>
  <c r="M158" i="60"/>
  <c r="K157" i="60"/>
  <c r="K116" i="20" s="1"/>
  <c r="M64" i="60"/>
  <c r="V65" i="60"/>
  <c r="P162" i="60" s="1"/>
  <c r="P121" i="20" s="1"/>
  <c r="AM61" i="60"/>
  <c r="AM60" i="60"/>
  <c r="AM59" i="60"/>
  <c r="AM56" i="60"/>
  <c r="AM58" i="60"/>
  <c r="AO62" i="60"/>
  <c r="AO64" i="60" s="1"/>
  <c r="AD161" i="60" s="1"/>
  <c r="AD120" i="20" s="1"/>
  <c r="AK62" i="60"/>
  <c r="AK65" i="60" s="1"/>
  <c r="AD65" i="60"/>
  <c r="AN61" i="59"/>
  <c r="AN60" i="59"/>
  <c r="AN59" i="59"/>
  <c r="AN58" i="59"/>
  <c r="AN56" i="59"/>
  <c r="AP6" i="59"/>
  <c r="AE158" i="59" s="1"/>
  <c r="AE110" i="20" s="1"/>
  <c r="M64" i="59"/>
  <c r="U56" i="59"/>
  <c r="T64" i="59"/>
  <c r="S161" i="59" s="1"/>
  <c r="S113" i="20" s="1"/>
  <c r="M158" i="59"/>
  <c r="M110" i="20" s="1"/>
  <c r="K157" i="59"/>
  <c r="K109" i="20" s="1"/>
  <c r="AQ64" i="59"/>
  <c r="AF161" i="59" s="1"/>
  <c r="AF113" i="20" s="1"/>
  <c r="AA65" i="59"/>
  <c r="AA66" i="59"/>
  <c r="S62" i="59"/>
  <c r="S65" i="59" s="1"/>
  <c r="R162" i="59" s="1"/>
  <c r="R114" i="20" s="1"/>
  <c r="L66" i="59"/>
  <c r="O163" i="59" s="1"/>
  <c r="O115" i="20" s="1"/>
  <c r="L65" i="59"/>
  <c r="O162" i="59" s="1"/>
  <c r="O114" i="20" s="1"/>
  <c r="L157" i="59"/>
  <c r="L109" i="20" s="1"/>
  <c r="AK63" i="59"/>
  <c r="AK62" i="59"/>
  <c r="AK64" i="59" s="1"/>
  <c r="J157" i="59"/>
  <c r="J109" i="20" s="1"/>
  <c r="AB64" i="59"/>
  <c r="K66" i="59"/>
  <c r="N163" i="59" s="1"/>
  <c r="N115" i="20" s="1"/>
  <c r="X62" i="59"/>
  <c r="X64" i="59" s="1"/>
  <c r="X63" i="59"/>
  <c r="V63" i="59"/>
  <c r="P160" i="59" s="1"/>
  <c r="P112" i="20" s="1"/>
  <c r="AD63" i="59"/>
  <c r="AJ64" i="59"/>
  <c r="W161" i="59" s="1"/>
  <c r="W113" i="20" s="1"/>
  <c r="T65" i="59"/>
  <c r="S162" i="59" s="1"/>
  <c r="S114" i="20" s="1"/>
  <c r="AF62" i="59"/>
  <c r="AF63" i="59" s="1"/>
  <c r="X160" i="59" s="1"/>
  <c r="X112" i="20" s="1"/>
  <c r="L63" i="59"/>
  <c r="O160" i="59" s="1"/>
  <c r="O112" i="20" s="1"/>
  <c r="T63" i="59"/>
  <c r="S160" i="59" s="1"/>
  <c r="S112" i="20" s="1"/>
  <c r="V66" i="59"/>
  <c r="P163" i="59" s="1"/>
  <c r="P115" i="20" s="1"/>
  <c r="AC159" i="59"/>
  <c r="AC111" i="20" s="1"/>
  <c r="AB63" i="59"/>
  <c r="X65" i="59"/>
  <c r="AL62" i="59"/>
  <c r="AL63" i="59" s="1"/>
  <c r="AA160" i="59" s="1"/>
  <c r="AA112" i="20" s="1"/>
  <c r="AH62" i="59"/>
  <c r="AH63" i="59" s="1"/>
  <c r="Z160" i="59" s="1"/>
  <c r="Z112" i="20" s="1"/>
  <c r="M66" i="59"/>
  <c r="AM61" i="59"/>
  <c r="AM60" i="59"/>
  <c r="AM59" i="59"/>
  <c r="AM58" i="59"/>
  <c r="AM56" i="59"/>
  <c r="M63" i="59"/>
  <c r="AH64" i="59"/>
  <c r="Z161" i="59" s="1"/>
  <c r="Z113" i="20" s="1"/>
  <c r="AD65" i="59"/>
  <c r="T159" i="59"/>
  <c r="T111" i="20" s="1"/>
  <c r="AJ63" i="59"/>
  <c r="W160" i="59" s="1"/>
  <c r="W112" i="20" s="1"/>
  <c r="X66" i="59"/>
  <c r="AB65" i="59"/>
  <c r="AO62" i="59"/>
  <c r="AO63" i="59" s="1"/>
  <c r="AD160" i="59" s="1"/>
  <c r="AD112" i="20" s="1"/>
  <c r="V65" i="59"/>
  <c r="P162" i="59" s="1"/>
  <c r="P114" i="20" s="1"/>
  <c r="AK65" i="59"/>
  <c r="K65" i="59"/>
  <c r="N162" i="59" s="1"/>
  <c r="N114" i="20" s="1"/>
  <c r="AD66" i="59"/>
  <c r="AJ65" i="59"/>
  <c r="W162" i="59" s="1"/>
  <c r="W114" i="20" s="1"/>
  <c r="B157" i="58"/>
  <c r="B102" i="20" s="1"/>
  <c r="C69" i="58"/>
  <c r="X61" i="58"/>
  <c r="AM6" i="58"/>
  <c r="X60" i="58"/>
  <c r="X59" i="58"/>
  <c r="X58" i="58"/>
  <c r="X56" i="58"/>
  <c r="T20" i="41" s="1"/>
  <c r="AP8" i="58"/>
  <c r="AP24" i="58"/>
  <c r="AF61" i="58"/>
  <c r="AN28" i="58"/>
  <c r="AP28" i="58" s="1"/>
  <c r="AF159" i="58"/>
  <c r="AF104" i="20" s="1"/>
  <c r="AH61" i="58"/>
  <c r="AP47" i="58"/>
  <c r="W66" i="58"/>
  <c r="Q163" i="58" s="1"/>
  <c r="Q108" i="20" s="1"/>
  <c r="AK58" i="58"/>
  <c r="AP31" i="58"/>
  <c r="P63" i="58"/>
  <c r="P64" i="58"/>
  <c r="AL56" i="58"/>
  <c r="AA157" i="58" s="1"/>
  <c r="AA102" i="20" s="1"/>
  <c r="T158" i="58"/>
  <c r="T103" i="20" s="1"/>
  <c r="L158" i="58"/>
  <c r="L103" i="20" s="1"/>
  <c r="Y159" i="58"/>
  <c r="Y104" i="20" s="1"/>
  <c r="Q159" i="58"/>
  <c r="Q104" i="20" s="1"/>
  <c r="AL58" i="58"/>
  <c r="S61" i="58"/>
  <c r="U12" i="58"/>
  <c r="AP32" i="58"/>
  <c r="W65" i="58"/>
  <c r="Q162" i="58" s="1"/>
  <c r="Q107" i="20" s="1"/>
  <c r="AO61" i="58"/>
  <c r="AN20" i="58"/>
  <c r="AP20" i="58" s="1"/>
  <c r="AE64" i="58"/>
  <c r="P66" i="58"/>
  <c r="S60" i="58"/>
  <c r="AB158" i="58"/>
  <c r="AB103" i="20" s="1"/>
  <c r="W64" i="58"/>
  <c r="Q161" i="58" s="1"/>
  <c r="Q106" i="20" s="1"/>
  <c r="AK59" i="58"/>
  <c r="AM13" i="58"/>
  <c r="AP39" i="58"/>
  <c r="AP40" i="58"/>
  <c r="AP41" i="58"/>
  <c r="AP55" i="58"/>
  <c r="AA65" i="58"/>
  <c r="AN36" i="58"/>
  <c r="AP36" i="58" s="1"/>
  <c r="U44" i="58"/>
  <c r="U52" i="58"/>
  <c r="U61" i="58" s="1"/>
  <c r="AF56" i="58"/>
  <c r="X157" i="58" s="1"/>
  <c r="X102" i="20" s="1"/>
  <c r="AL59" i="58"/>
  <c r="AK60" i="58"/>
  <c r="K62" i="58"/>
  <c r="K65" i="58" s="1"/>
  <c r="N162" i="58" s="1"/>
  <c r="N107" i="20" s="1"/>
  <c r="AA62" i="58"/>
  <c r="AA63" i="58" s="1"/>
  <c r="AI62" i="58"/>
  <c r="AI66" i="58" s="1"/>
  <c r="V163" i="58" s="1"/>
  <c r="V108" i="20" s="1"/>
  <c r="AQ62" i="58"/>
  <c r="AQ63" i="58" s="1"/>
  <c r="AF160" i="58" s="1"/>
  <c r="AF105" i="20" s="1"/>
  <c r="C157" i="58"/>
  <c r="C102" i="20" s="1"/>
  <c r="U158" i="58"/>
  <c r="U103" i="20" s="1"/>
  <c r="R159" i="58"/>
  <c r="R104" i="20" s="1"/>
  <c r="Z159" i="58"/>
  <c r="Z104" i="20" s="1"/>
  <c r="AN10" i="58"/>
  <c r="AP10" i="58" s="1"/>
  <c r="AN18" i="58"/>
  <c r="AP18" i="58" s="1"/>
  <c r="AN26" i="58"/>
  <c r="AP26" i="58" s="1"/>
  <c r="AN34" i="58"/>
  <c r="AP34" i="58" s="1"/>
  <c r="AN42" i="58"/>
  <c r="AP42" i="58" s="1"/>
  <c r="AN50" i="58"/>
  <c r="AP50" i="58" s="1"/>
  <c r="AO56" i="58"/>
  <c r="AD157" i="58" s="1"/>
  <c r="AD102" i="20" s="1"/>
  <c r="AF58" i="58"/>
  <c r="AL60" i="58"/>
  <c r="AK61" i="58"/>
  <c r="L62" i="58"/>
  <c r="L66" i="58" s="1"/>
  <c r="O163" i="58" s="1"/>
  <c r="O108" i="20" s="1"/>
  <c r="T62" i="58"/>
  <c r="T66" i="58" s="1"/>
  <c r="S163" i="58" s="1"/>
  <c r="S108" i="20" s="1"/>
  <c r="AB62" i="58"/>
  <c r="AB66" i="58" s="1"/>
  <c r="AJ62" i="58"/>
  <c r="AJ66" i="58" s="1"/>
  <c r="W163" i="58" s="1"/>
  <c r="W108" i="20" s="1"/>
  <c r="R63" i="58"/>
  <c r="Z63" i="58"/>
  <c r="D157" i="58"/>
  <c r="D102" i="20" s="1"/>
  <c r="N158" i="58"/>
  <c r="N103" i="20" s="1"/>
  <c r="V158" i="58"/>
  <c r="V103" i="20" s="1"/>
  <c r="AD158" i="58"/>
  <c r="AD103" i="20" s="1"/>
  <c r="S159" i="58"/>
  <c r="S104" i="20" s="1"/>
  <c r="AA159" i="58"/>
  <c r="AA104" i="20" s="1"/>
  <c r="AN13" i="58"/>
  <c r="AP13" i="58" s="1"/>
  <c r="AN21" i="58"/>
  <c r="AP21" i="58" s="1"/>
  <c r="AN29" i="58"/>
  <c r="AP29" i="58" s="1"/>
  <c r="AN37" i="58"/>
  <c r="AP37" i="58" s="1"/>
  <c r="AN45" i="58"/>
  <c r="AP45" i="58" s="1"/>
  <c r="AH56" i="58"/>
  <c r="Z157" i="58" s="1"/>
  <c r="Z102" i="20" s="1"/>
  <c r="AO58" i="58"/>
  <c r="AF59" i="58"/>
  <c r="AL61" i="58"/>
  <c r="M62" i="58"/>
  <c r="M63" i="58" s="1"/>
  <c r="AC62" i="58"/>
  <c r="AC64" i="58" s="1"/>
  <c r="E157" i="58"/>
  <c r="E102" i="20" s="1"/>
  <c r="O158" i="58"/>
  <c r="O103" i="20" s="1"/>
  <c r="W158" i="58"/>
  <c r="W103" i="20" s="1"/>
  <c r="T159" i="58"/>
  <c r="T104" i="20" s="1"/>
  <c r="AB159" i="58"/>
  <c r="AB104" i="20" s="1"/>
  <c r="S56" i="58"/>
  <c r="R157" i="58" s="1"/>
  <c r="R102" i="20" s="1"/>
  <c r="AH58" i="58"/>
  <c r="AO59" i="58"/>
  <c r="AF60" i="58"/>
  <c r="N62" i="58"/>
  <c r="N64" i="58" s="1"/>
  <c r="V62" i="58"/>
  <c r="V64" i="58" s="1"/>
  <c r="P161" i="58" s="1"/>
  <c r="P106" i="20" s="1"/>
  <c r="AD62" i="58"/>
  <c r="AD64" i="58" s="1"/>
  <c r="H69" i="58"/>
  <c r="F157" i="58"/>
  <c r="F102" i="20" s="1"/>
  <c r="P158" i="58"/>
  <c r="P103" i="20" s="1"/>
  <c r="X158" i="58"/>
  <c r="X103" i="20" s="1"/>
  <c r="AF158" i="58"/>
  <c r="AF103" i="20" s="1"/>
  <c r="U159" i="58"/>
  <c r="U104" i="20" s="1"/>
  <c r="AN11" i="58"/>
  <c r="AP11" i="58" s="1"/>
  <c r="AN19" i="58"/>
  <c r="AP19" i="58" s="1"/>
  <c r="AN27" i="58"/>
  <c r="AP27" i="58" s="1"/>
  <c r="AN35" i="58"/>
  <c r="AP35" i="58" s="1"/>
  <c r="AN43" i="58"/>
  <c r="AP43" i="58" s="1"/>
  <c r="AN51" i="58"/>
  <c r="AP51" i="58" s="1"/>
  <c r="S58" i="58"/>
  <c r="AH59" i="58"/>
  <c r="AO60" i="58"/>
  <c r="Q158" i="58"/>
  <c r="Q103" i="20" s="1"/>
  <c r="Y158" i="58"/>
  <c r="Y103" i="20" s="1"/>
  <c r="N159" i="58"/>
  <c r="N104" i="20" s="1"/>
  <c r="V159" i="58"/>
  <c r="V104" i="20" s="1"/>
  <c r="AD159" i="58"/>
  <c r="AD104" i="20" s="1"/>
  <c r="AN6" i="58"/>
  <c r="AK56" i="58"/>
  <c r="AG20" i="41" s="1"/>
  <c r="S59" i="58"/>
  <c r="AH60" i="58"/>
  <c r="H157" i="58"/>
  <c r="H102" i="20" s="1"/>
  <c r="R158" i="58"/>
  <c r="R103" i="20" s="1"/>
  <c r="Z158" i="58"/>
  <c r="Z103" i="20" s="1"/>
  <c r="O159" i="58"/>
  <c r="O104" i="20" s="1"/>
  <c r="W159" i="58"/>
  <c r="W104" i="20" s="1"/>
  <c r="I157" i="58"/>
  <c r="I102" i="20" s="1"/>
  <c r="K158" i="58"/>
  <c r="K103" i="20" s="1"/>
  <c r="S158" i="58"/>
  <c r="S103" i="20" s="1"/>
  <c r="AA158" i="58"/>
  <c r="AA103" i="20" s="1"/>
  <c r="P159" i="58"/>
  <c r="P104" i="20" s="1"/>
  <c r="X159" i="58"/>
  <c r="X104" i="20" s="1"/>
  <c r="AP31" i="57"/>
  <c r="S61" i="57"/>
  <c r="AL56" i="57"/>
  <c r="AA157" i="57" s="1"/>
  <c r="AA95" i="20" s="1"/>
  <c r="Y159" i="57"/>
  <c r="Y97" i="20" s="1"/>
  <c r="L158" i="57"/>
  <c r="L96" i="20" s="1"/>
  <c r="T158" i="57"/>
  <c r="T96" i="20" s="1"/>
  <c r="Q159" i="57"/>
  <c r="Q97" i="20" s="1"/>
  <c r="AN12" i="57"/>
  <c r="AP12" i="57" s="1"/>
  <c r="AP23" i="57"/>
  <c r="AP33" i="57"/>
  <c r="AN35" i="57"/>
  <c r="AP35" i="57" s="1"/>
  <c r="AN52" i="57"/>
  <c r="AP52" i="57" s="1"/>
  <c r="AP25" i="57"/>
  <c r="S60" i="57"/>
  <c r="AB158" i="57"/>
  <c r="AB96" i="20" s="1"/>
  <c r="AD62" i="57"/>
  <c r="AD64" i="57" s="1"/>
  <c r="AP16" i="57"/>
  <c r="V62" i="57"/>
  <c r="V64" i="57" s="1"/>
  <c r="P161" i="57" s="1"/>
  <c r="P99" i="20" s="1"/>
  <c r="B157" i="57"/>
  <c r="B95" i="20" s="1"/>
  <c r="C69" i="57"/>
  <c r="X61" i="57"/>
  <c r="AM6" i="57"/>
  <c r="X60" i="57"/>
  <c r="X59" i="57"/>
  <c r="X58" i="57"/>
  <c r="X56" i="57"/>
  <c r="AP8" i="57"/>
  <c r="AP17" i="57"/>
  <c r="AN36" i="57"/>
  <c r="AP36" i="57" s="1"/>
  <c r="AG66" i="57"/>
  <c r="Y163" i="57" s="1"/>
  <c r="Y101" i="20" s="1"/>
  <c r="AG64" i="57"/>
  <c r="Y161" i="57" s="1"/>
  <c r="Y99" i="20" s="1"/>
  <c r="Y65" i="57"/>
  <c r="U162" i="57" s="1"/>
  <c r="U100" i="20" s="1"/>
  <c r="P66" i="57"/>
  <c r="AF61" i="57"/>
  <c r="AP9" i="57"/>
  <c r="N62" i="57"/>
  <c r="N64" i="57" s="1"/>
  <c r="Y64" i="57"/>
  <c r="U161" i="57" s="1"/>
  <c r="U99" i="20" s="1"/>
  <c r="AI64" i="57"/>
  <c r="V161" i="57" s="1"/>
  <c r="V99" i="20" s="1"/>
  <c r="Z65" i="57"/>
  <c r="AF159" i="57"/>
  <c r="AF97" i="20" s="1"/>
  <c r="AH61" i="57"/>
  <c r="AN20" i="57"/>
  <c r="AP20" i="57" s="1"/>
  <c r="Z63" i="57"/>
  <c r="P64" i="57"/>
  <c r="Z64" i="57"/>
  <c r="P65" i="57"/>
  <c r="AF56" i="57"/>
  <c r="X157" i="57" s="1"/>
  <c r="X95" i="20" s="1"/>
  <c r="AL59" i="57"/>
  <c r="U60" i="57"/>
  <c r="AK60" i="57"/>
  <c r="K62" i="57"/>
  <c r="K65" i="57" s="1"/>
  <c r="N162" i="57" s="1"/>
  <c r="N100" i="20" s="1"/>
  <c r="AA62" i="57"/>
  <c r="AA66" i="57" s="1"/>
  <c r="AI62" i="57"/>
  <c r="AI63" i="57" s="1"/>
  <c r="V160" i="57" s="1"/>
  <c r="V98" i="20" s="1"/>
  <c r="AQ62" i="57"/>
  <c r="AQ66" i="57" s="1"/>
  <c r="AF163" i="57" s="1"/>
  <c r="AF101" i="20" s="1"/>
  <c r="Q63" i="57"/>
  <c r="Y63" i="57"/>
  <c r="U160" i="57" s="1"/>
  <c r="U98" i="20" s="1"/>
  <c r="AG63" i="57"/>
  <c r="Y160" i="57" s="1"/>
  <c r="Y98" i="20" s="1"/>
  <c r="C157" i="57"/>
  <c r="C95" i="20" s="1"/>
  <c r="U158" i="57"/>
  <c r="U96" i="20" s="1"/>
  <c r="R159" i="57"/>
  <c r="R97" i="20" s="1"/>
  <c r="Z159" i="57"/>
  <c r="Z97" i="20" s="1"/>
  <c r="AN18" i="57"/>
  <c r="AP18" i="57" s="1"/>
  <c r="AN26" i="57"/>
  <c r="AP26" i="57" s="1"/>
  <c r="AN34" i="57"/>
  <c r="AP34" i="57" s="1"/>
  <c r="AN42" i="57"/>
  <c r="AP42" i="57" s="1"/>
  <c r="AN50" i="57"/>
  <c r="AP50" i="57" s="1"/>
  <c r="AO56" i="57"/>
  <c r="AD157" i="57" s="1"/>
  <c r="AD95" i="20" s="1"/>
  <c r="AF58" i="57"/>
  <c r="AL60" i="57"/>
  <c r="AK61" i="57"/>
  <c r="L62" i="57"/>
  <c r="L66" i="57" s="1"/>
  <c r="O163" i="57" s="1"/>
  <c r="O101" i="20" s="1"/>
  <c r="T62" i="57"/>
  <c r="T66" i="57" s="1"/>
  <c r="S163" i="57" s="1"/>
  <c r="S101" i="20" s="1"/>
  <c r="AB62" i="57"/>
  <c r="AB66" i="57" s="1"/>
  <c r="AJ62" i="57"/>
  <c r="AJ66" i="57" s="1"/>
  <c r="W163" i="57" s="1"/>
  <c r="W101" i="20" s="1"/>
  <c r="D157" i="57"/>
  <c r="D95" i="20" s="1"/>
  <c r="N158" i="57"/>
  <c r="N96" i="20" s="1"/>
  <c r="V158" i="57"/>
  <c r="V96" i="20" s="1"/>
  <c r="AD158" i="57"/>
  <c r="AD96" i="20" s="1"/>
  <c r="S159" i="57"/>
  <c r="S97" i="20" s="1"/>
  <c r="AA159" i="57"/>
  <c r="AA97" i="20" s="1"/>
  <c r="AN13" i="57"/>
  <c r="AP13" i="57" s="1"/>
  <c r="AN21" i="57"/>
  <c r="AP21" i="57" s="1"/>
  <c r="AN29" i="57"/>
  <c r="AP29" i="57" s="1"/>
  <c r="AN37" i="57"/>
  <c r="AP37" i="57" s="1"/>
  <c r="AN45" i="57"/>
  <c r="AP45" i="57" s="1"/>
  <c r="AN53" i="57"/>
  <c r="AP53" i="57" s="1"/>
  <c r="AH56" i="57"/>
  <c r="Z157" i="57" s="1"/>
  <c r="Z95" i="20" s="1"/>
  <c r="AO58" i="57"/>
  <c r="AF59" i="57"/>
  <c r="AL61" i="57"/>
  <c r="M62" i="57"/>
  <c r="M64" i="57" s="1"/>
  <c r="AC62" i="57"/>
  <c r="AC63" i="57" s="1"/>
  <c r="E157" i="57"/>
  <c r="E95" i="20" s="1"/>
  <c r="O158" i="57"/>
  <c r="O96" i="20" s="1"/>
  <c r="W158" i="57"/>
  <c r="W96" i="20" s="1"/>
  <c r="T159" i="57"/>
  <c r="T97" i="20" s="1"/>
  <c r="AB159" i="57"/>
  <c r="AB97" i="20" s="1"/>
  <c r="AN40" i="57"/>
  <c r="AP40" i="57" s="1"/>
  <c r="AN48" i="57"/>
  <c r="AP48" i="57" s="1"/>
  <c r="S56" i="57"/>
  <c r="R157" i="57" s="1"/>
  <c r="R95" i="20" s="1"/>
  <c r="AH58" i="57"/>
  <c r="AO59" i="57"/>
  <c r="AF60" i="57"/>
  <c r="H69" i="57"/>
  <c r="F157" i="57"/>
  <c r="F95" i="20" s="1"/>
  <c r="P158" i="57"/>
  <c r="P96" i="20" s="1"/>
  <c r="X158" i="57"/>
  <c r="X96" i="20" s="1"/>
  <c r="AF158" i="57"/>
  <c r="AF96" i="20" s="1"/>
  <c r="U159" i="57"/>
  <c r="U97" i="20" s="1"/>
  <c r="AN11" i="57"/>
  <c r="AP11" i="57" s="1"/>
  <c r="AN19" i="57"/>
  <c r="AP19" i="57" s="1"/>
  <c r="S58" i="57"/>
  <c r="AH59" i="57"/>
  <c r="AO60" i="57"/>
  <c r="O62" i="57"/>
  <c r="O64" i="57" s="1"/>
  <c r="W62" i="57"/>
  <c r="W64" i="57" s="1"/>
  <c r="Q161" i="57" s="1"/>
  <c r="Q99" i="20" s="1"/>
  <c r="AE62" i="57"/>
  <c r="AE65" i="57" s="1"/>
  <c r="Q158" i="57"/>
  <c r="Q96" i="20" s="1"/>
  <c r="Y158" i="57"/>
  <c r="Y96" i="20" s="1"/>
  <c r="N159" i="57"/>
  <c r="N97" i="20" s="1"/>
  <c r="V159" i="57"/>
  <c r="V97" i="20" s="1"/>
  <c r="AD159" i="57"/>
  <c r="AD97" i="20" s="1"/>
  <c r="AN6" i="57"/>
  <c r="AK56" i="57"/>
  <c r="AG19" i="41" s="1"/>
  <c r="S59" i="57"/>
  <c r="AH60" i="57"/>
  <c r="H157" i="57"/>
  <c r="R158" i="57"/>
  <c r="R96" i="20" s="1"/>
  <c r="Z158" i="57"/>
  <c r="Z96" i="20" s="1"/>
  <c r="O159" i="57"/>
  <c r="O97" i="20" s="1"/>
  <c r="W159" i="57"/>
  <c r="W97" i="20" s="1"/>
  <c r="I157" i="57"/>
  <c r="I95" i="20" s="1"/>
  <c r="K158" i="57"/>
  <c r="K96" i="20" s="1"/>
  <c r="S158" i="57"/>
  <c r="S96" i="20" s="1"/>
  <c r="AA158" i="57"/>
  <c r="AA96" i="20" s="1"/>
  <c r="P159" i="57"/>
  <c r="P97" i="20" s="1"/>
  <c r="X159" i="57"/>
  <c r="X97" i="20" s="1"/>
  <c r="AK59" i="56"/>
  <c r="AM13" i="56"/>
  <c r="AL56" i="56"/>
  <c r="AA157" i="56" s="1"/>
  <c r="AA88" i="20" s="1"/>
  <c r="L158" i="56"/>
  <c r="L89" i="20" s="1"/>
  <c r="Y159" i="56"/>
  <c r="Y90" i="20" s="1"/>
  <c r="Q159" i="56"/>
  <c r="Q90" i="20" s="1"/>
  <c r="AN28" i="56"/>
  <c r="AP28" i="56" s="1"/>
  <c r="AP41" i="56"/>
  <c r="AP42" i="56"/>
  <c r="AP49" i="56"/>
  <c r="Y65" i="56"/>
  <c r="U162" i="56" s="1"/>
  <c r="U93" i="20" s="1"/>
  <c r="P66" i="56"/>
  <c r="AA66" i="56"/>
  <c r="AP48" i="56"/>
  <c r="Q66" i="56"/>
  <c r="AB158" i="56"/>
  <c r="AB89" i="20" s="1"/>
  <c r="P65" i="56"/>
  <c r="AL58" i="56"/>
  <c r="S61" i="56"/>
  <c r="U12" i="56"/>
  <c r="AP32" i="56"/>
  <c r="Q65" i="56"/>
  <c r="C69" i="56"/>
  <c r="B157" i="56"/>
  <c r="B88" i="20" s="1"/>
  <c r="X61" i="56"/>
  <c r="AM6" i="56"/>
  <c r="X60" i="56"/>
  <c r="X59" i="56"/>
  <c r="X58" i="56"/>
  <c r="X56" i="56"/>
  <c r="AP10" i="56"/>
  <c r="AP16" i="56"/>
  <c r="AP18" i="56"/>
  <c r="AP24" i="56"/>
  <c r="P64" i="56"/>
  <c r="AA64" i="56"/>
  <c r="AF61" i="56"/>
  <c r="AP9" i="56"/>
  <c r="Q64" i="56"/>
  <c r="AG66" i="56"/>
  <c r="Y163" i="56" s="1"/>
  <c r="Y94" i="20" s="1"/>
  <c r="AF159" i="56"/>
  <c r="AF90" i="20" s="1"/>
  <c r="AH61" i="56"/>
  <c r="AA63" i="56"/>
  <c r="AN52" i="56"/>
  <c r="AP52" i="56" s="1"/>
  <c r="AF56" i="56"/>
  <c r="X157" i="56" s="1"/>
  <c r="X88" i="20" s="1"/>
  <c r="AL59" i="56"/>
  <c r="AK60" i="56"/>
  <c r="K62" i="56"/>
  <c r="K65" i="56" s="1"/>
  <c r="N162" i="56" s="1"/>
  <c r="N93" i="20" s="1"/>
  <c r="AA62" i="56"/>
  <c r="AA65" i="56" s="1"/>
  <c r="AI62" i="56"/>
  <c r="AI66" i="56" s="1"/>
  <c r="V163" i="56" s="1"/>
  <c r="V94" i="20" s="1"/>
  <c r="AQ62" i="56"/>
  <c r="AQ65" i="56" s="1"/>
  <c r="AF162" i="56" s="1"/>
  <c r="AF93" i="20" s="1"/>
  <c r="Q63" i="56"/>
  <c r="Y63" i="56"/>
  <c r="U160" i="56" s="1"/>
  <c r="U91" i="20" s="1"/>
  <c r="AG63" i="56"/>
  <c r="Y160" i="56" s="1"/>
  <c r="Y91" i="20" s="1"/>
  <c r="C157" i="56"/>
  <c r="C88" i="20" s="1"/>
  <c r="U158" i="56"/>
  <c r="U89" i="20" s="1"/>
  <c r="R159" i="56"/>
  <c r="R90" i="20" s="1"/>
  <c r="Z159" i="56"/>
  <c r="Z90" i="20" s="1"/>
  <c r="AN50" i="56"/>
  <c r="AP50" i="56" s="1"/>
  <c r="AO56" i="56"/>
  <c r="AD157" i="56" s="1"/>
  <c r="AD88" i="20" s="1"/>
  <c r="AF58" i="56"/>
  <c r="AL60" i="56"/>
  <c r="AK61" i="56"/>
  <c r="L62" i="56"/>
  <c r="L63" i="56" s="1"/>
  <c r="O160" i="56" s="1"/>
  <c r="O91" i="20" s="1"/>
  <c r="T62" i="56"/>
  <c r="T65" i="56" s="1"/>
  <c r="S162" i="56" s="1"/>
  <c r="S93" i="20" s="1"/>
  <c r="AB62" i="56"/>
  <c r="AB66" i="56" s="1"/>
  <c r="AJ62" i="56"/>
  <c r="AJ66" i="56" s="1"/>
  <c r="W163" i="56" s="1"/>
  <c r="W94" i="20" s="1"/>
  <c r="D157" i="56"/>
  <c r="D88" i="20" s="1"/>
  <c r="N158" i="56"/>
  <c r="N89" i="20" s="1"/>
  <c r="V158" i="56"/>
  <c r="V89" i="20" s="1"/>
  <c r="AD158" i="56"/>
  <c r="AD89" i="20" s="1"/>
  <c r="S159" i="56"/>
  <c r="S90" i="20" s="1"/>
  <c r="AA159" i="56"/>
  <c r="AA90" i="20" s="1"/>
  <c r="AN13" i="56"/>
  <c r="AP13" i="56" s="1"/>
  <c r="AN21" i="56"/>
  <c r="AP21" i="56" s="1"/>
  <c r="AN29" i="56"/>
  <c r="AP29" i="56" s="1"/>
  <c r="AN37" i="56"/>
  <c r="AP37" i="56" s="1"/>
  <c r="AN45" i="56"/>
  <c r="AP45" i="56" s="1"/>
  <c r="AN53" i="56"/>
  <c r="AP53" i="56" s="1"/>
  <c r="AH56" i="56"/>
  <c r="Z157" i="56" s="1"/>
  <c r="Z88" i="20" s="1"/>
  <c r="AO58" i="56"/>
  <c r="AF59" i="56"/>
  <c r="AL61" i="56"/>
  <c r="M62" i="56"/>
  <c r="M66" i="56" s="1"/>
  <c r="AC62" i="56"/>
  <c r="AC66" i="56" s="1"/>
  <c r="E157" i="56"/>
  <c r="E88" i="20" s="1"/>
  <c r="O158" i="56"/>
  <c r="O89" i="20" s="1"/>
  <c r="W158" i="56"/>
  <c r="W89" i="20" s="1"/>
  <c r="AB159" i="56"/>
  <c r="AB90" i="20" s="1"/>
  <c r="AN40" i="56"/>
  <c r="AP40" i="56" s="1"/>
  <c r="S56" i="56"/>
  <c r="R157" i="56" s="1"/>
  <c r="R88" i="20" s="1"/>
  <c r="AH58" i="56"/>
  <c r="AO59" i="56"/>
  <c r="AF60" i="56"/>
  <c r="N62" i="56"/>
  <c r="N64" i="56" s="1"/>
  <c r="V62" i="56"/>
  <c r="V64" i="56" s="1"/>
  <c r="P161" i="56" s="1"/>
  <c r="P92" i="20" s="1"/>
  <c r="AD62" i="56"/>
  <c r="AD64" i="56" s="1"/>
  <c r="H69" i="56"/>
  <c r="F157" i="56"/>
  <c r="F88" i="20" s="1"/>
  <c r="P158" i="56"/>
  <c r="P89" i="20" s="1"/>
  <c r="X158" i="56"/>
  <c r="X89" i="20" s="1"/>
  <c r="AF158" i="56"/>
  <c r="AF89" i="20" s="1"/>
  <c r="U159" i="56"/>
  <c r="U90" i="20" s="1"/>
  <c r="AN11" i="56"/>
  <c r="AP11" i="56" s="1"/>
  <c r="AN19" i="56"/>
  <c r="AP19" i="56" s="1"/>
  <c r="AN27" i="56"/>
  <c r="AP27" i="56" s="1"/>
  <c r="AN35" i="56"/>
  <c r="AP35" i="56" s="1"/>
  <c r="AN51" i="56"/>
  <c r="AP51" i="56" s="1"/>
  <c r="S58" i="56"/>
  <c r="AH59" i="56"/>
  <c r="AO60" i="56"/>
  <c r="O62" i="56"/>
  <c r="O66" i="56" s="1"/>
  <c r="W62" i="56"/>
  <c r="W65" i="56" s="1"/>
  <c r="Q162" i="56" s="1"/>
  <c r="Q93" i="20" s="1"/>
  <c r="AE62" i="56"/>
  <c r="AE66" i="56" s="1"/>
  <c r="Q158" i="56"/>
  <c r="Q89" i="20" s="1"/>
  <c r="Y158" i="56"/>
  <c r="Y89" i="20" s="1"/>
  <c r="N159" i="56"/>
  <c r="N90" i="20" s="1"/>
  <c r="V159" i="56"/>
  <c r="V90" i="20" s="1"/>
  <c r="AD159" i="56"/>
  <c r="AD90" i="20" s="1"/>
  <c r="AN6" i="56"/>
  <c r="AK56" i="56"/>
  <c r="AG18" i="41" s="1"/>
  <c r="S59" i="56"/>
  <c r="AH60" i="56"/>
  <c r="H157" i="56"/>
  <c r="H88" i="20" s="1"/>
  <c r="R158" i="56"/>
  <c r="R89" i="20" s="1"/>
  <c r="Z158" i="56"/>
  <c r="Z89" i="20" s="1"/>
  <c r="O159" i="56"/>
  <c r="O90" i="20" s="1"/>
  <c r="W159" i="56"/>
  <c r="W90" i="20" s="1"/>
  <c r="I157" i="56"/>
  <c r="I88" i="20" s="1"/>
  <c r="K158" i="56"/>
  <c r="K89" i="20" s="1"/>
  <c r="S158" i="56"/>
  <c r="S89" i="20" s="1"/>
  <c r="AA158" i="56"/>
  <c r="AA89" i="20" s="1"/>
  <c r="P159" i="56"/>
  <c r="P90" i="20" s="1"/>
  <c r="X159" i="56"/>
  <c r="X90" i="20" s="1"/>
  <c r="P62" i="55"/>
  <c r="P63" i="55" s="1"/>
  <c r="Q62" i="55"/>
  <c r="Q66" i="55" s="1"/>
  <c r="S60" i="55"/>
  <c r="N62" i="55"/>
  <c r="N64" i="55" s="1"/>
  <c r="Y64" i="55"/>
  <c r="U161" i="55" s="1"/>
  <c r="U85" i="20" s="1"/>
  <c r="X61" i="55"/>
  <c r="AM6" i="55"/>
  <c r="AB159" i="55" s="1"/>
  <c r="AB83" i="20" s="1"/>
  <c r="X60" i="55"/>
  <c r="X59" i="55"/>
  <c r="X58" i="55"/>
  <c r="X56" i="55"/>
  <c r="AN19" i="55"/>
  <c r="AP19" i="55" s="1"/>
  <c r="AN28" i="55"/>
  <c r="AP28" i="55" s="1"/>
  <c r="AP29" i="55"/>
  <c r="AP31" i="55"/>
  <c r="AP43" i="55"/>
  <c r="AM53" i="55"/>
  <c r="Z63" i="55"/>
  <c r="P64" i="55"/>
  <c r="Z64" i="55"/>
  <c r="P65" i="55"/>
  <c r="B157" i="55"/>
  <c r="B81" i="20" s="1"/>
  <c r="C69" i="55"/>
  <c r="AF61" i="55"/>
  <c r="Q64" i="55"/>
  <c r="AK59" i="55"/>
  <c r="S61" i="55"/>
  <c r="AF159" i="55"/>
  <c r="AF83" i="20" s="1"/>
  <c r="AK58" i="55"/>
  <c r="Y159" i="55"/>
  <c r="Y83" i="20" s="1"/>
  <c r="Q159" i="55"/>
  <c r="Q83" i="20" s="1"/>
  <c r="L158" i="55"/>
  <c r="L82" i="20" s="1"/>
  <c r="AN27" i="55"/>
  <c r="AP27" i="55" s="1"/>
  <c r="AL56" i="55"/>
  <c r="AA157" i="55" s="1"/>
  <c r="AA81" i="20" s="1"/>
  <c r="AP9" i="55"/>
  <c r="AN11" i="55"/>
  <c r="AP11" i="55" s="1"/>
  <c r="AP35" i="55"/>
  <c r="AN52" i="55"/>
  <c r="AP52" i="55" s="1"/>
  <c r="AP53" i="55"/>
  <c r="AP55" i="55"/>
  <c r="AD62" i="55"/>
  <c r="AD64" i="55" s="1"/>
  <c r="AG66" i="55"/>
  <c r="Y163" i="55" s="1"/>
  <c r="Y87" i="20" s="1"/>
  <c r="AO61" i="55"/>
  <c r="AB158" i="55"/>
  <c r="AB82" i="20" s="1"/>
  <c r="AN20" i="55"/>
  <c r="AP20" i="55" s="1"/>
  <c r="AP21" i="55"/>
  <c r="AP23" i="55"/>
  <c r="AP51" i="55"/>
  <c r="V63" i="55"/>
  <c r="P160" i="55" s="1"/>
  <c r="P84" i="20" s="1"/>
  <c r="V62" i="55"/>
  <c r="V64" i="55" s="1"/>
  <c r="P161" i="55" s="1"/>
  <c r="P85" i="20" s="1"/>
  <c r="AG65" i="55"/>
  <c r="Y162" i="55" s="1"/>
  <c r="Y86" i="20" s="1"/>
  <c r="Y66" i="55"/>
  <c r="U163" i="55" s="1"/>
  <c r="U87" i="20" s="1"/>
  <c r="AG64" i="55"/>
  <c r="Y161" i="55" s="1"/>
  <c r="Y85" i="20" s="1"/>
  <c r="AF56" i="55"/>
  <c r="X157" i="55" s="1"/>
  <c r="X81" i="20" s="1"/>
  <c r="AL59" i="55"/>
  <c r="AK60" i="55"/>
  <c r="K62" i="55"/>
  <c r="K66" i="55" s="1"/>
  <c r="N163" i="55" s="1"/>
  <c r="N87" i="20" s="1"/>
  <c r="AA62" i="55"/>
  <c r="AA63" i="55" s="1"/>
  <c r="AI62" i="55"/>
  <c r="AI63" i="55" s="1"/>
  <c r="V160" i="55" s="1"/>
  <c r="V84" i="20" s="1"/>
  <c r="AQ62" i="55"/>
  <c r="AQ63" i="55" s="1"/>
  <c r="AF160" i="55" s="1"/>
  <c r="AF84" i="20" s="1"/>
  <c r="Q63" i="55"/>
  <c r="Y63" i="55"/>
  <c r="U160" i="55" s="1"/>
  <c r="U84" i="20" s="1"/>
  <c r="AG63" i="55"/>
  <c r="Y160" i="55" s="1"/>
  <c r="Y84" i="20" s="1"/>
  <c r="C157" i="55"/>
  <c r="C81" i="20" s="1"/>
  <c r="U158" i="55"/>
  <c r="U82" i="20" s="1"/>
  <c r="R159" i="55"/>
  <c r="R83" i="20" s="1"/>
  <c r="Z159" i="55"/>
  <c r="Z83" i="20" s="1"/>
  <c r="AN10" i="55"/>
  <c r="AP10" i="55" s="1"/>
  <c r="AN18" i="55"/>
  <c r="AP18" i="55" s="1"/>
  <c r="AN26" i="55"/>
  <c r="AP26" i="55" s="1"/>
  <c r="AN34" i="55"/>
  <c r="AP34" i="55" s="1"/>
  <c r="AN42" i="55"/>
  <c r="AP42" i="55" s="1"/>
  <c r="AN50" i="55"/>
  <c r="AP50" i="55" s="1"/>
  <c r="AO56" i="55"/>
  <c r="AD157" i="55" s="1"/>
  <c r="AD81" i="20" s="1"/>
  <c r="AF58" i="55"/>
  <c r="AL60" i="55"/>
  <c r="AK61" i="55"/>
  <c r="L62" i="55"/>
  <c r="L65" i="55" s="1"/>
  <c r="O162" i="55" s="1"/>
  <c r="O86" i="20" s="1"/>
  <c r="T62" i="55"/>
  <c r="T65" i="55" s="1"/>
  <c r="S162" i="55" s="1"/>
  <c r="S86" i="20" s="1"/>
  <c r="AB62" i="55"/>
  <c r="AB65" i="55" s="1"/>
  <c r="AJ62" i="55"/>
  <c r="AJ65" i="55" s="1"/>
  <c r="W162" i="55" s="1"/>
  <c r="W86" i="20" s="1"/>
  <c r="D157" i="55"/>
  <c r="D81" i="20" s="1"/>
  <c r="N158" i="55"/>
  <c r="N82" i="20" s="1"/>
  <c r="V158" i="55"/>
  <c r="V82" i="20" s="1"/>
  <c r="AD158" i="55"/>
  <c r="AD82" i="20" s="1"/>
  <c r="S159" i="55"/>
  <c r="S83" i="20" s="1"/>
  <c r="AA159" i="55"/>
  <c r="AA83" i="20" s="1"/>
  <c r="AH56" i="55"/>
  <c r="Z157" i="55" s="1"/>
  <c r="Z81" i="20" s="1"/>
  <c r="AO58" i="55"/>
  <c r="AF59" i="55"/>
  <c r="AL61" i="55"/>
  <c r="M62" i="55"/>
  <c r="M64" i="55" s="1"/>
  <c r="AC62" i="55"/>
  <c r="AC66" i="55" s="1"/>
  <c r="E157" i="55"/>
  <c r="E81" i="20" s="1"/>
  <c r="O158" i="55"/>
  <c r="O82" i="20" s="1"/>
  <c r="W158" i="55"/>
  <c r="W82" i="20" s="1"/>
  <c r="AN8" i="55"/>
  <c r="AP8" i="55" s="1"/>
  <c r="AN16" i="55"/>
  <c r="AP16" i="55" s="1"/>
  <c r="AN24" i="55"/>
  <c r="AP24" i="55" s="1"/>
  <c r="AN32" i="55"/>
  <c r="AP32" i="55" s="1"/>
  <c r="AN40" i="55"/>
  <c r="AP40" i="55" s="1"/>
  <c r="AN48" i="55"/>
  <c r="AP48" i="55" s="1"/>
  <c r="S56" i="55"/>
  <c r="R157" i="55" s="1"/>
  <c r="R81" i="20" s="1"/>
  <c r="AH58" i="55"/>
  <c r="AO59" i="55"/>
  <c r="AF60" i="55"/>
  <c r="H69" i="55"/>
  <c r="F157" i="55"/>
  <c r="F81" i="20" s="1"/>
  <c r="P158" i="55"/>
  <c r="P82" i="20" s="1"/>
  <c r="X158" i="55"/>
  <c r="X82" i="20" s="1"/>
  <c r="AF158" i="55"/>
  <c r="AF82" i="20" s="1"/>
  <c r="U159" i="55"/>
  <c r="U83" i="20" s="1"/>
  <c r="S58" i="55"/>
  <c r="AH59" i="55"/>
  <c r="AO60" i="55"/>
  <c r="O62" i="55"/>
  <c r="O65" i="55" s="1"/>
  <c r="W62" i="55"/>
  <c r="W63" i="55" s="1"/>
  <c r="Q160" i="55" s="1"/>
  <c r="Q84" i="20" s="1"/>
  <c r="AE62" i="55"/>
  <c r="AE65" i="55" s="1"/>
  <c r="Q158" i="55"/>
  <c r="Q82" i="20" s="1"/>
  <c r="Y158" i="55"/>
  <c r="Y82" i="20" s="1"/>
  <c r="N159" i="55"/>
  <c r="N83" i="20" s="1"/>
  <c r="V159" i="55"/>
  <c r="V83" i="20" s="1"/>
  <c r="AD159" i="55"/>
  <c r="AD83" i="20" s="1"/>
  <c r="AN6" i="55"/>
  <c r="AN14" i="55"/>
  <c r="AP14" i="55" s="1"/>
  <c r="AN22" i="55"/>
  <c r="AP22" i="55" s="1"/>
  <c r="AN30" i="55"/>
  <c r="AP30" i="55" s="1"/>
  <c r="AN38" i="55"/>
  <c r="AP38" i="55" s="1"/>
  <c r="AN46" i="55"/>
  <c r="AP46" i="55" s="1"/>
  <c r="AN54" i="55"/>
  <c r="AP54" i="55" s="1"/>
  <c r="AK56" i="55"/>
  <c r="AG17" i="41" s="1"/>
  <c r="S59" i="55"/>
  <c r="AH60" i="55"/>
  <c r="H157" i="55"/>
  <c r="R158" i="55"/>
  <c r="R82" i="20" s="1"/>
  <c r="Z158" i="55"/>
  <c r="Z82" i="20" s="1"/>
  <c r="O159" i="55"/>
  <c r="O83" i="20" s="1"/>
  <c r="W159" i="55"/>
  <c r="W83" i="20" s="1"/>
  <c r="U6" i="55"/>
  <c r="T158" i="55" s="1"/>
  <c r="T82" i="20" s="1"/>
  <c r="I157" i="55"/>
  <c r="I81" i="20" s="1"/>
  <c r="K158" i="55"/>
  <c r="K82" i="20" s="1"/>
  <c r="S158" i="55"/>
  <c r="S82" i="20" s="1"/>
  <c r="AA158" i="55"/>
  <c r="AA82" i="20" s="1"/>
  <c r="P159" i="55"/>
  <c r="P83" i="20" s="1"/>
  <c r="X159" i="55"/>
  <c r="X83" i="20" s="1"/>
  <c r="AP9" i="53"/>
  <c r="AL56" i="53"/>
  <c r="AA157" i="53" s="1"/>
  <c r="AA67" i="20" s="1"/>
  <c r="AP18" i="53"/>
  <c r="U6" i="53"/>
  <c r="U7" i="53"/>
  <c r="U8" i="53"/>
  <c r="AN13" i="53"/>
  <c r="AP13" i="53" s="1"/>
  <c r="AP17" i="53"/>
  <c r="AL61" i="53"/>
  <c r="M62" i="53"/>
  <c r="M66" i="53" s="1"/>
  <c r="U14" i="53"/>
  <c r="U15" i="53"/>
  <c r="U16" i="53"/>
  <c r="C157" i="54"/>
  <c r="C74" i="20" s="1"/>
  <c r="E69" i="54"/>
  <c r="AF61" i="54"/>
  <c r="AF60" i="54"/>
  <c r="AF59" i="54"/>
  <c r="AF58" i="54"/>
  <c r="AH6" i="54"/>
  <c r="AP14" i="54"/>
  <c r="AN31" i="54"/>
  <c r="AP34" i="54"/>
  <c r="AG66" i="54"/>
  <c r="Y163" i="54" s="1"/>
  <c r="Y80" i="20" s="1"/>
  <c r="AF159" i="54"/>
  <c r="AF76" i="20" s="1"/>
  <c r="AK58" i="54"/>
  <c r="AN7" i="54"/>
  <c r="AP31" i="54"/>
  <c r="AN38" i="54"/>
  <c r="AP38" i="54" s="1"/>
  <c r="AP52" i="54"/>
  <c r="AN54" i="54"/>
  <c r="AE62" i="54"/>
  <c r="AE64" i="54" s="1"/>
  <c r="AG64" i="54"/>
  <c r="Y161" i="54" s="1"/>
  <c r="Y78" i="20" s="1"/>
  <c r="AG65" i="54"/>
  <c r="Y162" i="54" s="1"/>
  <c r="Y79" i="20" s="1"/>
  <c r="Y66" i="54"/>
  <c r="U163" i="54" s="1"/>
  <c r="U80" i="20" s="1"/>
  <c r="X56" i="54"/>
  <c r="T16" i="41" s="1"/>
  <c r="AF56" i="54"/>
  <c r="X157" i="54" s="1"/>
  <c r="X74" i="20" s="1"/>
  <c r="W63" i="54"/>
  <c r="Q160" i="54" s="1"/>
  <c r="Q77" i="20" s="1"/>
  <c r="W62" i="54"/>
  <c r="W64" i="54" s="1"/>
  <c r="Q161" i="54" s="1"/>
  <c r="Q78" i="20" s="1"/>
  <c r="AN23" i="54"/>
  <c r="AP23" i="54" s="1"/>
  <c r="AP26" i="54"/>
  <c r="AP28" i="54"/>
  <c r="AN30" i="54"/>
  <c r="AP30" i="54" s="1"/>
  <c r="O62" i="54"/>
  <c r="O64" i="54" s="1"/>
  <c r="AA64" i="54"/>
  <c r="AA65" i="54"/>
  <c r="AK60" i="54"/>
  <c r="S60" i="54"/>
  <c r="AN39" i="54"/>
  <c r="AP39" i="54" s="1"/>
  <c r="AP42" i="54"/>
  <c r="AP44" i="54"/>
  <c r="AN46" i="54"/>
  <c r="AP46" i="54" s="1"/>
  <c r="AN55" i="54"/>
  <c r="AP55" i="54" s="1"/>
  <c r="AA63" i="54"/>
  <c r="R159" i="54"/>
  <c r="R76" i="20" s="1"/>
  <c r="U158" i="54"/>
  <c r="U75" i="20" s="1"/>
  <c r="AP18" i="54"/>
  <c r="X61" i="54"/>
  <c r="AN22" i="54"/>
  <c r="AP22" i="54" s="1"/>
  <c r="AP54" i="54"/>
  <c r="R63" i="54"/>
  <c r="U9" i="54"/>
  <c r="T159" i="54" s="1"/>
  <c r="T76" i="20" s="1"/>
  <c r="U17" i="54"/>
  <c r="U25" i="54"/>
  <c r="U33" i="54"/>
  <c r="U41" i="54"/>
  <c r="U49" i="54"/>
  <c r="AL58" i="54"/>
  <c r="AK59" i="54"/>
  <c r="S61" i="54"/>
  <c r="R62" i="54"/>
  <c r="R65" i="54" s="1"/>
  <c r="Z62" i="54"/>
  <c r="Z65" i="54" s="1"/>
  <c r="P63" i="54"/>
  <c r="B157" i="54"/>
  <c r="B74" i="20" s="1"/>
  <c r="L158" i="54"/>
  <c r="L75" i="20" s="1"/>
  <c r="T158" i="54"/>
  <c r="T75" i="20" s="1"/>
  <c r="AB158" i="54"/>
  <c r="AB75" i="20" s="1"/>
  <c r="Q159" i="54"/>
  <c r="Q76" i="20" s="1"/>
  <c r="Y159" i="54"/>
  <c r="Y76" i="20" s="1"/>
  <c r="AO56" i="54"/>
  <c r="AD157" i="54" s="1"/>
  <c r="AD74" i="20" s="1"/>
  <c r="X58" i="54"/>
  <c r="AL60" i="54"/>
  <c r="AK61" i="54"/>
  <c r="L62" i="54"/>
  <c r="L64" i="54" s="1"/>
  <c r="O161" i="54" s="1"/>
  <c r="O78" i="20" s="1"/>
  <c r="T62" i="54"/>
  <c r="T66" i="54" s="1"/>
  <c r="S163" i="54" s="1"/>
  <c r="S80" i="20" s="1"/>
  <c r="AB62" i="54"/>
  <c r="AB65" i="54" s="1"/>
  <c r="AJ62" i="54"/>
  <c r="AJ65" i="54" s="1"/>
  <c r="W162" i="54" s="1"/>
  <c r="W79" i="20" s="1"/>
  <c r="D157" i="54"/>
  <c r="D74" i="20" s="1"/>
  <c r="N158" i="54"/>
  <c r="N75" i="20" s="1"/>
  <c r="V158" i="54"/>
  <c r="V75" i="20" s="1"/>
  <c r="AD158" i="54"/>
  <c r="AD75" i="20" s="1"/>
  <c r="S159" i="54"/>
  <c r="S76" i="20" s="1"/>
  <c r="AA159" i="54"/>
  <c r="AA76" i="20" s="1"/>
  <c r="AN13" i="54"/>
  <c r="AP13" i="54" s="1"/>
  <c r="AN21" i="54"/>
  <c r="AP21" i="54" s="1"/>
  <c r="AN29" i="54"/>
  <c r="AP29" i="54" s="1"/>
  <c r="AN37" i="54"/>
  <c r="AP37" i="54" s="1"/>
  <c r="AN45" i="54"/>
  <c r="AP45" i="54" s="1"/>
  <c r="AN53" i="54"/>
  <c r="AP53" i="54" s="1"/>
  <c r="AO58" i="54"/>
  <c r="X59" i="54"/>
  <c r="AL61" i="54"/>
  <c r="M62" i="54"/>
  <c r="M65" i="54" s="1"/>
  <c r="AC62" i="54"/>
  <c r="AC65" i="54" s="1"/>
  <c r="E157" i="54"/>
  <c r="E74" i="20" s="1"/>
  <c r="O158" i="54"/>
  <c r="O75" i="20" s="1"/>
  <c r="W158" i="54"/>
  <c r="W75" i="20" s="1"/>
  <c r="AN8" i="54"/>
  <c r="AP8" i="54" s="1"/>
  <c r="AN16" i="54"/>
  <c r="AP16" i="54" s="1"/>
  <c r="AN24" i="54"/>
  <c r="AP24" i="54" s="1"/>
  <c r="AN32" i="54"/>
  <c r="AP32" i="54" s="1"/>
  <c r="AN40" i="54"/>
  <c r="AP40" i="54" s="1"/>
  <c r="S56" i="54"/>
  <c r="R157" i="54" s="1"/>
  <c r="R74" i="20" s="1"/>
  <c r="AO59" i="54"/>
  <c r="X60" i="54"/>
  <c r="N62" i="54"/>
  <c r="N66" i="54" s="1"/>
  <c r="V62" i="54"/>
  <c r="V64" i="54" s="1"/>
  <c r="P161" i="54" s="1"/>
  <c r="P78" i="20" s="1"/>
  <c r="AD62" i="54"/>
  <c r="AD66" i="54" s="1"/>
  <c r="H69" i="54"/>
  <c r="F157" i="54"/>
  <c r="F74" i="20" s="1"/>
  <c r="P158" i="54"/>
  <c r="P75" i="20" s="1"/>
  <c r="X158" i="54"/>
  <c r="X75" i="20" s="1"/>
  <c r="AF158" i="54"/>
  <c r="AF75" i="20" s="1"/>
  <c r="U159" i="54"/>
  <c r="U76" i="20" s="1"/>
  <c r="AM6" i="54"/>
  <c r="AN51" i="54"/>
  <c r="AP51" i="54" s="1"/>
  <c r="S58" i="54"/>
  <c r="AO60" i="54"/>
  <c r="Q158" i="54"/>
  <c r="Q75" i="20" s="1"/>
  <c r="Y158" i="54"/>
  <c r="Y75" i="20" s="1"/>
  <c r="N159" i="54"/>
  <c r="N76" i="20" s="1"/>
  <c r="V159" i="54"/>
  <c r="V76" i="20" s="1"/>
  <c r="AD159" i="54"/>
  <c r="AD76" i="20" s="1"/>
  <c r="AN6" i="54"/>
  <c r="AK56" i="54"/>
  <c r="AG16" i="41" s="1"/>
  <c r="S59" i="54"/>
  <c r="H157" i="54"/>
  <c r="H74" i="20" s="1"/>
  <c r="R158" i="54"/>
  <c r="R75" i="20" s="1"/>
  <c r="Z158" i="54"/>
  <c r="Z75" i="20" s="1"/>
  <c r="O159" i="54"/>
  <c r="O76" i="20" s="1"/>
  <c r="W159" i="54"/>
  <c r="W76" i="20" s="1"/>
  <c r="I157" i="54"/>
  <c r="I74" i="20" s="1"/>
  <c r="K158" i="54"/>
  <c r="K75" i="20" s="1"/>
  <c r="S158" i="54"/>
  <c r="S75" i="20" s="1"/>
  <c r="AA158" i="54"/>
  <c r="AA75" i="20" s="1"/>
  <c r="P159" i="54"/>
  <c r="P76" i="20" s="1"/>
  <c r="X159" i="54"/>
  <c r="X76" i="20" s="1"/>
  <c r="S60" i="53"/>
  <c r="AP30" i="53"/>
  <c r="AP33" i="53"/>
  <c r="AP42" i="53"/>
  <c r="AG62" i="53"/>
  <c r="AG64" i="53" s="1"/>
  <c r="Y161" i="53" s="1"/>
  <c r="Y71" i="20" s="1"/>
  <c r="X59" i="53"/>
  <c r="AF59" i="53"/>
  <c r="AF61" i="53"/>
  <c r="Y62" i="53"/>
  <c r="Y64" i="53" s="1"/>
  <c r="U161" i="53" s="1"/>
  <c r="U71" i="20" s="1"/>
  <c r="AI65" i="53"/>
  <c r="V162" i="53" s="1"/>
  <c r="V72" i="20" s="1"/>
  <c r="AH61" i="53"/>
  <c r="AP26" i="53"/>
  <c r="AP49" i="53"/>
  <c r="AA66" i="53"/>
  <c r="X61" i="53"/>
  <c r="AF159" i="53"/>
  <c r="AF69" i="20" s="1"/>
  <c r="N69" i="53"/>
  <c r="D157" i="53"/>
  <c r="D67" i="20" s="1"/>
  <c r="AK58" i="53"/>
  <c r="AK56" i="53"/>
  <c r="AG15" i="41" s="1"/>
  <c r="AM6" i="53"/>
  <c r="AK61" i="53"/>
  <c r="AK60" i="53"/>
  <c r="AK59" i="53"/>
  <c r="W158" i="53"/>
  <c r="W68" i="20" s="1"/>
  <c r="O158" i="53"/>
  <c r="O68" i="20" s="1"/>
  <c r="AP25" i="53"/>
  <c r="AN45" i="53"/>
  <c r="AP45" i="53" s="1"/>
  <c r="AP46" i="53"/>
  <c r="AP48" i="53"/>
  <c r="AN53" i="53"/>
  <c r="AP53" i="53" s="1"/>
  <c r="P62" i="53"/>
  <c r="P66" i="53" s="1"/>
  <c r="AO58" i="53"/>
  <c r="AA64" i="53"/>
  <c r="AA65" i="53"/>
  <c r="AQ66" i="53"/>
  <c r="AF163" i="53" s="1"/>
  <c r="AF73" i="20" s="1"/>
  <c r="AP24" i="53"/>
  <c r="AP54" i="53"/>
  <c r="Q62" i="53"/>
  <c r="Q64" i="53" s="1"/>
  <c r="AQ65" i="53"/>
  <c r="AF162" i="53" s="1"/>
  <c r="AF72" i="20" s="1"/>
  <c r="U9" i="53"/>
  <c r="AN12" i="53"/>
  <c r="AP12" i="53" s="1"/>
  <c r="U17" i="53"/>
  <c r="AN20" i="53"/>
  <c r="AP20" i="53" s="1"/>
  <c r="U25" i="53"/>
  <c r="AN28" i="53"/>
  <c r="AP28" i="53" s="1"/>
  <c r="U33" i="53"/>
  <c r="AN36" i="53"/>
  <c r="AP36" i="53" s="1"/>
  <c r="U41" i="53"/>
  <c r="U49" i="53"/>
  <c r="AN52" i="53"/>
  <c r="AP52" i="53" s="1"/>
  <c r="AL58" i="53"/>
  <c r="S61" i="53"/>
  <c r="R62" i="53"/>
  <c r="R66" i="53" s="1"/>
  <c r="Z62" i="53"/>
  <c r="Z63" i="53" s="1"/>
  <c r="B157" i="53"/>
  <c r="B67" i="20" s="1"/>
  <c r="L158" i="53"/>
  <c r="L68" i="20" s="1"/>
  <c r="AB158" i="53"/>
  <c r="AB68" i="20" s="1"/>
  <c r="Q159" i="53"/>
  <c r="Q69" i="20" s="1"/>
  <c r="Y159" i="53"/>
  <c r="Y69" i="20" s="1"/>
  <c r="AN23" i="53"/>
  <c r="AP23" i="53" s="1"/>
  <c r="AN39" i="53"/>
  <c r="AP39" i="53" s="1"/>
  <c r="AN47" i="53"/>
  <c r="AP47" i="53" s="1"/>
  <c r="X56" i="53"/>
  <c r="AF56" i="53"/>
  <c r="X157" i="53" s="1"/>
  <c r="X67" i="20" s="1"/>
  <c r="AL59" i="53"/>
  <c r="U158" i="53"/>
  <c r="U68" i="20" s="1"/>
  <c r="R159" i="53"/>
  <c r="R69" i="20" s="1"/>
  <c r="Z159" i="53"/>
  <c r="Z69" i="20" s="1"/>
  <c r="AO56" i="53"/>
  <c r="AD157" i="53" s="1"/>
  <c r="AD67" i="20" s="1"/>
  <c r="X58" i="53"/>
  <c r="AF58" i="53"/>
  <c r="AL60" i="53"/>
  <c r="L62" i="53"/>
  <c r="L63" i="53" s="1"/>
  <c r="O160" i="53" s="1"/>
  <c r="O70" i="20" s="1"/>
  <c r="T62" i="53"/>
  <c r="T63" i="53" s="1"/>
  <c r="S160" i="53" s="1"/>
  <c r="S70" i="20" s="1"/>
  <c r="AB62" i="53"/>
  <c r="AB63" i="53" s="1"/>
  <c r="AJ62" i="53"/>
  <c r="AJ63" i="53" s="1"/>
  <c r="W160" i="53" s="1"/>
  <c r="W70" i="20" s="1"/>
  <c r="N158" i="53"/>
  <c r="N68" i="20" s="1"/>
  <c r="V158" i="53"/>
  <c r="V68" i="20" s="1"/>
  <c r="AD158" i="53"/>
  <c r="AD68" i="20" s="1"/>
  <c r="S159" i="53"/>
  <c r="S69" i="20" s="1"/>
  <c r="AA159" i="53"/>
  <c r="AA69" i="20" s="1"/>
  <c r="S56" i="53"/>
  <c r="R157" i="53" s="1"/>
  <c r="R67" i="20" s="1"/>
  <c r="AH58" i="53"/>
  <c r="AO59" i="53"/>
  <c r="X60" i="53"/>
  <c r="AF60" i="53"/>
  <c r="N62" i="53"/>
  <c r="N64" i="53" s="1"/>
  <c r="V62" i="53"/>
  <c r="V65" i="53" s="1"/>
  <c r="P162" i="53" s="1"/>
  <c r="P72" i="20" s="1"/>
  <c r="AD62" i="53"/>
  <c r="AD64" i="53" s="1"/>
  <c r="H69" i="53"/>
  <c r="F157" i="53"/>
  <c r="F67" i="20" s="1"/>
  <c r="P158" i="53"/>
  <c r="P68" i="20" s="1"/>
  <c r="X158" i="53"/>
  <c r="X68" i="20" s="1"/>
  <c r="AF158" i="53"/>
  <c r="AF68" i="20" s="1"/>
  <c r="U159" i="53"/>
  <c r="U69" i="20" s="1"/>
  <c r="AN11" i="53"/>
  <c r="AP11" i="53" s="1"/>
  <c r="AN19" i="53"/>
  <c r="AP19" i="53" s="1"/>
  <c r="AN27" i="53"/>
  <c r="AP27" i="53" s="1"/>
  <c r="AN35" i="53"/>
  <c r="AP35" i="53" s="1"/>
  <c r="AN43" i="53"/>
  <c r="AP43" i="53" s="1"/>
  <c r="AN51" i="53"/>
  <c r="AP51" i="53" s="1"/>
  <c r="S58" i="53"/>
  <c r="AH59" i="53"/>
  <c r="AO60" i="53"/>
  <c r="O62" i="53"/>
  <c r="O66" i="53" s="1"/>
  <c r="W62" i="53"/>
  <c r="W66" i="53" s="1"/>
  <c r="Q163" i="53" s="1"/>
  <c r="Q73" i="20" s="1"/>
  <c r="AE62" i="53"/>
  <c r="AE66" i="53" s="1"/>
  <c r="Q158" i="53"/>
  <c r="Q68" i="20" s="1"/>
  <c r="Y158" i="53"/>
  <c r="Y68" i="20" s="1"/>
  <c r="N159" i="53"/>
  <c r="N69" i="20" s="1"/>
  <c r="V159" i="53"/>
  <c r="V69" i="20" s="1"/>
  <c r="AD159" i="53"/>
  <c r="AD69" i="20" s="1"/>
  <c r="AN6" i="53"/>
  <c r="S59" i="53"/>
  <c r="AH60" i="53"/>
  <c r="H157" i="53"/>
  <c r="H67" i="20" s="1"/>
  <c r="R158" i="53"/>
  <c r="R68" i="20" s="1"/>
  <c r="Z158" i="53"/>
  <c r="Z68" i="20" s="1"/>
  <c r="O159" i="53"/>
  <c r="O69" i="20" s="1"/>
  <c r="W159" i="53"/>
  <c r="W69" i="20" s="1"/>
  <c r="I157" i="53"/>
  <c r="I67" i="20" s="1"/>
  <c r="K158" i="53"/>
  <c r="K68" i="20" s="1"/>
  <c r="S158" i="53"/>
  <c r="S68" i="20" s="1"/>
  <c r="AA158" i="53"/>
  <c r="AA68" i="20" s="1"/>
  <c r="P159" i="53"/>
  <c r="P69" i="20" s="1"/>
  <c r="X159" i="53"/>
  <c r="X69" i="20" s="1"/>
  <c r="AP2" i="50"/>
  <c r="AB2" i="50"/>
  <c r="N2" i="50"/>
  <c r="AG62" i="20"/>
  <c r="AG61" i="20"/>
  <c r="AG60" i="20"/>
  <c r="J66" i="50"/>
  <c r="AG163" i="50" s="1"/>
  <c r="AG66" i="20" s="1"/>
  <c r="J65" i="50"/>
  <c r="AG162" i="50" s="1"/>
  <c r="AG65" i="20" s="1"/>
  <c r="J64" i="50"/>
  <c r="AG161" i="50" s="1"/>
  <c r="AG64" i="20" s="1"/>
  <c r="J63" i="50"/>
  <c r="AG160" i="50" s="1"/>
  <c r="AG63" i="20" s="1"/>
  <c r="AQ61" i="50"/>
  <c r="AJ61" i="50"/>
  <c r="AI61" i="50"/>
  <c r="AG61" i="50"/>
  <c r="AE61" i="50"/>
  <c r="AD61" i="50"/>
  <c r="AC61" i="50"/>
  <c r="AB61" i="50"/>
  <c r="AA61" i="50"/>
  <c r="Z61" i="50"/>
  <c r="Y61" i="50"/>
  <c r="W61" i="50"/>
  <c r="V61" i="50"/>
  <c r="T61" i="50"/>
  <c r="R61" i="50"/>
  <c r="Q61" i="50"/>
  <c r="P61" i="50"/>
  <c r="O61" i="50"/>
  <c r="N61" i="50"/>
  <c r="M61" i="50"/>
  <c r="L61" i="50"/>
  <c r="K61" i="50"/>
  <c r="AQ60" i="50"/>
  <c r="AJ60" i="50"/>
  <c r="AI60" i="50"/>
  <c r="AG60" i="50"/>
  <c r="AE60" i="50"/>
  <c r="AD60" i="50"/>
  <c r="AC60" i="50"/>
  <c r="AB60" i="50"/>
  <c r="AA60" i="50"/>
  <c r="Z60" i="50"/>
  <c r="Y60" i="50"/>
  <c r="W60" i="50"/>
  <c r="V60" i="50"/>
  <c r="T60" i="50"/>
  <c r="R60" i="50"/>
  <c r="Q60" i="50"/>
  <c r="P60" i="50"/>
  <c r="O60" i="50"/>
  <c r="N60" i="50"/>
  <c r="M60" i="50"/>
  <c r="L60" i="50"/>
  <c r="K60" i="50"/>
  <c r="AQ59" i="50"/>
  <c r="AJ59" i="50"/>
  <c r="AI59" i="50"/>
  <c r="AG59" i="50"/>
  <c r="AE59" i="50"/>
  <c r="AD59" i="50"/>
  <c r="AC59" i="50"/>
  <c r="AB59" i="50"/>
  <c r="AA59" i="50"/>
  <c r="Z59" i="50"/>
  <c r="Y59" i="50"/>
  <c r="W59" i="50"/>
  <c r="V59" i="50"/>
  <c r="T59" i="50"/>
  <c r="R59" i="50"/>
  <c r="Q59" i="50"/>
  <c r="P59" i="50"/>
  <c r="O59" i="50"/>
  <c r="N59" i="50"/>
  <c r="M59" i="50"/>
  <c r="L59" i="50"/>
  <c r="K59" i="50"/>
  <c r="AQ58" i="50"/>
  <c r="AJ58" i="50"/>
  <c r="AJ62" i="50" s="1"/>
  <c r="AJ63" i="50" s="1"/>
  <c r="W160" i="50" s="1"/>
  <c r="W63" i="20" s="1"/>
  <c r="AI58" i="50"/>
  <c r="AG58" i="50"/>
  <c r="AE58" i="50"/>
  <c r="AE62" i="50" s="1"/>
  <c r="AD58" i="50"/>
  <c r="AC58" i="50"/>
  <c r="AB58" i="50"/>
  <c r="AA58" i="50"/>
  <c r="Z58" i="50"/>
  <c r="Y58" i="50"/>
  <c r="W58" i="50"/>
  <c r="V58" i="50"/>
  <c r="T58" i="50"/>
  <c r="T62" i="50" s="1"/>
  <c r="T63" i="50" s="1"/>
  <c r="S160" i="50" s="1"/>
  <c r="S63" i="20" s="1"/>
  <c r="R58" i="50"/>
  <c r="Q58" i="50"/>
  <c r="P58" i="50"/>
  <c r="P62" i="50" s="1"/>
  <c r="P63" i="50" s="1"/>
  <c r="O58" i="50"/>
  <c r="N58" i="50"/>
  <c r="M58" i="50"/>
  <c r="L58" i="50"/>
  <c r="L62" i="50" s="1"/>
  <c r="L63" i="50" s="1"/>
  <c r="O160" i="50" s="1"/>
  <c r="O63" i="20" s="1"/>
  <c r="K58" i="50"/>
  <c r="AQ56" i="50"/>
  <c r="AF157" i="50" s="1"/>
  <c r="AF60" i="20" s="1"/>
  <c r="AJ56" i="50"/>
  <c r="W157" i="50" s="1"/>
  <c r="W60" i="20" s="1"/>
  <c r="AI56" i="50"/>
  <c r="V157" i="50" s="1"/>
  <c r="V60" i="20" s="1"/>
  <c r="AG56" i="50"/>
  <c r="Y157" i="50" s="1"/>
  <c r="Y60" i="20" s="1"/>
  <c r="AE56" i="50"/>
  <c r="AD56" i="50"/>
  <c r="AC56" i="50"/>
  <c r="AB56" i="50"/>
  <c r="AA56" i="50"/>
  <c r="Z56" i="50"/>
  <c r="Y56" i="50"/>
  <c r="U157" i="50" s="1"/>
  <c r="U60" i="20" s="1"/>
  <c r="W56" i="50"/>
  <c r="Q157" i="50" s="1"/>
  <c r="Q60" i="20" s="1"/>
  <c r="V56" i="50"/>
  <c r="P157" i="50" s="1"/>
  <c r="P60" i="20" s="1"/>
  <c r="T56" i="50"/>
  <c r="S157" i="50" s="1"/>
  <c r="S60" i="20" s="1"/>
  <c r="R56" i="50"/>
  <c r="Q56" i="50"/>
  <c r="P56" i="50"/>
  <c r="O56" i="50"/>
  <c r="N56" i="50"/>
  <c r="M56" i="50"/>
  <c r="L56" i="50"/>
  <c r="O157" i="50" s="1"/>
  <c r="O60" i="20" s="1"/>
  <c r="K56" i="50"/>
  <c r="N157" i="50" s="1"/>
  <c r="N60" i="20" s="1"/>
  <c r="AO55" i="50"/>
  <c r="AL55" i="50"/>
  <c r="AK55" i="50"/>
  <c r="AF55" i="50"/>
  <c r="AH55" i="50" s="1"/>
  <c r="X55" i="50"/>
  <c r="AM55" i="50" s="1"/>
  <c r="S55" i="50"/>
  <c r="U55" i="50" s="1"/>
  <c r="I55" i="50"/>
  <c r="H55" i="50"/>
  <c r="G55" i="50"/>
  <c r="F55" i="50"/>
  <c r="E55" i="50"/>
  <c r="D55" i="50"/>
  <c r="C55" i="50"/>
  <c r="B55" i="50"/>
  <c r="AO54" i="50"/>
  <c r="AL54" i="50"/>
  <c r="AK54" i="50"/>
  <c r="AF54" i="50"/>
  <c r="AH54" i="50" s="1"/>
  <c r="X54" i="50"/>
  <c r="S54" i="50"/>
  <c r="U54" i="50" s="1"/>
  <c r="I54" i="50"/>
  <c r="H54" i="50"/>
  <c r="G54" i="50"/>
  <c r="F54" i="50"/>
  <c r="E54" i="50"/>
  <c r="D54" i="50"/>
  <c r="C54" i="50"/>
  <c r="B54" i="50"/>
  <c r="AO53" i="50"/>
  <c r="AL53" i="50"/>
  <c r="AK53" i="50"/>
  <c r="AF53" i="50"/>
  <c r="AH53" i="50" s="1"/>
  <c r="X53" i="50"/>
  <c r="S53" i="50"/>
  <c r="I53" i="50"/>
  <c r="H53" i="50"/>
  <c r="G53" i="50"/>
  <c r="F53" i="50"/>
  <c r="E53" i="50"/>
  <c r="D53" i="50"/>
  <c r="C53" i="50"/>
  <c r="B53" i="50"/>
  <c r="AO52" i="50"/>
  <c r="AL52" i="50"/>
  <c r="AK52" i="50"/>
  <c r="AH52" i="50"/>
  <c r="AF52" i="50"/>
  <c r="X52" i="50"/>
  <c r="AM52" i="50" s="1"/>
  <c r="S52" i="50"/>
  <c r="U52" i="50" s="1"/>
  <c r="I52" i="50"/>
  <c r="H52" i="50"/>
  <c r="G52" i="50"/>
  <c r="F52" i="50"/>
  <c r="E52" i="50"/>
  <c r="D52" i="50"/>
  <c r="C52" i="50"/>
  <c r="B52" i="50"/>
  <c r="AO51" i="50"/>
  <c r="AL51" i="50"/>
  <c r="AK51" i="50"/>
  <c r="AF51" i="50"/>
  <c r="AH51" i="50" s="1"/>
  <c r="X51" i="50"/>
  <c r="AM51" i="50" s="1"/>
  <c r="S51" i="50"/>
  <c r="AN51" i="50" s="1"/>
  <c r="I51" i="50"/>
  <c r="H51" i="50"/>
  <c r="G51" i="50"/>
  <c r="F51" i="50"/>
  <c r="E51" i="50"/>
  <c r="D51" i="50"/>
  <c r="C51" i="50"/>
  <c r="B51" i="50"/>
  <c r="AO50" i="50"/>
  <c r="AL50" i="50"/>
  <c r="AK50" i="50"/>
  <c r="AH50" i="50"/>
  <c r="AF50" i="50"/>
  <c r="X50" i="50"/>
  <c r="AM50" i="50" s="1"/>
  <c r="S50" i="50"/>
  <c r="AN50" i="50" s="1"/>
  <c r="AP50" i="50" s="1"/>
  <c r="I50" i="50"/>
  <c r="H50" i="50"/>
  <c r="G50" i="50"/>
  <c r="F50" i="50"/>
  <c r="E50" i="50"/>
  <c r="D50" i="50"/>
  <c r="C50" i="50"/>
  <c r="B50" i="50"/>
  <c r="AO49" i="50"/>
  <c r="AL49" i="50"/>
  <c r="AK49" i="50"/>
  <c r="AH49" i="50"/>
  <c r="AF49" i="50"/>
  <c r="X49" i="50"/>
  <c r="S49" i="50"/>
  <c r="AN49" i="50" s="1"/>
  <c r="I49" i="50"/>
  <c r="H49" i="50"/>
  <c r="G49" i="50"/>
  <c r="F49" i="50"/>
  <c r="E49" i="50"/>
  <c r="D49" i="50"/>
  <c r="C49" i="50"/>
  <c r="B49" i="50"/>
  <c r="AO48" i="50"/>
  <c r="AL48" i="50"/>
  <c r="AK48" i="50"/>
  <c r="AH48" i="50"/>
  <c r="AF48" i="50"/>
  <c r="X48" i="50"/>
  <c r="AM48" i="50" s="1"/>
  <c r="S48" i="50"/>
  <c r="U48" i="50" s="1"/>
  <c r="I48" i="50"/>
  <c r="H48" i="50"/>
  <c r="G48" i="50"/>
  <c r="F48" i="50"/>
  <c r="E48" i="50"/>
  <c r="D48" i="50"/>
  <c r="C48" i="50"/>
  <c r="B48" i="50"/>
  <c r="AO47" i="50"/>
  <c r="AL47" i="50"/>
  <c r="AK47" i="50"/>
  <c r="AF47" i="50"/>
  <c r="AH47" i="50" s="1"/>
  <c r="X47" i="50"/>
  <c r="AM47" i="50" s="1"/>
  <c r="S47" i="50"/>
  <c r="U47" i="50" s="1"/>
  <c r="I47" i="50"/>
  <c r="H47" i="50"/>
  <c r="G47" i="50"/>
  <c r="F47" i="50"/>
  <c r="E47" i="50"/>
  <c r="D47" i="50"/>
  <c r="C47" i="50"/>
  <c r="B47" i="50"/>
  <c r="AO46" i="50"/>
  <c r="AL46" i="50"/>
  <c r="AK46" i="50"/>
  <c r="AF46" i="50"/>
  <c r="AH46" i="50" s="1"/>
  <c r="X46" i="50"/>
  <c r="AM46" i="50" s="1"/>
  <c r="S46" i="50"/>
  <c r="U46" i="50" s="1"/>
  <c r="I46" i="50"/>
  <c r="H46" i="50"/>
  <c r="G46" i="50"/>
  <c r="F46" i="50"/>
  <c r="E46" i="50"/>
  <c r="D46" i="50"/>
  <c r="C46" i="50"/>
  <c r="B46" i="50"/>
  <c r="AO45" i="50"/>
  <c r="AL45" i="50"/>
  <c r="AK45" i="50"/>
  <c r="AM45" i="50" s="1"/>
  <c r="AF45" i="50"/>
  <c r="AH45" i="50" s="1"/>
  <c r="X45" i="50"/>
  <c r="S45" i="50"/>
  <c r="AN45" i="50" s="1"/>
  <c r="I45" i="50"/>
  <c r="H45" i="50"/>
  <c r="G45" i="50"/>
  <c r="F45" i="50"/>
  <c r="E45" i="50"/>
  <c r="D45" i="50"/>
  <c r="C45" i="50"/>
  <c r="B45" i="50"/>
  <c r="AO44" i="50"/>
  <c r="AL44" i="50"/>
  <c r="AK44" i="50"/>
  <c r="AF44" i="50"/>
  <c r="AH44" i="50" s="1"/>
  <c r="X44" i="50"/>
  <c r="AM44" i="50" s="1"/>
  <c r="S44" i="50"/>
  <c r="U44" i="50" s="1"/>
  <c r="I44" i="50"/>
  <c r="H44" i="50"/>
  <c r="G44" i="50"/>
  <c r="F44" i="50"/>
  <c r="E44" i="50"/>
  <c r="D44" i="50"/>
  <c r="C44" i="50"/>
  <c r="B44" i="50"/>
  <c r="AO43" i="50"/>
  <c r="AL43" i="50"/>
  <c r="AK43" i="50"/>
  <c r="AF43" i="50"/>
  <c r="AH43" i="50" s="1"/>
  <c r="X43" i="50"/>
  <c r="AM43" i="50" s="1"/>
  <c r="U43" i="50"/>
  <c r="S43" i="50"/>
  <c r="AN43" i="50" s="1"/>
  <c r="I43" i="50"/>
  <c r="H43" i="50"/>
  <c r="G43" i="50"/>
  <c r="F43" i="50"/>
  <c r="E43" i="50"/>
  <c r="D43" i="50"/>
  <c r="C43" i="50"/>
  <c r="B43" i="50"/>
  <c r="AO42" i="50"/>
  <c r="AL42" i="50"/>
  <c r="AK42" i="50"/>
  <c r="AH42" i="50"/>
  <c r="AF42" i="50"/>
  <c r="X42" i="50"/>
  <c r="U42" i="50"/>
  <c r="S42" i="50"/>
  <c r="AN42" i="50" s="1"/>
  <c r="AP42" i="50" s="1"/>
  <c r="I42" i="50"/>
  <c r="H42" i="50"/>
  <c r="G42" i="50"/>
  <c r="F42" i="50"/>
  <c r="E42" i="50"/>
  <c r="D42" i="50"/>
  <c r="C42" i="50"/>
  <c r="B42" i="50"/>
  <c r="AO41" i="50"/>
  <c r="AL41" i="50"/>
  <c r="AK41" i="50"/>
  <c r="AM41" i="50" s="1"/>
  <c r="AH41" i="50"/>
  <c r="AF41" i="50"/>
  <c r="X41" i="50"/>
  <c r="U41" i="50"/>
  <c r="S41" i="50"/>
  <c r="AN41" i="50" s="1"/>
  <c r="I41" i="50"/>
  <c r="H41" i="50"/>
  <c r="G41" i="50"/>
  <c r="F41" i="50"/>
  <c r="E41" i="50"/>
  <c r="D41" i="50"/>
  <c r="C41" i="50"/>
  <c r="B41" i="50"/>
  <c r="AO40" i="50"/>
  <c r="AL40" i="50"/>
  <c r="AK40" i="50"/>
  <c r="AH40" i="50"/>
  <c r="AF40" i="50"/>
  <c r="X40" i="50"/>
  <c r="AM40" i="50" s="1"/>
  <c r="S40" i="50"/>
  <c r="U40" i="50" s="1"/>
  <c r="I40" i="50"/>
  <c r="H40" i="50"/>
  <c r="G40" i="50"/>
  <c r="F40" i="50"/>
  <c r="E40" i="50"/>
  <c r="D40" i="50"/>
  <c r="C40" i="50"/>
  <c r="B40" i="50"/>
  <c r="AO39" i="50"/>
  <c r="AL39" i="50"/>
  <c r="AK39" i="50"/>
  <c r="AF39" i="50"/>
  <c r="AH39" i="50" s="1"/>
  <c r="X39" i="50"/>
  <c r="AM39" i="50" s="1"/>
  <c r="S39" i="50"/>
  <c r="U39" i="50" s="1"/>
  <c r="I39" i="50"/>
  <c r="H39" i="50"/>
  <c r="G39" i="50"/>
  <c r="F39" i="50"/>
  <c r="E39" i="50"/>
  <c r="D39" i="50"/>
  <c r="C39" i="50"/>
  <c r="B39" i="50"/>
  <c r="AO38" i="50"/>
  <c r="AL38" i="50"/>
  <c r="AK38" i="50"/>
  <c r="AF38" i="50"/>
  <c r="AH38" i="50" s="1"/>
  <c r="X38" i="50"/>
  <c r="AM38" i="50" s="1"/>
  <c r="S38" i="50"/>
  <c r="U38" i="50" s="1"/>
  <c r="I38" i="50"/>
  <c r="H38" i="50"/>
  <c r="G38" i="50"/>
  <c r="F38" i="50"/>
  <c r="E38" i="50"/>
  <c r="D38" i="50"/>
  <c r="C38" i="50"/>
  <c r="B38" i="50"/>
  <c r="AO37" i="50"/>
  <c r="AL37" i="50"/>
  <c r="AK37" i="50"/>
  <c r="AM37" i="50" s="1"/>
  <c r="AF37" i="50"/>
  <c r="AH37" i="50" s="1"/>
  <c r="X37" i="50"/>
  <c r="U37" i="50"/>
  <c r="S37" i="50"/>
  <c r="AN37" i="50" s="1"/>
  <c r="I37" i="50"/>
  <c r="H37" i="50"/>
  <c r="G37" i="50"/>
  <c r="F37" i="50"/>
  <c r="E37" i="50"/>
  <c r="D37" i="50"/>
  <c r="C37" i="50"/>
  <c r="B37" i="50"/>
  <c r="AO36" i="50"/>
  <c r="AM36" i="50"/>
  <c r="AL36" i="50"/>
  <c r="AK36" i="50"/>
  <c r="AF36" i="50"/>
  <c r="AH36" i="50" s="1"/>
  <c r="X36" i="50"/>
  <c r="S36" i="50"/>
  <c r="U36" i="50" s="1"/>
  <c r="I36" i="50"/>
  <c r="H36" i="50"/>
  <c r="G36" i="50"/>
  <c r="F36" i="50"/>
  <c r="E36" i="50"/>
  <c r="D36" i="50"/>
  <c r="C36" i="50"/>
  <c r="B36" i="50"/>
  <c r="AO35" i="50"/>
  <c r="AL35" i="50"/>
  <c r="AK35" i="50"/>
  <c r="AF35" i="50"/>
  <c r="AH35" i="50" s="1"/>
  <c r="X35" i="50"/>
  <c r="AM35" i="50" s="1"/>
  <c r="U35" i="50"/>
  <c r="S35" i="50"/>
  <c r="AN35" i="50" s="1"/>
  <c r="I35" i="50"/>
  <c r="H35" i="50"/>
  <c r="G35" i="50"/>
  <c r="F35" i="50"/>
  <c r="E35" i="50"/>
  <c r="D35" i="50"/>
  <c r="C35" i="50"/>
  <c r="B35" i="50"/>
  <c r="AO34" i="50"/>
  <c r="AL34" i="50"/>
  <c r="AK34" i="50"/>
  <c r="AH34" i="50"/>
  <c r="AF34" i="50"/>
  <c r="X34" i="50"/>
  <c r="AM34" i="50" s="1"/>
  <c r="U34" i="50"/>
  <c r="S34" i="50"/>
  <c r="AN34" i="50" s="1"/>
  <c r="AP34" i="50" s="1"/>
  <c r="I34" i="50"/>
  <c r="H34" i="50"/>
  <c r="G34" i="50"/>
  <c r="F34" i="50"/>
  <c r="E34" i="50"/>
  <c r="D34" i="50"/>
  <c r="C34" i="50"/>
  <c r="B34" i="50"/>
  <c r="AO33" i="50"/>
  <c r="AL33" i="50"/>
  <c r="AK33" i="50"/>
  <c r="AH33" i="50"/>
  <c r="AF33" i="50"/>
  <c r="X33" i="50"/>
  <c r="U33" i="50"/>
  <c r="S33" i="50"/>
  <c r="AN33" i="50" s="1"/>
  <c r="I33" i="50"/>
  <c r="H33" i="50"/>
  <c r="G33" i="50"/>
  <c r="F33" i="50"/>
  <c r="E33" i="50"/>
  <c r="D33" i="50"/>
  <c r="C33" i="50"/>
  <c r="B33" i="50"/>
  <c r="AO32" i="50"/>
  <c r="AL32" i="50"/>
  <c r="AK32" i="50"/>
  <c r="AH32" i="50"/>
  <c r="AF32" i="50"/>
  <c r="X32" i="50"/>
  <c r="AM32" i="50" s="1"/>
  <c r="S32" i="50"/>
  <c r="U32" i="50" s="1"/>
  <c r="I32" i="50"/>
  <c r="H32" i="50"/>
  <c r="G32" i="50"/>
  <c r="F32" i="50"/>
  <c r="E32" i="50"/>
  <c r="D32" i="50"/>
  <c r="C32" i="50"/>
  <c r="B32" i="50"/>
  <c r="AO31" i="50"/>
  <c r="AL31" i="50"/>
  <c r="AK31" i="50"/>
  <c r="AF31" i="50"/>
  <c r="AH31" i="50" s="1"/>
  <c r="X31" i="50"/>
  <c r="S31" i="50"/>
  <c r="U31" i="50" s="1"/>
  <c r="I31" i="50"/>
  <c r="H31" i="50"/>
  <c r="G31" i="50"/>
  <c r="F31" i="50"/>
  <c r="E31" i="50"/>
  <c r="D31" i="50"/>
  <c r="C31" i="50"/>
  <c r="B31" i="50"/>
  <c r="AO30" i="50"/>
  <c r="AL30" i="50"/>
  <c r="AK30" i="50"/>
  <c r="AH30" i="50"/>
  <c r="AF30" i="50"/>
  <c r="X30" i="50"/>
  <c r="U30" i="50"/>
  <c r="S30" i="50"/>
  <c r="AN30" i="50" s="1"/>
  <c r="AP30" i="50" s="1"/>
  <c r="I30" i="50"/>
  <c r="H30" i="50"/>
  <c r="G30" i="50"/>
  <c r="F30" i="50"/>
  <c r="E30" i="50"/>
  <c r="D30" i="50"/>
  <c r="C30" i="50"/>
  <c r="B30" i="50"/>
  <c r="AO29" i="50"/>
  <c r="AL29" i="50"/>
  <c r="AK29" i="50"/>
  <c r="AM29" i="50" s="1"/>
  <c r="AH29" i="50"/>
  <c r="AF29" i="50"/>
  <c r="X29" i="50"/>
  <c r="S29" i="50"/>
  <c r="U29" i="50" s="1"/>
  <c r="I29" i="50"/>
  <c r="H29" i="50"/>
  <c r="G29" i="50"/>
  <c r="F29" i="50"/>
  <c r="E29" i="50"/>
  <c r="D29" i="50"/>
  <c r="C29" i="50"/>
  <c r="B29" i="50"/>
  <c r="AO28" i="50"/>
  <c r="AL28" i="50"/>
  <c r="AK28" i="50"/>
  <c r="AM28" i="50" s="1"/>
  <c r="AH28" i="50"/>
  <c r="AF28" i="50"/>
  <c r="X28" i="50"/>
  <c r="S28" i="50"/>
  <c r="U28" i="50" s="1"/>
  <c r="I28" i="50"/>
  <c r="H28" i="50"/>
  <c r="G28" i="50"/>
  <c r="F28" i="50"/>
  <c r="E28" i="50"/>
  <c r="D28" i="50"/>
  <c r="C28" i="50"/>
  <c r="B28" i="50"/>
  <c r="AO27" i="50"/>
  <c r="AL27" i="50"/>
  <c r="AK27" i="50"/>
  <c r="AF27" i="50"/>
  <c r="AH27" i="50" s="1"/>
  <c r="X27" i="50"/>
  <c r="AM27" i="50" s="1"/>
  <c r="S27" i="50"/>
  <c r="AN27" i="50" s="1"/>
  <c r="I27" i="50"/>
  <c r="H27" i="50"/>
  <c r="G27" i="50"/>
  <c r="F27" i="50"/>
  <c r="E27" i="50"/>
  <c r="D27" i="50"/>
  <c r="C27" i="50"/>
  <c r="B27" i="50"/>
  <c r="AO26" i="50"/>
  <c r="AL26" i="50"/>
  <c r="AK26" i="50"/>
  <c r="AH26" i="50"/>
  <c r="AF26" i="50"/>
  <c r="X26" i="50"/>
  <c r="AM26" i="50" s="1"/>
  <c r="S26" i="50"/>
  <c r="U26" i="50" s="1"/>
  <c r="I26" i="50"/>
  <c r="H26" i="50"/>
  <c r="G26" i="50"/>
  <c r="F26" i="50"/>
  <c r="E26" i="50"/>
  <c r="D26" i="50"/>
  <c r="C26" i="50"/>
  <c r="B26" i="50"/>
  <c r="AO25" i="50"/>
  <c r="AL25" i="50"/>
  <c r="AK25" i="50"/>
  <c r="AF25" i="50"/>
  <c r="AH25" i="50" s="1"/>
  <c r="X25" i="50"/>
  <c r="AM25" i="50" s="1"/>
  <c r="S25" i="50"/>
  <c r="U25" i="50" s="1"/>
  <c r="I25" i="50"/>
  <c r="H25" i="50"/>
  <c r="G25" i="50"/>
  <c r="F25" i="50"/>
  <c r="E25" i="50"/>
  <c r="D25" i="50"/>
  <c r="C25" i="50"/>
  <c r="B25" i="50"/>
  <c r="AO24" i="50"/>
  <c r="AL24" i="50"/>
  <c r="AK24" i="50"/>
  <c r="AF24" i="50"/>
  <c r="AH24" i="50" s="1"/>
  <c r="X24" i="50"/>
  <c r="AM24" i="50" s="1"/>
  <c r="S24" i="50"/>
  <c r="U24" i="50" s="1"/>
  <c r="I24" i="50"/>
  <c r="H24" i="50"/>
  <c r="G24" i="50"/>
  <c r="F24" i="50"/>
  <c r="E24" i="50"/>
  <c r="D24" i="50"/>
  <c r="C24" i="50"/>
  <c r="B24" i="50"/>
  <c r="AO23" i="50"/>
  <c r="AL23" i="50"/>
  <c r="AK23" i="50"/>
  <c r="AF23" i="50"/>
  <c r="AH23" i="50" s="1"/>
  <c r="X23" i="50"/>
  <c r="AM23" i="50" s="1"/>
  <c r="S23" i="50"/>
  <c r="U23" i="50" s="1"/>
  <c r="I23" i="50"/>
  <c r="H23" i="50"/>
  <c r="G23" i="50"/>
  <c r="F23" i="50"/>
  <c r="E23" i="50"/>
  <c r="D23" i="50"/>
  <c r="C23" i="50"/>
  <c r="B23" i="50"/>
  <c r="AO22" i="50"/>
  <c r="AL22" i="50"/>
  <c r="AK22" i="50"/>
  <c r="AF22" i="50"/>
  <c r="AH22" i="50" s="1"/>
  <c r="X22" i="50"/>
  <c r="S22" i="50"/>
  <c r="U22" i="50" s="1"/>
  <c r="I22" i="50"/>
  <c r="H22" i="50"/>
  <c r="G22" i="50"/>
  <c r="F22" i="50"/>
  <c r="E22" i="50"/>
  <c r="D22" i="50"/>
  <c r="C22" i="50"/>
  <c r="B22" i="50"/>
  <c r="AO21" i="50"/>
  <c r="AL21" i="50"/>
  <c r="AK21" i="50"/>
  <c r="AF21" i="50"/>
  <c r="AH21" i="50" s="1"/>
  <c r="X21" i="50"/>
  <c r="AM21" i="50" s="1"/>
  <c r="S21" i="50"/>
  <c r="U21" i="50" s="1"/>
  <c r="I21" i="50"/>
  <c r="H21" i="50"/>
  <c r="G21" i="50"/>
  <c r="F21" i="50"/>
  <c r="E21" i="50"/>
  <c r="D21" i="50"/>
  <c r="C21" i="50"/>
  <c r="B21" i="50"/>
  <c r="AO20" i="50"/>
  <c r="AL20" i="50"/>
  <c r="AK20" i="50"/>
  <c r="AF20" i="50"/>
  <c r="AH20" i="50" s="1"/>
  <c r="X20" i="50"/>
  <c r="S20" i="50"/>
  <c r="U20" i="50" s="1"/>
  <c r="I20" i="50"/>
  <c r="H20" i="50"/>
  <c r="G20" i="50"/>
  <c r="F20" i="50"/>
  <c r="E20" i="50"/>
  <c r="D20" i="50"/>
  <c r="C20" i="50"/>
  <c r="B20" i="50"/>
  <c r="AO19" i="50"/>
  <c r="AL19" i="50"/>
  <c r="AK19" i="50"/>
  <c r="AF19" i="50"/>
  <c r="AH19" i="50" s="1"/>
  <c r="X19" i="50"/>
  <c r="S19" i="50"/>
  <c r="U19" i="50" s="1"/>
  <c r="I19" i="50"/>
  <c r="H19" i="50"/>
  <c r="G19" i="50"/>
  <c r="F19" i="50"/>
  <c r="E19" i="50"/>
  <c r="D19" i="50"/>
  <c r="C19" i="50"/>
  <c r="B19" i="50"/>
  <c r="AO18" i="50"/>
  <c r="AL18" i="50"/>
  <c r="AK18" i="50"/>
  <c r="AF18" i="50"/>
  <c r="AH18" i="50" s="1"/>
  <c r="X18" i="50"/>
  <c r="S18" i="50"/>
  <c r="U18" i="50" s="1"/>
  <c r="I18" i="50"/>
  <c r="H18" i="50"/>
  <c r="G18" i="50"/>
  <c r="F18" i="50"/>
  <c r="E18" i="50"/>
  <c r="D18" i="50"/>
  <c r="C18" i="50"/>
  <c r="B18" i="50"/>
  <c r="AO17" i="50"/>
  <c r="AL17" i="50"/>
  <c r="AK17" i="50"/>
  <c r="AF17" i="50"/>
  <c r="AH17" i="50" s="1"/>
  <c r="X17" i="50"/>
  <c r="AM17" i="50" s="1"/>
  <c r="S17" i="50"/>
  <c r="I17" i="50"/>
  <c r="H17" i="50"/>
  <c r="G17" i="50"/>
  <c r="F17" i="50"/>
  <c r="E17" i="50"/>
  <c r="D17" i="50"/>
  <c r="C17" i="50"/>
  <c r="B17" i="50"/>
  <c r="AO16" i="50"/>
  <c r="AL16" i="50"/>
  <c r="AK16" i="50"/>
  <c r="AF16" i="50"/>
  <c r="AH16" i="50" s="1"/>
  <c r="X16" i="50"/>
  <c r="S16" i="50"/>
  <c r="I16" i="50"/>
  <c r="H16" i="50"/>
  <c r="G16" i="50"/>
  <c r="F16" i="50"/>
  <c r="E16" i="50"/>
  <c r="D16" i="50"/>
  <c r="C16" i="50"/>
  <c r="B16" i="50"/>
  <c r="AO15" i="50"/>
  <c r="AL15" i="50"/>
  <c r="AK15" i="50"/>
  <c r="AF15" i="50"/>
  <c r="AH15" i="50" s="1"/>
  <c r="X15" i="50"/>
  <c r="S15" i="50"/>
  <c r="I15" i="50"/>
  <c r="H15" i="50"/>
  <c r="G15" i="50"/>
  <c r="F15" i="50"/>
  <c r="E15" i="50"/>
  <c r="D15" i="50"/>
  <c r="C15" i="50"/>
  <c r="B15" i="50"/>
  <c r="AO14" i="50"/>
  <c r="AL14" i="50"/>
  <c r="AK14" i="50"/>
  <c r="AF14" i="50"/>
  <c r="AH14" i="50" s="1"/>
  <c r="X14" i="50"/>
  <c r="S14" i="50"/>
  <c r="U14" i="50" s="1"/>
  <c r="I14" i="50"/>
  <c r="H14" i="50"/>
  <c r="G14" i="50"/>
  <c r="F14" i="50"/>
  <c r="E14" i="50"/>
  <c r="D14" i="50"/>
  <c r="C14" i="50"/>
  <c r="B14" i="50"/>
  <c r="AO13" i="50"/>
  <c r="AL13" i="50"/>
  <c r="AK13" i="50"/>
  <c r="AM13" i="50" s="1"/>
  <c r="AF13" i="50"/>
  <c r="AH13" i="50" s="1"/>
  <c r="X13" i="50"/>
  <c r="S13" i="50"/>
  <c r="U13" i="50" s="1"/>
  <c r="I13" i="50"/>
  <c r="H13" i="50"/>
  <c r="G13" i="50"/>
  <c r="F13" i="50"/>
  <c r="E13" i="50"/>
  <c r="D13" i="50"/>
  <c r="C13" i="50"/>
  <c r="B13" i="50"/>
  <c r="AO12" i="50"/>
  <c r="AL12" i="50"/>
  <c r="AK12" i="50"/>
  <c r="AF12" i="50"/>
  <c r="AH12" i="50" s="1"/>
  <c r="X12" i="50"/>
  <c r="AM12" i="50" s="1"/>
  <c r="S12" i="50"/>
  <c r="U12" i="50" s="1"/>
  <c r="I12" i="50"/>
  <c r="H12" i="50"/>
  <c r="G12" i="50"/>
  <c r="F12" i="50"/>
  <c r="E12" i="50"/>
  <c r="D12" i="50"/>
  <c r="C12" i="50"/>
  <c r="B12" i="50"/>
  <c r="AO11" i="50"/>
  <c r="AL11" i="50"/>
  <c r="AK11" i="50"/>
  <c r="AM11" i="50" s="1"/>
  <c r="AF11" i="50"/>
  <c r="AH11" i="50" s="1"/>
  <c r="X11" i="50"/>
  <c r="S11" i="50"/>
  <c r="AN11" i="50" s="1"/>
  <c r="I11" i="50"/>
  <c r="H11" i="50"/>
  <c r="G11" i="50"/>
  <c r="F11" i="50"/>
  <c r="E11" i="50"/>
  <c r="D11" i="50"/>
  <c r="C11" i="50"/>
  <c r="B11" i="50"/>
  <c r="AO10" i="50"/>
  <c r="AL10" i="50"/>
  <c r="AK10" i="50"/>
  <c r="AF10" i="50"/>
  <c r="AH10" i="50" s="1"/>
  <c r="X10" i="50"/>
  <c r="S10" i="50"/>
  <c r="U10" i="50" s="1"/>
  <c r="I10" i="50"/>
  <c r="H10" i="50"/>
  <c r="G10" i="50"/>
  <c r="F10" i="50"/>
  <c r="E10" i="50"/>
  <c r="C10" i="50"/>
  <c r="B10" i="50"/>
  <c r="AO9" i="50"/>
  <c r="AL9" i="50"/>
  <c r="AK9" i="50"/>
  <c r="AF9" i="50"/>
  <c r="AH9" i="50" s="1"/>
  <c r="X9" i="50"/>
  <c r="AM9" i="50" s="1"/>
  <c r="S9" i="50"/>
  <c r="I9" i="50"/>
  <c r="H9" i="50"/>
  <c r="G9" i="50"/>
  <c r="F9" i="50"/>
  <c r="E9" i="50"/>
  <c r="D9" i="50"/>
  <c r="C9" i="50"/>
  <c r="B9" i="50"/>
  <c r="AO8" i="50"/>
  <c r="AL8" i="50"/>
  <c r="AK8" i="50"/>
  <c r="AF8" i="50"/>
  <c r="AH8" i="50" s="1"/>
  <c r="X8" i="50"/>
  <c r="S8" i="50"/>
  <c r="I8" i="50"/>
  <c r="H8" i="50"/>
  <c r="G8" i="50"/>
  <c r="F8" i="50"/>
  <c r="E8" i="50"/>
  <c r="D8" i="50"/>
  <c r="C8" i="50"/>
  <c r="B8" i="50"/>
  <c r="AO7" i="50"/>
  <c r="AL7" i="50"/>
  <c r="AK7" i="50"/>
  <c r="AF7" i="50"/>
  <c r="AH7" i="50" s="1"/>
  <c r="X7" i="50"/>
  <c r="AM7" i="50" s="1"/>
  <c r="S7" i="50"/>
  <c r="I7" i="50"/>
  <c r="H7" i="50"/>
  <c r="G7" i="50"/>
  <c r="F7" i="50"/>
  <c r="E7" i="50"/>
  <c r="D7" i="50"/>
  <c r="C7" i="50"/>
  <c r="B7" i="50"/>
  <c r="AO6" i="50"/>
  <c r="AL6" i="50"/>
  <c r="AK6" i="50"/>
  <c r="AH6" i="50"/>
  <c r="AF6" i="50"/>
  <c r="X6" i="50"/>
  <c r="S6" i="50"/>
  <c r="I6" i="50"/>
  <c r="H6" i="50"/>
  <c r="G6" i="50"/>
  <c r="F6" i="50"/>
  <c r="E6" i="50"/>
  <c r="D6" i="50"/>
  <c r="C6" i="50"/>
  <c r="B6" i="50"/>
  <c r="H2" i="50"/>
  <c r="E56" i="50" s="1"/>
  <c r="E2" i="50"/>
  <c r="D56" i="50" s="1"/>
  <c r="C2" i="50"/>
  <c r="C56" i="50" s="1"/>
  <c r="AG59" i="20"/>
  <c r="AG56" i="20"/>
  <c r="AG55" i="20"/>
  <c r="AG54" i="20"/>
  <c r="AG53" i="20"/>
  <c r="AP2" i="49"/>
  <c r="AP69" i="49" s="1"/>
  <c r="AB2" i="49"/>
  <c r="AB69" i="49" s="1"/>
  <c r="N2" i="49"/>
  <c r="J66" i="49"/>
  <c r="AG163" i="49" s="1"/>
  <c r="J65" i="49"/>
  <c r="AG162" i="49" s="1"/>
  <c r="AG58" i="20" s="1"/>
  <c r="J64" i="49"/>
  <c r="AG161" i="49" s="1"/>
  <c r="AG57" i="20" s="1"/>
  <c r="J63" i="49"/>
  <c r="AG160" i="49" s="1"/>
  <c r="AQ61" i="49"/>
  <c r="AJ61" i="49"/>
  <c r="AI61" i="49"/>
  <c r="AG61" i="49"/>
  <c r="AE61" i="49"/>
  <c r="AD61" i="49"/>
  <c r="AC61" i="49"/>
  <c r="AB61" i="49"/>
  <c r="AA61" i="49"/>
  <c r="Z61" i="49"/>
  <c r="Y61" i="49"/>
  <c r="W61" i="49"/>
  <c r="V61" i="49"/>
  <c r="T61" i="49"/>
  <c r="R61" i="49"/>
  <c r="Q61" i="49"/>
  <c r="P61" i="49"/>
  <c r="O61" i="49"/>
  <c r="N61" i="49"/>
  <c r="M61" i="49"/>
  <c r="L61" i="49"/>
  <c r="K61" i="49"/>
  <c r="AQ60" i="49"/>
  <c r="AJ60" i="49"/>
  <c r="AI60" i="49"/>
  <c r="AG60" i="49"/>
  <c r="AE60" i="49"/>
  <c r="AD60" i="49"/>
  <c r="AC60" i="49"/>
  <c r="AB60" i="49"/>
  <c r="AA60" i="49"/>
  <c r="Z60" i="49"/>
  <c r="Y60" i="49"/>
  <c r="W60" i="49"/>
  <c r="V60" i="49"/>
  <c r="T60" i="49"/>
  <c r="R60" i="49"/>
  <c r="Q60" i="49"/>
  <c r="P60" i="49"/>
  <c r="O60" i="49"/>
  <c r="N60" i="49"/>
  <c r="M60" i="49"/>
  <c r="L60" i="49"/>
  <c r="K60" i="49"/>
  <c r="AQ59" i="49"/>
  <c r="AJ59" i="49"/>
  <c r="AI59" i="49"/>
  <c r="AG59" i="49"/>
  <c r="AE59" i="49"/>
  <c r="AD59" i="49"/>
  <c r="AC59" i="49"/>
  <c r="AB59" i="49"/>
  <c r="AA59" i="49"/>
  <c r="Z59" i="49"/>
  <c r="Y59" i="49"/>
  <c r="W59" i="49"/>
  <c r="V59" i="49"/>
  <c r="T59" i="49"/>
  <c r="R59" i="49"/>
  <c r="Q59" i="49"/>
  <c r="P59" i="49"/>
  <c r="O59" i="49"/>
  <c r="N59" i="49"/>
  <c r="M59" i="49"/>
  <c r="L59" i="49"/>
  <c r="K59" i="49"/>
  <c r="AQ58" i="49"/>
  <c r="AJ58" i="49"/>
  <c r="AI58" i="49"/>
  <c r="AG58" i="49"/>
  <c r="AE58" i="49"/>
  <c r="AD58" i="49"/>
  <c r="AC58" i="49"/>
  <c r="AB58" i="49"/>
  <c r="AA58" i="49"/>
  <c r="Z58" i="49"/>
  <c r="Y58" i="49"/>
  <c r="W58" i="49"/>
  <c r="V58" i="49"/>
  <c r="T58" i="49"/>
  <c r="R58" i="49"/>
  <c r="R62" i="49" s="1"/>
  <c r="R66" i="49" s="1"/>
  <c r="Q58" i="49"/>
  <c r="Q62" i="49" s="1"/>
  <c r="P58" i="49"/>
  <c r="P62" i="49" s="1"/>
  <c r="P63" i="49" s="1"/>
  <c r="O58" i="49"/>
  <c r="N58" i="49"/>
  <c r="M58" i="49"/>
  <c r="L58" i="49"/>
  <c r="K58" i="49"/>
  <c r="AQ56" i="49"/>
  <c r="AF157" i="49" s="1"/>
  <c r="AF53" i="20" s="1"/>
  <c r="AJ56" i="49"/>
  <c r="W157" i="49" s="1"/>
  <c r="W53" i="20" s="1"/>
  <c r="AI56" i="49"/>
  <c r="V157" i="49" s="1"/>
  <c r="V53" i="20" s="1"/>
  <c r="AG56" i="49"/>
  <c r="Y157" i="49" s="1"/>
  <c r="Y53" i="20" s="1"/>
  <c r="AE56" i="49"/>
  <c r="AD56" i="49"/>
  <c r="AC56" i="49"/>
  <c r="AB56" i="49"/>
  <c r="AA56" i="49"/>
  <c r="Z56" i="49"/>
  <c r="Y56" i="49"/>
  <c r="U157" i="49" s="1"/>
  <c r="U53" i="20" s="1"/>
  <c r="W56" i="49"/>
  <c r="Q157" i="49" s="1"/>
  <c r="Q53" i="20" s="1"/>
  <c r="V56" i="49"/>
  <c r="P157" i="49" s="1"/>
  <c r="P53" i="20" s="1"/>
  <c r="T56" i="49"/>
  <c r="S157" i="49" s="1"/>
  <c r="S53" i="20" s="1"/>
  <c r="R56" i="49"/>
  <c r="Q56" i="49"/>
  <c r="P56" i="49"/>
  <c r="O56" i="49"/>
  <c r="N56" i="49"/>
  <c r="M56" i="49"/>
  <c r="L56" i="49"/>
  <c r="O157" i="49" s="1"/>
  <c r="O53" i="20" s="1"/>
  <c r="K56" i="49"/>
  <c r="N157" i="49" s="1"/>
  <c r="N53" i="20" s="1"/>
  <c r="AO55" i="49"/>
  <c r="AL55" i="49"/>
  <c r="AK55" i="49"/>
  <c r="AH55" i="49"/>
  <c r="AF55" i="49"/>
  <c r="X55" i="49"/>
  <c r="AM55" i="49" s="1"/>
  <c r="S55" i="49"/>
  <c r="AN55" i="49" s="1"/>
  <c r="AP55" i="49" s="1"/>
  <c r="I55" i="49"/>
  <c r="H55" i="49"/>
  <c r="G55" i="49"/>
  <c r="F55" i="49"/>
  <c r="E55" i="49"/>
  <c r="D55" i="49"/>
  <c r="C55" i="49"/>
  <c r="B55" i="49"/>
  <c r="AO54" i="49"/>
  <c r="AL54" i="49"/>
  <c r="AK54" i="49"/>
  <c r="AH54" i="49"/>
  <c r="AF54" i="49"/>
  <c r="X54" i="49"/>
  <c r="S54" i="49"/>
  <c r="U54" i="49" s="1"/>
  <c r="I54" i="49"/>
  <c r="H54" i="49"/>
  <c r="G54" i="49"/>
  <c r="F54" i="49"/>
  <c r="E54" i="49"/>
  <c r="D54" i="49"/>
  <c r="C54" i="49"/>
  <c r="B54" i="49"/>
  <c r="AO53" i="49"/>
  <c r="AL53" i="49"/>
  <c r="AK53" i="49"/>
  <c r="AF53" i="49"/>
  <c r="AH53" i="49" s="1"/>
  <c r="X53" i="49"/>
  <c r="S53" i="49"/>
  <c r="U53" i="49" s="1"/>
  <c r="I53" i="49"/>
  <c r="H53" i="49"/>
  <c r="G53" i="49"/>
  <c r="F53" i="49"/>
  <c r="E53" i="49"/>
  <c r="D53" i="49"/>
  <c r="C53" i="49"/>
  <c r="B53" i="49"/>
  <c r="AO52" i="49"/>
  <c r="AL52" i="49"/>
  <c r="AK52" i="49"/>
  <c r="AF52" i="49"/>
  <c r="AH52" i="49" s="1"/>
  <c r="X52" i="49"/>
  <c r="S52" i="49"/>
  <c r="U52" i="49" s="1"/>
  <c r="I52" i="49"/>
  <c r="H52" i="49"/>
  <c r="G52" i="49"/>
  <c r="F52" i="49"/>
  <c r="E52" i="49"/>
  <c r="D52" i="49"/>
  <c r="C52" i="49"/>
  <c r="B52" i="49"/>
  <c r="AO51" i="49"/>
  <c r="AL51" i="49"/>
  <c r="AK51" i="49"/>
  <c r="AF51" i="49"/>
  <c r="AH51" i="49" s="1"/>
  <c r="X51" i="49"/>
  <c r="AM51" i="49" s="1"/>
  <c r="S51" i="49"/>
  <c r="U51" i="49" s="1"/>
  <c r="I51" i="49"/>
  <c r="H51" i="49"/>
  <c r="G51" i="49"/>
  <c r="F51" i="49"/>
  <c r="E51" i="49"/>
  <c r="D51" i="49"/>
  <c r="C51" i="49"/>
  <c r="B51" i="49"/>
  <c r="AO50" i="49"/>
  <c r="AL50" i="49"/>
  <c r="AK50" i="49"/>
  <c r="AF50" i="49"/>
  <c r="AH50" i="49" s="1"/>
  <c r="X50" i="49"/>
  <c r="U50" i="49"/>
  <c r="S50" i="49"/>
  <c r="AN50" i="49" s="1"/>
  <c r="I50" i="49"/>
  <c r="H50" i="49"/>
  <c r="G50" i="49"/>
  <c r="F50" i="49"/>
  <c r="E50" i="49"/>
  <c r="D50" i="49"/>
  <c r="C50" i="49"/>
  <c r="B50" i="49"/>
  <c r="AO49" i="49"/>
  <c r="AL49" i="49"/>
  <c r="AK49" i="49"/>
  <c r="AH49" i="49"/>
  <c r="AF49" i="49"/>
  <c r="X49" i="49"/>
  <c r="S49" i="49"/>
  <c r="AN49" i="49" s="1"/>
  <c r="I49" i="49"/>
  <c r="H49" i="49"/>
  <c r="G49" i="49"/>
  <c r="F49" i="49"/>
  <c r="E49" i="49"/>
  <c r="D49" i="49"/>
  <c r="C49" i="49"/>
  <c r="B49" i="49"/>
  <c r="AO48" i="49"/>
  <c r="AL48" i="49"/>
  <c r="AK48" i="49"/>
  <c r="AF48" i="49"/>
  <c r="AH48" i="49" s="1"/>
  <c r="X48" i="49"/>
  <c r="AM48" i="49" s="1"/>
  <c r="U48" i="49"/>
  <c r="S48" i="49"/>
  <c r="AN48" i="49" s="1"/>
  <c r="I48" i="49"/>
  <c r="H48" i="49"/>
  <c r="G48" i="49"/>
  <c r="F48" i="49"/>
  <c r="E48" i="49"/>
  <c r="D48" i="49"/>
  <c r="C48" i="49"/>
  <c r="B48" i="49"/>
  <c r="AO47" i="49"/>
  <c r="AL47" i="49"/>
  <c r="AK47" i="49"/>
  <c r="AF47" i="49"/>
  <c r="AH47" i="49" s="1"/>
  <c r="X47" i="49"/>
  <c r="AM47" i="49" s="1"/>
  <c r="U47" i="49"/>
  <c r="S47" i="49"/>
  <c r="I47" i="49"/>
  <c r="H47" i="49"/>
  <c r="G47" i="49"/>
  <c r="F47" i="49"/>
  <c r="E47" i="49"/>
  <c r="D47" i="49"/>
  <c r="C47" i="49"/>
  <c r="B47" i="49"/>
  <c r="AO46" i="49"/>
  <c r="AL46" i="49"/>
  <c r="AK46" i="49"/>
  <c r="AF46" i="49"/>
  <c r="AH46" i="49" s="1"/>
  <c r="X46" i="49"/>
  <c r="AM46" i="49" s="1"/>
  <c r="S46" i="49"/>
  <c r="I46" i="49"/>
  <c r="H46" i="49"/>
  <c r="G46" i="49"/>
  <c r="F46" i="49"/>
  <c r="E46" i="49"/>
  <c r="D46" i="49"/>
  <c r="C46" i="49"/>
  <c r="B46" i="49"/>
  <c r="AO45" i="49"/>
  <c r="AL45" i="49"/>
  <c r="AK45" i="49"/>
  <c r="AF45" i="49"/>
  <c r="AH45" i="49" s="1"/>
  <c r="X45" i="49"/>
  <c r="S45" i="49"/>
  <c r="U45" i="49" s="1"/>
  <c r="I45" i="49"/>
  <c r="H45" i="49"/>
  <c r="G45" i="49"/>
  <c r="F45" i="49"/>
  <c r="E45" i="49"/>
  <c r="D45" i="49"/>
  <c r="C45" i="49"/>
  <c r="B45" i="49"/>
  <c r="AO44" i="49"/>
  <c r="AL44" i="49"/>
  <c r="AK44" i="49"/>
  <c r="AF44" i="49"/>
  <c r="AH44" i="49" s="1"/>
  <c r="X44" i="49"/>
  <c r="S44" i="49"/>
  <c r="U44" i="49" s="1"/>
  <c r="I44" i="49"/>
  <c r="H44" i="49"/>
  <c r="G44" i="49"/>
  <c r="F44" i="49"/>
  <c r="E44" i="49"/>
  <c r="D44" i="49"/>
  <c r="C44" i="49"/>
  <c r="B44" i="49"/>
  <c r="AO43" i="49"/>
  <c r="AL43" i="49"/>
  <c r="AK43" i="49"/>
  <c r="AF43" i="49"/>
  <c r="AH43" i="49" s="1"/>
  <c r="X43" i="49"/>
  <c r="AM43" i="49" s="1"/>
  <c r="U43" i="49"/>
  <c r="S43" i="49"/>
  <c r="I43" i="49"/>
  <c r="H43" i="49"/>
  <c r="G43" i="49"/>
  <c r="F43" i="49"/>
  <c r="E43" i="49"/>
  <c r="D43" i="49"/>
  <c r="C43" i="49"/>
  <c r="B43" i="49"/>
  <c r="AO42" i="49"/>
  <c r="AP42" i="49" s="1"/>
  <c r="AL42" i="49"/>
  <c r="AK42" i="49"/>
  <c r="AF42" i="49"/>
  <c r="AH42" i="49" s="1"/>
  <c r="X42" i="49"/>
  <c r="AM42" i="49" s="1"/>
  <c r="U42" i="49"/>
  <c r="S42" i="49"/>
  <c r="AN42" i="49" s="1"/>
  <c r="I42" i="49"/>
  <c r="H42" i="49"/>
  <c r="G42" i="49"/>
  <c r="F42" i="49"/>
  <c r="E42" i="49"/>
  <c r="D42" i="49"/>
  <c r="C42" i="49"/>
  <c r="B42" i="49"/>
  <c r="AO41" i="49"/>
  <c r="AL41" i="49"/>
  <c r="AK41" i="49"/>
  <c r="AH41" i="49"/>
  <c r="AF41" i="49"/>
  <c r="X41" i="49"/>
  <c r="AM41" i="49" s="1"/>
  <c r="U41" i="49"/>
  <c r="S41" i="49"/>
  <c r="AN41" i="49" s="1"/>
  <c r="I41" i="49"/>
  <c r="H41" i="49"/>
  <c r="G41" i="49"/>
  <c r="F41" i="49"/>
  <c r="E41" i="49"/>
  <c r="D41" i="49"/>
  <c r="C41" i="49"/>
  <c r="B41" i="49"/>
  <c r="AO40" i="49"/>
  <c r="AM40" i="49"/>
  <c r="AL40" i="49"/>
  <c r="AK40" i="49"/>
  <c r="AF40" i="49"/>
  <c r="AH40" i="49" s="1"/>
  <c r="X40" i="49"/>
  <c r="U40" i="49"/>
  <c r="S40" i="49"/>
  <c r="I40" i="49"/>
  <c r="H40" i="49"/>
  <c r="G40" i="49"/>
  <c r="F40" i="49"/>
  <c r="E40" i="49"/>
  <c r="D40" i="49"/>
  <c r="C40" i="49"/>
  <c r="B40" i="49"/>
  <c r="AO39" i="49"/>
  <c r="AM39" i="49"/>
  <c r="AL39" i="49"/>
  <c r="AK39" i="49"/>
  <c r="AH39" i="49"/>
  <c r="AF39" i="49"/>
  <c r="X39" i="49"/>
  <c r="S39" i="49"/>
  <c r="U39" i="49" s="1"/>
  <c r="I39" i="49"/>
  <c r="H39" i="49"/>
  <c r="G39" i="49"/>
  <c r="F39" i="49"/>
  <c r="E39" i="49"/>
  <c r="D39" i="49"/>
  <c r="C39" i="49"/>
  <c r="B39" i="49"/>
  <c r="AO38" i="49"/>
  <c r="AL38" i="49"/>
  <c r="AK38" i="49"/>
  <c r="AF38" i="49"/>
  <c r="AH38" i="49" s="1"/>
  <c r="X38" i="49"/>
  <c r="AM38" i="49" s="1"/>
  <c r="S38" i="49"/>
  <c r="I38" i="49"/>
  <c r="H38" i="49"/>
  <c r="G38" i="49"/>
  <c r="F38" i="49"/>
  <c r="E38" i="49"/>
  <c r="D38" i="49"/>
  <c r="C38" i="49"/>
  <c r="B38" i="49"/>
  <c r="AO37" i="49"/>
  <c r="AL37" i="49"/>
  <c r="AK37" i="49"/>
  <c r="AF37" i="49"/>
  <c r="AH37" i="49" s="1"/>
  <c r="X37" i="49"/>
  <c r="AM37" i="49" s="1"/>
  <c r="S37" i="49"/>
  <c r="U37" i="49" s="1"/>
  <c r="I37" i="49"/>
  <c r="H37" i="49"/>
  <c r="G37" i="49"/>
  <c r="F37" i="49"/>
  <c r="E37" i="49"/>
  <c r="D37" i="49"/>
  <c r="C37" i="49"/>
  <c r="B37" i="49"/>
  <c r="AO36" i="49"/>
  <c r="AL36" i="49"/>
  <c r="AK36" i="49"/>
  <c r="AF36" i="49"/>
  <c r="AH36" i="49" s="1"/>
  <c r="X36" i="49"/>
  <c r="S36" i="49"/>
  <c r="U36" i="49" s="1"/>
  <c r="I36" i="49"/>
  <c r="H36" i="49"/>
  <c r="G36" i="49"/>
  <c r="F36" i="49"/>
  <c r="E36" i="49"/>
  <c r="D36" i="49"/>
  <c r="C36" i="49"/>
  <c r="B36" i="49"/>
  <c r="AO35" i="49"/>
  <c r="AL35" i="49"/>
  <c r="AK35" i="49"/>
  <c r="AF35" i="49"/>
  <c r="AH35" i="49" s="1"/>
  <c r="X35" i="49"/>
  <c r="S35" i="49"/>
  <c r="U35" i="49" s="1"/>
  <c r="I35" i="49"/>
  <c r="H35" i="49"/>
  <c r="G35" i="49"/>
  <c r="F35" i="49"/>
  <c r="E35" i="49"/>
  <c r="D35" i="49"/>
  <c r="C35" i="49"/>
  <c r="B35" i="49"/>
  <c r="AO34" i="49"/>
  <c r="AL34" i="49"/>
  <c r="AK34" i="49"/>
  <c r="AF34" i="49"/>
  <c r="AH34" i="49" s="1"/>
  <c r="X34" i="49"/>
  <c r="AM34" i="49" s="1"/>
  <c r="S34" i="49"/>
  <c r="I34" i="49"/>
  <c r="H34" i="49"/>
  <c r="G34" i="49"/>
  <c r="F34" i="49"/>
  <c r="E34" i="49"/>
  <c r="D34" i="49"/>
  <c r="C34" i="49"/>
  <c r="B34" i="49"/>
  <c r="AO33" i="49"/>
  <c r="AL33" i="49"/>
  <c r="AK33" i="49"/>
  <c r="AM33" i="49" s="1"/>
  <c r="AH33" i="49"/>
  <c r="AF33" i="49"/>
  <c r="X33" i="49"/>
  <c r="S33" i="49"/>
  <c r="AN33" i="49" s="1"/>
  <c r="I33" i="49"/>
  <c r="H33" i="49"/>
  <c r="G33" i="49"/>
  <c r="F33" i="49"/>
  <c r="E33" i="49"/>
  <c r="D33" i="49"/>
  <c r="C33" i="49"/>
  <c r="B33" i="49"/>
  <c r="AO32" i="49"/>
  <c r="AL32" i="49"/>
  <c r="AK32" i="49"/>
  <c r="AH32" i="49"/>
  <c r="AF32" i="49"/>
  <c r="X32" i="49"/>
  <c r="AM32" i="49" s="1"/>
  <c r="U32" i="49"/>
  <c r="S32" i="49"/>
  <c r="AN32" i="49" s="1"/>
  <c r="AP32" i="49" s="1"/>
  <c r="I32" i="49"/>
  <c r="H32" i="49"/>
  <c r="G32" i="49"/>
  <c r="F32" i="49"/>
  <c r="E32" i="49"/>
  <c r="D32" i="49"/>
  <c r="C32" i="49"/>
  <c r="B32" i="49"/>
  <c r="AO31" i="49"/>
  <c r="AL31" i="49"/>
  <c r="AK31" i="49"/>
  <c r="AF31" i="49"/>
  <c r="AH31" i="49" s="1"/>
  <c r="X31" i="49"/>
  <c r="AM31" i="49" s="1"/>
  <c r="U31" i="49"/>
  <c r="S31" i="49"/>
  <c r="I31" i="49"/>
  <c r="H31" i="49"/>
  <c r="G31" i="49"/>
  <c r="F31" i="49"/>
  <c r="E31" i="49"/>
  <c r="D31" i="49"/>
  <c r="C31" i="49"/>
  <c r="B31" i="49"/>
  <c r="AO30" i="49"/>
  <c r="AL30" i="49"/>
  <c r="AK30" i="49"/>
  <c r="AF30" i="49"/>
  <c r="AH30" i="49" s="1"/>
  <c r="X30" i="49"/>
  <c r="AM30" i="49" s="1"/>
  <c r="S30" i="49"/>
  <c r="U30" i="49" s="1"/>
  <c r="I30" i="49"/>
  <c r="H30" i="49"/>
  <c r="G30" i="49"/>
  <c r="F30" i="49"/>
  <c r="E30" i="49"/>
  <c r="D30" i="49"/>
  <c r="C30" i="49"/>
  <c r="B30" i="49"/>
  <c r="AO29" i="49"/>
  <c r="AL29" i="49"/>
  <c r="AK29" i="49"/>
  <c r="AF29" i="49"/>
  <c r="AH29" i="49" s="1"/>
  <c r="X29" i="49"/>
  <c r="S29" i="49"/>
  <c r="U29" i="49" s="1"/>
  <c r="I29" i="49"/>
  <c r="H29" i="49"/>
  <c r="G29" i="49"/>
  <c r="F29" i="49"/>
  <c r="E29" i="49"/>
  <c r="D29" i="49"/>
  <c r="C29" i="49"/>
  <c r="B29" i="49"/>
  <c r="AO28" i="49"/>
  <c r="AL28" i="49"/>
  <c r="AK28" i="49"/>
  <c r="AF28" i="49"/>
  <c r="AH28" i="49" s="1"/>
  <c r="X28" i="49"/>
  <c r="AM28" i="49" s="1"/>
  <c r="S28" i="49"/>
  <c r="U28" i="49" s="1"/>
  <c r="I28" i="49"/>
  <c r="H28" i="49"/>
  <c r="G28" i="49"/>
  <c r="F28" i="49"/>
  <c r="E28" i="49"/>
  <c r="D28" i="49"/>
  <c r="C28" i="49"/>
  <c r="B28" i="49"/>
  <c r="AO27" i="49"/>
  <c r="AL27" i="49"/>
  <c r="AK27" i="49"/>
  <c r="AF27" i="49"/>
  <c r="AH27" i="49" s="1"/>
  <c r="X27" i="49"/>
  <c r="S27" i="49"/>
  <c r="U27" i="49" s="1"/>
  <c r="I27" i="49"/>
  <c r="H27" i="49"/>
  <c r="G27" i="49"/>
  <c r="F27" i="49"/>
  <c r="E27" i="49"/>
  <c r="D27" i="49"/>
  <c r="C27" i="49"/>
  <c r="B27" i="49"/>
  <c r="AO26" i="49"/>
  <c r="AL26" i="49"/>
  <c r="AK26" i="49"/>
  <c r="AF26" i="49"/>
  <c r="AH26" i="49" s="1"/>
  <c r="X26" i="49"/>
  <c r="U26" i="49"/>
  <c r="S26" i="49"/>
  <c r="I26" i="49"/>
  <c r="H26" i="49"/>
  <c r="G26" i="49"/>
  <c r="F26" i="49"/>
  <c r="E26" i="49"/>
  <c r="D26" i="49"/>
  <c r="C26" i="49"/>
  <c r="B26" i="49"/>
  <c r="AO25" i="49"/>
  <c r="AM25" i="49"/>
  <c r="AL25" i="49"/>
  <c r="AK25" i="49"/>
  <c r="AF25" i="49"/>
  <c r="AH25" i="49" s="1"/>
  <c r="X25" i="49"/>
  <c r="S25" i="49"/>
  <c r="I25" i="49"/>
  <c r="H25" i="49"/>
  <c r="G25" i="49"/>
  <c r="F25" i="49"/>
  <c r="E25" i="49"/>
  <c r="D25" i="49"/>
  <c r="C25" i="49"/>
  <c r="B25" i="49"/>
  <c r="AO24" i="49"/>
  <c r="AL24" i="49"/>
  <c r="AK24" i="49"/>
  <c r="AM24" i="49" s="1"/>
  <c r="AH24" i="49"/>
  <c r="AF24" i="49"/>
  <c r="X24" i="49"/>
  <c r="S24" i="49"/>
  <c r="AN24" i="49" s="1"/>
  <c r="I24" i="49"/>
  <c r="H24" i="49"/>
  <c r="G24" i="49"/>
  <c r="F24" i="49"/>
  <c r="E24" i="49"/>
  <c r="D24" i="49"/>
  <c r="C24" i="49"/>
  <c r="B24" i="49"/>
  <c r="AO23" i="49"/>
  <c r="AL23" i="49"/>
  <c r="AK23" i="49"/>
  <c r="AH23" i="49"/>
  <c r="AF23" i="49"/>
  <c r="X23" i="49"/>
  <c r="AM23" i="49" s="1"/>
  <c r="U23" i="49"/>
  <c r="S23" i="49"/>
  <c r="AN23" i="49" s="1"/>
  <c r="AP23" i="49" s="1"/>
  <c r="I23" i="49"/>
  <c r="H23" i="49"/>
  <c r="G23" i="49"/>
  <c r="F23" i="49"/>
  <c r="E23" i="49"/>
  <c r="D23" i="49"/>
  <c r="C23" i="49"/>
  <c r="B23" i="49"/>
  <c r="AO22" i="49"/>
  <c r="AL22" i="49"/>
  <c r="AK22" i="49"/>
  <c r="AH22" i="49"/>
  <c r="AF22" i="49"/>
  <c r="X22" i="49"/>
  <c r="S22" i="49"/>
  <c r="U22" i="49" s="1"/>
  <c r="I22" i="49"/>
  <c r="H22" i="49"/>
  <c r="G22" i="49"/>
  <c r="F22" i="49"/>
  <c r="E22" i="49"/>
  <c r="D22" i="49"/>
  <c r="C22" i="49"/>
  <c r="B22" i="49"/>
  <c r="AO21" i="49"/>
  <c r="AL21" i="49"/>
  <c r="AK21" i="49"/>
  <c r="AM21" i="49" s="1"/>
  <c r="AF21" i="49"/>
  <c r="AH21" i="49" s="1"/>
  <c r="X21" i="49"/>
  <c r="S21" i="49"/>
  <c r="U21" i="49" s="1"/>
  <c r="I21" i="49"/>
  <c r="H21" i="49"/>
  <c r="G21" i="49"/>
  <c r="F21" i="49"/>
  <c r="E21" i="49"/>
  <c r="D21" i="49"/>
  <c r="C21" i="49"/>
  <c r="B21" i="49"/>
  <c r="AO20" i="49"/>
  <c r="AL20" i="49"/>
  <c r="AK20" i="49"/>
  <c r="AF20" i="49"/>
  <c r="AH20" i="49" s="1"/>
  <c r="X20" i="49"/>
  <c r="AM20" i="49" s="1"/>
  <c r="S20" i="49"/>
  <c r="U20" i="49" s="1"/>
  <c r="I20" i="49"/>
  <c r="H20" i="49"/>
  <c r="G20" i="49"/>
  <c r="F20" i="49"/>
  <c r="E20" i="49"/>
  <c r="D20" i="49"/>
  <c r="C20" i="49"/>
  <c r="B20" i="49"/>
  <c r="AO19" i="49"/>
  <c r="AL19" i="49"/>
  <c r="AK19" i="49"/>
  <c r="AF19" i="49"/>
  <c r="AH19" i="49" s="1"/>
  <c r="X19" i="49"/>
  <c r="S19" i="49"/>
  <c r="U19" i="49" s="1"/>
  <c r="I19" i="49"/>
  <c r="H19" i="49"/>
  <c r="G19" i="49"/>
  <c r="F19" i="49"/>
  <c r="E19" i="49"/>
  <c r="D19" i="49"/>
  <c r="C19" i="49"/>
  <c r="B19" i="49"/>
  <c r="AO18" i="49"/>
  <c r="AL18" i="49"/>
  <c r="AK18" i="49"/>
  <c r="AF18" i="49"/>
  <c r="AH18" i="49" s="1"/>
  <c r="X18" i="49"/>
  <c r="U18" i="49"/>
  <c r="S18" i="49"/>
  <c r="AN18" i="49" s="1"/>
  <c r="I18" i="49"/>
  <c r="H18" i="49"/>
  <c r="G18" i="49"/>
  <c r="F18" i="49"/>
  <c r="E18" i="49"/>
  <c r="D18" i="49"/>
  <c r="C18" i="49"/>
  <c r="B18" i="49"/>
  <c r="AO17" i="49"/>
  <c r="AL17" i="49"/>
  <c r="AK17" i="49"/>
  <c r="AF17" i="49"/>
  <c r="AH17" i="49" s="1"/>
  <c r="X17" i="49"/>
  <c r="AM17" i="49" s="1"/>
  <c r="S17" i="49"/>
  <c r="U17" i="49" s="1"/>
  <c r="I17" i="49"/>
  <c r="H17" i="49"/>
  <c r="G17" i="49"/>
  <c r="F17" i="49"/>
  <c r="E17" i="49"/>
  <c r="D17" i="49"/>
  <c r="C17" i="49"/>
  <c r="B17" i="49"/>
  <c r="AO16" i="49"/>
  <c r="AL16" i="49"/>
  <c r="AK16" i="49"/>
  <c r="AF16" i="49"/>
  <c r="AH16" i="49" s="1"/>
  <c r="X16" i="49"/>
  <c r="AM16" i="49" s="1"/>
  <c r="S16" i="49"/>
  <c r="AN16" i="49" s="1"/>
  <c r="I16" i="49"/>
  <c r="H16" i="49"/>
  <c r="G16" i="49"/>
  <c r="F16" i="49"/>
  <c r="E16" i="49"/>
  <c r="D16" i="49"/>
  <c r="C16" i="49"/>
  <c r="B16" i="49"/>
  <c r="AO15" i="49"/>
  <c r="AM15" i="49"/>
  <c r="AL15" i="49"/>
  <c r="AK15" i="49"/>
  <c r="AF15" i="49"/>
  <c r="AH15" i="49" s="1"/>
  <c r="X15" i="49"/>
  <c r="S15" i="49"/>
  <c r="I15" i="49"/>
  <c r="H15" i="49"/>
  <c r="G15" i="49"/>
  <c r="F15" i="49"/>
  <c r="E15" i="49"/>
  <c r="D15" i="49"/>
  <c r="C15" i="49"/>
  <c r="B15" i="49"/>
  <c r="AO14" i="49"/>
  <c r="AL14" i="49"/>
  <c r="AK14" i="49"/>
  <c r="AF14" i="49"/>
  <c r="AH14" i="49" s="1"/>
  <c r="X14" i="49"/>
  <c r="S14" i="49"/>
  <c r="U14" i="49" s="1"/>
  <c r="I14" i="49"/>
  <c r="H14" i="49"/>
  <c r="G14" i="49"/>
  <c r="F14" i="49"/>
  <c r="E14" i="49"/>
  <c r="D14" i="49"/>
  <c r="C14" i="49"/>
  <c r="B14" i="49"/>
  <c r="AO13" i="49"/>
  <c r="AL13" i="49"/>
  <c r="AK13" i="49"/>
  <c r="AF13" i="49"/>
  <c r="AH13" i="49" s="1"/>
  <c r="X13" i="49"/>
  <c r="S13" i="49"/>
  <c r="U13" i="49" s="1"/>
  <c r="I13" i="49"/>
  <c r="H13" i="49"/>
  <c r="G13" i="49"/>
  <c r="F13" i="49"/>
  <c r="E13" i="49"/>
  <c r="D13" i="49"/>
  <c r="C13" i="49"/>
  <c r="B13" i="49"/>
  <c r="AO12" i="49"/>
  <c r="AL12" i="49"/>
  <c r="AK12" i="49"/>
  <c r="AF12" i="49"/>
  <c r="AH12" i="49" s="1"/>
  <c r="X12" i="49"/>
  <c r="S12" i="49"/>
  <c r="U12" i="49" s="1"/>
  <c r="I12" i="49"/>
  <c r="H12" i="49"/>
  <c r="G12" i="49"/>
  <c r="F12" i="49"/>
  <c r="E12" i="49"/>
  <c r="D12" i="49"/>
  <c r="C12" i="49"/>
  <c r="B12" i="49"/>
  <c r="AO11" i="49"/>
  <c r="AL11" i="49"/>
  <c r="AK11" i="49"/>
  <c r="AF11" i="49"/>
  <c r="AH11" i="49" s="1"/>
  <c r="X11" i="49"/>
  <c r="S11" i="49"/>
  <c r="U11" i="49" s="1"/>
  <c r="I11" i="49"/>
  <c r="H11" i="49"/>
  <c r="G11" i="49"/>
  <c r="F11" i="49"/>
  <c r="E11" i="49"/>
  <c r="D11" i="49"/>
  <c r="C11" i="49"/>
  <c r="B11" i="49"/>
  <c r="AO10" i="49"/>
  <c r="AL10" i="49"/>
  <c r="AK10" i="49"/>
  <c r="AF10" i="49"/>
  <c r="AH10" i="49" s="1"/>
  <c r="X10" i="49"/>
  <c r="U10" i="49"/>
  <c r="S10" i="49"/>
  <c r="I10" i="49"/>
  <c r="H10" i="49"/>
  <c r="G10" i="49"/>
  <c r="F10" i="49"/>
  <c r="E10" i="49"/>
  <c r="C10" i="49"/>
  <c r="B10" i="49"/>
  <c r="AO9" i="49"/>
  <c r="AL9" i="49"/>
  <c r="AK9" i="49"/>
  <c r="AF9" i="49"/>
  <c r="AH9" i="49" s="1"/>
  <c r="X9" i="49"/>
  <c r="AM9" i="49" s="1"/>
  <c r="S9" i="49"/>
  <c r="U9" i="49" s="1"/>
  <c r="I9" i="49"/>
  <c r="H9" i="49"/>
  <c r="G9" i="49"/>
  <c r="F9" i="49"/>
  <c r="E9" i="49"/>
  <c r="D9" i="49"/>
  <c r="C9" i="49"/>
  <c r="B9" i="49"/>
  <c r="AO8" i="49"/>
  <c r="AL8" i="49"/>
  <c r="AK8" i="49"/>
  <c r="AF8" i="49"/>
  <c r="AH8" i="49" s="1"/>
  <c r="X8" i="49"/>
  <c r="AM8" i="49" s="1"/>
  <c r="S8" i="49"/>
  <c r="U8" i="49" s="1"/>
  <c r="I8" i="49"/>
  <c r="H8" i="49"/>
  <c r="G8" i="49"/>
  <c r="F8" i="49"/>
  <c r="E8" i="49"/>
  <c r="D8" i="49"/>
  <c r="C8" i="49"/>
  <c r="B8" i="49"/>
  <c r="AO7" i="49"/>
  <c r="AL7" i="49"/>
  <c r="AK7" i="49"/>
  <c r="AF7" i="49"/>
  <c r="AH7" i="49" s="1"/>
  <c r="X7" i="49"/>
  <c r="AM7" i="49" s="1"/>
  <c r="S7" i="49"/>
  <c r="I7" i="49"/>
  <c r="H7" i="49"/>
  <c r="G7" i="49"/>
  <c r="F7" i="49"/>
  <c r="E7" i="49"/>
  <c r="D7" i="49"/>
  <c r="C7" i="49"/>
  <c r="B7" i="49"/>
  <c r="AO6" i="49"/>
  <c r="AL6" i="49"/>
  <c r="AK6" i="49"/>
  <c r="AF6" i="49"/>
  <c r="AH6" i="49" s="1"/>
  <c r="X6" i="49"/>
  <c r="S6" i="49"/>
  <c r="U6" i="49" s="1"/>
  <c r="I6" i="49"/>
  <c r="H6" i="49"/>
  <c r="G6" i="49"/>
  <c r="F6" i="49"/>
  <c r="E6" i="49"/>
  <c r="D6" i="49"/>
  <c r="C6" i="49"/>
  <c r="B6" i="49"/>
  <c r="N69" i="49"/>
  <c r="H2" i="49"/>
  <c r="E2" i="49"/>
  <c r="C2" i="49"/>
  <c r="C56" i="49" s="1"/>
  <c r="AG52" i="20"/>
  <c r="AG49" i="20"/>
  <c r="AG48" i="20"/>
  <c r="AG47" i="20"/>
  <c r="AG46" i="20"/>
  <c r="AP2" i="48"/>
  <c r="AP69" i="48" s="1"/>
  <c r="AB2" i="48"/>
  <c r="AB69" i="48" s="1"/>
  <c r="N2" i="48"/>
  <c r="N69" i="48" s="1"/>
  <c r="J66" i="48"/>
  <c r="AG163" i="48" s="1"/>
  <c r="J65" i="48"/>
  <c r="AG162" i="48" s="1"/>
  <c r="AG51" i="20" s="1"/>
  <c r="J64" i="48"/>
  <c r="AG161" i="48" s="1"/>
  <c r="AG50" i="20" s="1"/>
  <c r="J63" i="48"/>
  <c r="AG160" i="48" s="1"/>
  <c r="AQ61" i="48"/>
  <c r="AJ61" i="48"/>
  <c r="AI61" i="48"/>
  <c r="AG61" i="48"/>
  <c r="AE61" i="48"/>
  <c r="AD61" i="48"/>
  <c r="AC61" i="48"/>
  <c r="AB61" i="48"/>
  <c r="AA61" i="48"/>
  <c r="Z61" i="48"/>
  <c r="Y61" i="48"/>
  <c r="W61" i="48"/>
  <c r="V61" i="48"/>
  <c r="T61" i="48"/>
  <c r="R61" i="48"/>
  <c r="Q61" i="48"/>
  <c r="P61" i="48"/>
  <c r="O61" i="48"/>
  <c r="N61" i="48"/>
  <c r="M61" i="48"/>
  <c r="L61" i="48"/>
  <c r="K61" i="48"/>
  <c r="AQ60" i="48"/>
  <c r="AJ60" i="48"/>
  <c r="AI60" i="48"/>
  <c r="AG60" i="48"/>
  <c r="AE60" i="48"/>
  <c r="AD60" i="48"/>
  <c r="AC60" i="48"/>
  <c r="AB60" i="48"/>
  <c r="AA60" i="48"/>
  <c r="Z60" i="48"/>
  <c r="Y60" i="48"/>
  <c r="W60" i="48"/>
  <c r="V60" i="48"/>
  <c r="T60" i="48"/>
  <c r="R60" i="48"/>
  <c r="Q60" i="48"/>
  <c r="P60" i="48"/>
  <c r="O60" i="48"/>
  <c r="N60" i="48"/>
  <c r="M60" i="48"/>
  <c r="L60" i="48"/>
  <c r="K60" i="48"/>
  <c r="AQ59" i="48"/>
  <c r="AJ59" i="48"/>
  <c r="AI59" i="48"/>
  <c r="AG59" i="48"/>
  <c r="AE59" i="48"/>
  <c r="AD59" i="48"/>
  <c r="AC59" i="48"/>
  <c r="AB59" i="48"/>
  <c r="AA59" i="48"/>
  <c r="Z59" i="48"/>
  <c r="Y59" i="48"/>
  <c r="W59" i="48"/>
  <c r="V59" i="48"/>
  <c r="T59" i="48"/>
  <c r="R59" i="48"/>
  <c r="Q59" i="48"/>
  <c r="P59" i="48"/>
  <c r="O59" i="48"/>
  <c r="N59" i="48"/>
  <c r="M59" i="48"/>
  <c r="L59" i="48"/>
  <c r="K59" i="48"/>
  <c r="AQ58" i="48"/>
  <c r="AJ58" i="48"/>
  <c r="AI58" i="48"/>
  <c r="AG58" i="48"/>
  <c r="AG62" i="48" s="1"/>
  <c r="AE58" i="48"/>
  <c r="AD58" i="48"/>
  <c r="AC58" i="48"/>
  <c r="AB58" i="48"/>
  <c r="AA58" i="48"/>
  <c r="Z58" i="48"/>
  <c r="Y58" i="48"/>
  <c r="W58" i="48"/>
  <c r="V58" i="48"/>
  <c r="T58" i="48"/>
  <c r="R58" i="48"/>
  <c r="Q58" i="48"/>
  <c r="Q62" i="48" s="1"/>
  <c r="P58" i="48"/>
  <c r="O58" i="48"/>
  <c r="N58" i="48"/>
  <c r="M58" i="48"/>
  <c r="L58" i="48"/>
  <c r="K58" i="48"/>
  <c r="AQ56" i="48"/>
  <c r="AF157" i="48" s="1"/>
  <c r="AF46" i="20" s="1"/>
  <c r="AJ56" i="48"/>
  <c r="W157" i="48" s="1"/>
  <c r="W46" i="20" s="1"/>
  <c r="AI56" i="48"/>
  <c r="V157" i="48" s="1"/>
  <c r="V46" i="20" s="1"/>
  <c r="AG56" i="48"/>
  <c r="Y157" i="48" s="1"/>
  <c r="Y46" i="20" s="1"/>
  <c r="AE56" i="48"/>
  <c r="AD56" i="48"/>
  <c r="AC56" i="48"/>
  <c r="AB56" i="48"/>
  <c r="AA56" i="48"/>
  <c r="Z56" i="48"/>
  <c r="Y56" i="48"/>
  <c r="U157" i="48" s="1"/>
  <c r="U46" i="20" s="1"/>
  <c r="W56" i="48"/>
  <c r="Q157" i="48" s="1"/>
  <c r="Q46" i="20" s="1"/>
  <c r="V56" i="48"/>
  <c r="P157" i="48" s="1"/>
  <c r="P46" i="20" s="1"/>
  <c r="T56" i="48"/>
  <c r="S157" i="48" s="1"/>
  <c r="S46" i="20" s="1"/>
  <c r="R56" i="48"/>
  <c r="Q56" i="48"/>
  <c r="P56" i="48"/>
  <c r="O56" i="48"/>
  <c r="N56" i="48"/>
  <c r="M56" i="48"/>
  <c r="L56" i="48"/>
  <c r="O157" i="48" s="1"/>
  <c r="O46" i="20" s="1"/>
  <c r="K56" i="48"/>
  <c r="N157" i="48" s="1"/>
  <c r="N46" i="20" s="1"/>
  <c r="AO55" i="48"/>
  <c r="AL55" i="48"/>
  <c r="AK55" i="48"/>
  <c r="AH55" i="48"/>
  <c r="AF55" i="48"/>
  <c r="X55" i="48"/>
  <c r="AM55" i="48" s="1"/>
  <c r="S55" i="48"/>
  <c r="AN55" i="48" s="1"/>
  <c r="AP55" i="48" s="1"/>
  <c r="I55" i="48"/>
  <c r="H55" i="48"/>
  <c r="G55" i="48"/>
  <c r="F55" i="48"/>
  <c r="E55" i="48"/>
  <c r="D55" i="48"/>
  <c r="C55" i="48"/>
  <c r="B55" i="48"/>
  <c r="AO54" i="48"/>
  <c r="AL54" i="48"/>
  <c r="AK54" i="48"/>
  <c r="AF54" i="48"/>
  <c r="AH54" i="48" s="1"/>
  <c r="X54" i="48"/>
  <c r="S54" i="48"/>
  <c r="U54" i="48" s="1"/>
  <c r="I54" i="48"/>
  <c r="H54" i="48"/>
  <c r="G54" i="48"/>
  <c r="F54" i="48"/>
  <c r="E54" i="48"/>
  <c r="D54" i="48"/>
  <c r="C54" i="48"/>
  <c r="B54" i="48"/>
  <c r="AO53" i="48"/>
  <c r="AL53" i="48"/>
  <c r="AK53" i="48"/>
  <c r="AF53" i="48"/>
  <c r="AH53" i="48" s="1"/>
  <c r="X53" i="48"/>
  <c r="AM53" i="48" s="1"/>
  <c r="S53" i="48"/>
  <c r="U53" i="48" s="1"/>
  <c r="I53" i="48"/>
  <c r="H53" i="48"/>
  <c r="G53" i="48"/>
  <c r="F53" i="48"/>
  <c r="E53" i="48"/>
  <c r="D53" i="48"/>
  <c r="C53" i="48"/>
  <c r="B53" i="48"/>
  <c r="AO52" i="48"/>
  <c r="AL52" i="48"/>
  <c r="AK52" i="48"/>
  <c r="AM52" i="48" s="1"/>
  <c r="AF52" i="48"/>
  <c r="AH52" i="48" s="1"/>
  <c r="X52" i="48"/>
  <c r="S52" i="48"/>
  <c r="U52" i="48" s="1"/>
  <c r="I52" i="48"/>
  <c r="H52" i="48"/>
  <c r="G52" i="48"/>
  <c r="F52" i="48"/>
  <c r="E52" i="48"/>
  <c r="D52" i="48"/>
  <c r="C52" i="48"/>
  <c r="B52" i="48"/>
  <c r="AO51" i="48"/>
  <c r="AL51" i="48"/>
  <c r="AK51" i="48"/>
  <c r="AF51" i="48"/>
  <c r="AH51" i="48" s="1"/>
  <c r="X51" i="48"/>
  <c r="AM51" i="48" s="1"/>
  <c r="S51" i="48"/>
  <c r="I51" i="48"/>
  <c r="H51" i="48"/>
  <c r="G51" i="48"/>
  <c r="F51" i="48"/>
  <c r="E51" i="48"/>
  <c r="D51" i="48"/>
  <c r="C51" i="48"/>
  <c r="B51" i="48"/>
  <c r="AO50" i="48"/>
  <c r="AL50" i="48"/>
  <c r="AK50" i="48"/>
  <c r="AF50" i="48"/>
  <c r="AH50" i="48" s="1"/>
  <c r="X50" i="48"/>
  <c r="AM50" i="48" s="1"/>
  <c r="S50" i="48"/>
  <c r="I50" i="48"/>
  <c r="H50" i="48"/>
  <c r="G50" i="48"/>
  <c r="F50" i="48"/>
  <c r="E50" i="48"/>
  <c r="D50" i="48"/>
  <c r="C50" i="48"/>
  <c r="B50" i="48"/>
  <c r="AO49" i="48"/>
  <c r="AM49" i="48"/>
  <c r="AL49" i="48"/>
  <c r="AK49" i="48"/>
  <c r="AF49" i="48"/>
  <c r="AH49" i="48" s="1"/>
  <c r="X49" i="48"/>
  <c r="S49" i="48"/>
  <c r="I49" i="48"/>
  <c r="H49" i="48"/>
  <c r="G49" i="48"/>
  <c r="F49" i="48"/>
  <c r="E49" i="48"/>
  <c r="D49" i="48"/>
  <c r="C49" i="48"/>
  <c r="B49" i="48"/>
  <c r="AO48" i="48"/>
  <c r="AL48" i="48"/>
  <c r="AK48" i="48"/>
  <c r="AH48" i="48"/>
  <c r="AF48" i="48"/>
  <c r="X48" i="48"/>
  <c r="AM48" i="48" s="1"/>
  <c r="S48" i="48"/>
  <c r="U48" i="48" s="1"/>
  <c r="I48" i="48"/>
  <c r="H48" i="48"/>
  <c r="G48" i="48"/>
  <c r="F48" i="48"/>
  <c r="E48" i="48"/>
  <c r="D48" i="48"/>
  <c r="C48" i="48"/>
  <c r="B48" i="48"/>
  <c r="AO47" i="48"/>
  <c r="AL47" i="48"/>
  <c r="AK47" i="48"/>
  <c r="AF47" i="48"/>
  <c r="AH47" i="48" s="1"/>
  <c r="X47" i="48"/>
  <c r="AM47" i="48" s="1"/>
  <c r="S47" i="48"/>
  <c r="U47" i="48" s="1"/>
  <c r="I47" i="48"/>
  <c r="H47" i="48"/>
  <c r="G47" i="48"/>
  <c r="F47" i="48"/>
  <c r="E47" i="48"/>
  <c r="D47" i="48"/>
  <c r="C47" i="48"/>
  <c r="B47" i="48"/>
  <c r="AO46" i="48"/>
  <c r="AL46" i="48"/>
  <c r="AK46" i="48"/>
  <c r="AF46" i="48"/>
  <c r="AH46" i="48" s="1"/>
  <c r="X46" i="48"/>
  <c r="AM46" i="48" s="1"/>
  <c r="S46" i="48"/>
  <c r="U46" i="48" s="1"/>
  <c r="I46" i="48"/>
  <c r="H46" i="48"/>
  <c r="G46" i="48"/>
  <c r="F46" i="48"/>
  <c r="E46" i="48"/>
  <c r="D46" i="48"/>
  <c r="C46" i="48"/>
  <c r="B46" i="48"/>
  <c r="AO45" i="48"/>
  <c r="AL45" i="48"/>
  <c r="AK45" i="48"/>
  <c r="AF45" i="48"/>
  <c r="AH45" i="48" s="1"/>
  <c r="X45" i="48"/>
  <c r="S45" i="48"/>
  <c r="U45" i="48" s="1"/>
  <c r="I45" i="48"/>
  <c r="H45" i="48"/>
  <c r="G45" i="48"/>
  <c r="F45" i="48"/>
  <c r="E45" i="48"/>
  <c r="D45" i="48"/>
  <c r="C45" i="48"/>
  <c r="B45" i="48"/>
  <c r="AO44" i="48"/>
  <c r="AL44" i="48"/>
  <c r="AK44" i="48"/>
  <c r="AF44" i="48"/>
  <c r="AH44" i="48" s="1"/>
  <c r="X44" i="48"/>
  <c r="S44" i="48"/>
  <c r="U44" i="48" s="1"/>
  <c r="I44" i="48"/>
  <c r="H44" i="48"/>
  <c r="G44" i="48"/>
  <c r="F44" i="48"/>
  <c r="E44" i="48"/>
  <c r="D44" i="48"/>
  <c r="C44" i="48"/>
  <c r="B44" i="48"/>
  <c r="AO43" i="48"/>
  <c r="AL43" i="48"/>
  <c r="AK43" i="48"/>
  <c r="AF43" i="48"/>
  <c r="AH43" i="48" s="1"/>
  <c r="X43" i="48"/>
  <c r="AM43" i="48" s="1"/>
  <c r="S43" i="48"/>
  <c r="AN43" i="48" s="1"/>
  <c r="I43" i="48"/>
  <c r="H43" i="48"/>
  <c r="G43" i="48"/>
  <c r="F43" i="48"/>
  <c r="E43" i="48"/>
  <c r="D43" i="48"/>
  <c r="C43" i="48"/>
  <c r="B43" i="48"/>
  <c r="AO42" i="48"/>
  <c r="AL42" i="48"/>
  <c r="AK42" i="48"/>
  <c r="AF42" i="48"/>
  <c r="AH42" i="48" s="1"/>
  <c r="X42" i="48"/>
  <c r="AM42" i="48" s="1"/>
  <c r="U42" i="48"/>
  <c r="S42" i="48"/>
  <c r="I42" i="48"/>
  <c r="H42" i="48"/>
  <c r="G42" i="48"/>
  <c r="F42" i="48"/>
  <c r="E42" i="48"/>
  <c r="D42" i="48"/>
  <c r="C42" i="48"/>
  <c r="B42" i="48"/>
  <c r="AO41" i="48"/>
  <c r="AL41" i="48"/>
  <c r="AK41" i="48"/>
  <c r="AF41" i="48"/>
  <c r="AH41" i="48" s="1"/>
  <c r="X41" i="48"/>
  <c r="AM41" i="48" s="1"/>
  <c r="S41" i="48"/>
  <c r="I41" i="48"/>
  <c r="H41" i="48"/>
  <c r="G41" i="48"/>
  <c r="F41" i="48"/>
  <c r="E41" i="48"/>
  <c r="D41" i="48"/>
  <c r="C41" i="48"/>
  <c r="B41" i="48"/>
  <c r="AO40" i="48"/>
  <c r="AM40" i="48"/>
  <c r="AL40" i="48"/>
  <c r="AK40" i="48"/>
  <c r="AF40" i="48"/>
  <c r="AH40" i="48" s="1"/>
  <c r="X40" i="48"/>
  <c r="S40" i="48"/>
  <c r="I40" i="48"/>
  <c r="H40" i="48"/>
  <c r="G40" i="48"/>
  <c r="F40" i="48"/>
  <c r="E40" i="48"/>
  <c r="D40" i="48"/>
  <c r="C40" i="48"/>
  <c r="B40" i="48"/>
  <c r="AO39" i="48"/>
  <c r="AL39" i="48"/>
  <c r="AK39" i="48"/>
  <c r="AH39" i="48"/>
  <c r="AF39" i="48"/>
  <c r="X39" i="48"/>
  <c r="AM39" i="48" s="1"/>
  <c r="S39" i="48"/>
  <c r="U39" i="48" s="1"/>
  <c r="I39" i="48"/>
  <c r="H39" i="48"/>
  <c r="G39" i="48"/>
  <c r="F39" i="48"/>
  <c r="E39" i="48"/>
  <c r="D39" i="48"/>
  <c r="C39" i="48"/>
  <c r="B39" i="48"/>
  <c r="AO38" i="48"/>
  <c r="AL38" i="48"/>
  <c r="AK38" i="48"/>
  <c r="AF38" i="48"/>
  <c r="AH38" i="48" s="1"/>
  <c r="X38" i="48"/>
  <c r="AM38" i="48" s="1"/>
  <c r="S38" i="48"/>
  <c r="U38" i="48" s="1"/>
  <c r="I38" i="48"/>
  <c r="H38" i="48"/>
  <c r="G38" i="48"/>
  <c r="F38" i="48"/>
  <c r="E38" i="48"/>
  <c r="D38" i="48"/>
  <c r="C38" i="48"/>
  <c r="B38" i="48"/>
  <c r="AO37" i="48"/>
  <c r="AL37" i="48"/>
  <c r="AK37" i="48"/>
  <c r="AF37" i="48"/>
  <c r="AH37" i="48" s="1"/>
  <c r="X37" i="48"/>
  <c r="S37" i="48"/>
  <c r="U37" i="48" s="1"/>
  <c r="I37" i="48"/>
  <c r="H37" i="48"/>
  <c r="G37" i="48"/>
  <c r="F37" i="48"/>
  <c r="E37" i="48"/>
  <c r="D37" i="48"/>
  <c r="C37" i="48"/>
  <c r="B37" i="48"/>
  <c r="AO36" i="48"/>
  <c r="AL36" i="48"/>
  <c r="AK36" i="48"/>
  <c r="AM36" i="48" s="1"/>
  <c r="AF36" i="48"/>
  <c r="AH36" i="48" s="1"/>
  <c r="X36" i="48"/>
  <c r="S36" i="48"/>
  <c r="U36" i="48" s="1"/>
  <c r="I36" i="48"/>
  <c r="H36" i="48"/>
  <c r="G36" i="48"/>
  <c r="F36" i="48"/>
  <c r="E36" i="48"/>
  <c r="D36" i="48"/>
  <c r="C36" i="48"/>
  <c r="B36" i="48"/>
  <c r="AO35" i="48"/>
  <c r="AL35" i="48"/>
  <c r="AK35" i="48"/>
  <c r="AF35" i="48"/>
  <c r="AH35" i="48" s="1"/>
  <c r="X35" i="48"/>
  <c r="AM35" i="48" s="1"/>
  <c r="U35" i="48"/>
  <c r="S35" i="48"/>
  <c r="I35" i="48"/>
  <c r="H35" i="48"/>
  <c r="G35" i="48"/>
  <c r="F35" i="48"/>
  <c r="E35" i="48"/>
  <c r="D35" i="48"/>
  <c r="C35" i="48"/>
  <c r="B35" i="48"/>
  <c r="AO34" i="48"/>
  <c r="AL34" i="48"/>
  <c r="AK34" i="48"/>
  <c r="AF34" i="48"/>
  <c r="AH34" i="48" s="1"/>
  <c r="X34" i="48"/>
  <c r="AM34" i="48" s="1"/>
  <c r="S34" i="48"/>
  <c r="I34" i="48"/>
  <c r="H34" i="48"/>
  <c r="G34" i="48"/>
  <c r="F34" i="48"/>
  <c r="E34" i="48"/>
  <c r="D34" i="48"/>
  <c r="C34" i="48"/>
  <c r="B34" i="48"/>
  <c r="AO33" i="48"/>
  <c r="AM33" i="48"/>
  <c r="AL33" i="48"/>
  <c r="AK33" i="48"/>
  <c r="AF33" i="48"/>
  <c r="AH33" i="48" s="1"/>
  <c r="X33" i="48"/>
  <c r="S33" i="48"/>
  <c r="I33" i="48"/>
  <c r="H33" i="48"/>
  <c r="G33" i="48"/>
  <c r="F33" i="48"/>
  <c r="E33" i="48"/>
  <c r="D33" i="48"/>
  <c r="C33" i="48"/>
  <c r="B33" i="48"/>
  <c r="AO32" i="48"/>
  <c r="AL32" i="48"/>
  <c r="AK32" i="48"/>
  <c r="AH32" i="48"/>
  <c r="AF32" i="48"/>
  <c r="X32" i="48"/>
  <c r="AM32" i="48" s="1"/>
  <c r="S32" i="48"/>
  <c r="AN32" i="48" s="1"/>
  <c r="AP32" i="48" s="1"/>
  <c r="I32" i="48"/>
  <c r="H32" i="48"/>
  <c r="G32" i="48"/>
  <c r="F32" i="48"/>
  <c r="E32" i="48"/>
  <c r="D32" i="48"/>
  <c r="C32" i="48"/>
  <c r="B32" i="48"/>
  <c r="AO31" i="48"/>
  <c r="AL31" i="48"/>
  <c r="AK31" i="48"/>
  <c r="AF31" i="48"/>
  <c r="AH31" i="48" s="1"/>
  <c r="X31" i="48"/>
  <c r="AM31" i="48" s="1"/>
  <c r="S31" i="48"/>
  <c r="U31" i="48" s="1"/>
  <c r="I31" i="48"/>
  <c r="H31" i="48"/>
  <c r="G31" i="48"/>
  <c r="F31" i="48"/>
  <c r="E31" i="48"/>
  <c r="D31" i="48"/>
  <c r="C31" i="48"/>
  <c r="B31" i="48"/>
  <c r="AO30" i="48"/>
  <c r="AL30" i="48"/>
  <c r="AK30" i="48"/>
  <c r="AF30" i="48"/>
  <c r="AH30" i="48" s="1"/>
  <c r="X30" i="48"/>
  <c r="S30" i="48"/>
  <c r="U30" i="48" s="1"/>
  <c r="I30" i="48"/>
  <c r="H30" i="48"/>
  <c r="G30" i="48"/>
  <c r="F30" i="48"/>
  <c r="E30" i="48"/>
  <c r="D30" i="48"/>
  <c r="C30" i="48"/>
  <c r="B30" i="48"/>
  <c r="AO29" i="48"/>
  <c r="AL29" i="48"/>
  <c r="AK29" i="48"/>
  <c r="AF29" i="48"/>
  <c r="AH29" i="48" s="1"/>
  <c r="X29" i="48"/>
  <c r="AM29" i="48" s="1"/>
  <c r="S29" i="48"/>
  <c r="U29" i="48" s="1"/>
  <c r="I29" i="48"/>
  <c r="H29" i="48"/>
  <c r="G29" i="48"/>
  <c r="F29" i="48"/>
  <c r="E29" i="48"/>
  <c r="D29" i="48"/>
  <c r="C29" i="48"/>
  <c r="B29" i="48"/>
  <c r="AO28" i="48"/>
  <c r="AL28" i="48"/>
  <c r="AK28" i="48"/>
  <c r="AF28" i="48"/>
  <c r="AH28" i="48" s="1"/>
  <c r="X28" i="48"/>
  <c r="S28" i="48"/>
  <c r="U28" i="48" s="1"/>
  <c r="I28" i="48"/>
  <c r="H28" i="48"/>
  <c r="G28" i="48"/>
  <c r="F28" i="48"/>
  <c r="E28" i="48"/>
  <c r="D28" i="48"/>
  <c r="C28" i="48"/>
  <c r="B28" i="48"/>
  <c r="AO27" i="48"/>
  <c r="AL27" i="48"/>
  <c r="AK27" i="48"/>
  <c r="AF27" i="48"/>
  <c r="AH27" i="48" s="1"/>
  <c r="X27" i="48"/>
  <c r="S27" i="48"/>
  <c r="I27" i="48"/>
  <c r="H27" i="48"/>
  <c r="G27" i="48"/>
  <c r="F27" i="48"/>
  <c r="E27" i="48"/>
  <c r="D27" i="48"/>
  <c r="C27" i="48"/>
  <c r="B27" i="48"/>
  <c r="AO26" i="48"/>
  <c r="AM26" i="48"/>
  <c r="AL26" i="48"/>
  <c r="AK26" i="48"/>
  <c r="AF26" i="48"/>
  <c r="AH26" i="48" s="1"/>
  <c r="X26" i="48"/>
  <c r="S26" i="48"/>
  <c r="I26" i="48"/>
  <c r="H26" i="48"/>
  <c r="G26" i="48"/>
  <c r="F26" i="48"/>
  <c r="E26" i="48"/>
  <c r="D26" i="48"/>
  <c r="C26" i="48"/>
  <c r="B26" i="48"/>
  <c r="AO25" i="48"/>
  <c r="AL25" i="48"/>
  <c r="AK25" i="48"/>
  <c r="AH25" i="48"/>
  <c r="AF25" i="48"/>
  <c r="X25" i="48"/>
  <c r="AM25" i="48" s="1"/>
  <c r="S25" i="48"/>
  <c r="AN25" i="48" s="1"/>
  <c r="I25" i="48"/>
  <c r="H25" i="48"/>
  <c r="G25" i="48"/>
  <c r="F25" i="48"/>
  <c r="E25" i="48"/>
  <c r="D25" i="48"/>
  <c r="C25" i="48"/>
  <c r="B25" i="48"/>
  <c r="AO24" i="48"/>
  <c r="AL24" i="48"/>
  <c r="AK24" i="48"/>
  <c r="AF24" i="48"/>
  <c r="AH24" i="48" s="1"/>
  <c r="X24" i="48"/>
  <c r="AM24" i="48" s="1"/>
  <c r="S24" i="48"/>
  <c r="U24" i="48" s="1"/>
  <c r="I24" i="48"/>
  <c r="H24" i="48"/>
  <c r="G24" i="48"/>
  <c r="F24" i="48"/>
  <c r="E24" i="48"/>
  <c r="D24" i="48"/>
  <c r="C24" i="48"/>
  <c r="B24" i="48"/>
  <c r="AO23" i="48"/>
  <c r="AL23" i="48"/>
  <c r="AK23" i="48"/>
  <c r="AF23" i="48"/>
  <c r="AH23" i="48" s="1"/>
  <c r="X23" i="48"/>
  <c r="AM23" i="48" s="1"/>
  <c r="S23" i="48"/>
  <c r="U23" i="48" s="1"/>
  <c r="I23" i="48"/>
  <c r="H23" i="48"/>
  <c r="G23" i="48"/>
  <c r="F23" i="48"/>
  <c r="E23" i="48"/>
  <c r="D23" i="48"/>
  <c r="C23" i="48"/>
  <c r="B23" i="48"/>
  <c r="AO22" i="48"/>
  <c r="AL22" i="48"/>
  <c r="AK22" i="48"/>
  <c r="AF22" i="48"/>
  <c r="AH22" i="48" s="1"/>
  <c r="X22" i="48"/>
  <c r="S22" i="48"/>
  <c r="U22" i="48" s="1"/>
  <c r="I22" i="48"/>
  <c r="H22" i="48"/>
  <c r="G22" i="48"/>
  <c r="F22" i="48"/>
  <c r="E22" i="48"/>
  <c r="D22" i="48"/>
  <c r="C22" i="48"/>
  <c r="B22" i="48"/>
  <c r="AO21" i="48"/>
  <c r="AL21" i="48"/>
  <c r="AK21" i="48"/>
  <c r="AF21" i="48"/>
  <c r="AH21" i="48" s="1"/>
  <c r="X21" i="48"/>
  <c r="S21" i="48"/>
  <c r="U21" i="48" s="1"/>
  <c r="I21" i="48"/>
  <c r="H21" i="48"/>
  <c r="G21" i="48"/>
  <c r="F21" i="48"/>
  <c r="E21" i="48"/>
  <c r="D21" i="48"/>
  <c r="C21" i="48"/>
  <c r="B21" i="48"/>
  <c r="AO20" i="48"/>
  <c r="AL20" i="48"/>
  <c r="AK20" i="48"/>
  <c r="AF20" i="48"/>
  <c r="AH20" i="48" s="1"/>
  <c r="X20" i="48"/>
  <c r="S20" i="48"/>
  <c r="U20" i="48" s="1"/>
  <c r="I20" i="48"/>
  <c r="H20" i="48"/>
  <c r="G20" i="48"/>
  <c r="F20" i="48"/>
  <c r="E20" i="48"/>
  <c r="D20" i="48"/>
  <c r="C20" i="48"/>
  <c r="B20" i="48"/>
  <c r="AO19" i="48"/>
  <c r="AL19" i="48"/>
  <c r="AK19" i="48"/>
  <c r="AF19" i="48"/>
  <c r="AH19" i="48" s="1"/>
  <c r="X19" i="48"/>
  <c r="S19" i="48"/>
  <c r="U19" i="48" s="1"/>
  <c r="I19" i="48"/>
  <c r="H19" i="48"/>
  <c r="G19" i="48"/>
  <c r="F19" i="48"/>
  <c r="E19" i="48"/>
  <c r="D19" i="48"/>
  <c r="C19" i="48"/>
  <c r="B19" i="48"/>
  <c r="AO18" i="48"/>
  <c r="AL18" i="48"/>
  <c r="AK18" i="48"/>
  <c r="AF18" i="48"/>
  <c r="AH18" i="48" s="1"/>
  <c r="X18" i="48"/>
  <c r="S18" i="48"/>
  <c r="AN18" i="48" s="1"/>
  <c r="I18" i="48"/>
  <c r="H18" i="48"/>
  <c r="G18" i="48"/>
  <c r="F18" i="48"/>
  <c r="E18" i="48"/>
  <c r="D18" i="48"/>
  <c r="C18" i="48"/>
  <c r="B18" i="48"/>
  <c r="AO17" i="48"/>
  <c r="AL17" i="48"/>
  <c r="AK17" i="48"/>
  <c r="AF17" i="48"/>
  <c r="AH17" i="48" s="1"/>
  <c r="X17" i="48"/>
  <c r="S17" i="48"/>
  <c r="U17" i="48" s="1"/>
  <c r="I17" i="48"/>
  <c r="H17" i="48"/>
  <c r="G17" i="48"/>
  <c r="F17" i="48"/>
  <c r="E17" i="48"/>
  <c r="D17" i="48"/>
  <c r="C17" i="48"/>
  <c r="B17" i="48"/>
  <c r="AO16" i="48"/>
  <c r="AL16" i="48"/>
  <c r="AK16" i="48"/>
  <c r="AF16" i="48"/>
  <c r="AH16" i="48" s="1"/>
  <c r="X16" i="48"/>
  <c r="AM16" i="48" s="1"/>
  <c r="S16" i="48"/>
  <c r="AN16" i="48" s="1"/>
  <c r="I16" i="48"/>
  <c r="H16" i="48"/>
  <c r="G16" i="48"/>
  <c r="F16" i="48"/>
  <c r="E16" i="48"/>
  <c r="D16" i="48"/>
  <c r="C16" i="48"/>
  <c r="B16" i="48"/>
  <c r="AO15" i="48"/>
  <c r="AL15" i="48"/>
  <c r="AK15" i="48"/>
  <c r="AM15" i="48" s="1"/>
  <c r="AF15" i="48"/>
  <c r="AH15" i="48" s="1"/>
  <c r="X15" i="48"/>
  <c r="S15" i="48"/>
  <c r="U15" i="48" s="1"/>
  <c r="I15" i="48"/>
  <c r="H15" i="48"/>
  <c r="G15" i="48"/>
  <c r="F15" i="48"/>
  <c r="E15" i="48"/>
  <c r="D15" i="48"/>
  <c r="C15" i="48"/>
  <c r="B15" i="48"/>
  <c r="AO14" i="48"/>
  <c r="AL14" i="48"/>
  <c r="AK14" i="48"/>
  <c r="AF14" i="48"/>
  <c r="AH14" i="48" s="1"/>
  <c r="X14" i="48"/>
  <c r="AM14" i="48" s="1"/>
  <c r="S14" i="48"/>
  <c r="U14" i="48" s="1"/>
  <c r="I14" i="48"/>
  <c r="H14" i="48"/>
  <c r="G14" i="48"/>
  <c r="F14" i="48"/>
  <c r="E14" i="48"/>
  <c r="D14" i="48"/>
  <c r="C14" i="48"/>
  <c r="B14" i="48"/>
  <c r="AO13" i="48"/>
  <c r="AL13" i="48"/>
  <c r="AK13" i="48"/>
  <c r="AF13" i="48"/>
  <c r="AH13" i="48" s="1"/>
  <c r="X13" i="48"/>
  <c r="S13" i="48"/>
  <c r="U13" i="48" s="1"/>
  <c r="I13" i="48"/>
  <c r="H13" i="48"/>
  <c r="G13" i="48"/>
  <c r="F13" i="48"/>
  <c r="E13" i="48"/>
  <c r="D13" i="48"/>
  <c r="C13" i="48"/>
  <c r="B13" i="48"/>
  <c r="AO12" i="48"/>
  <c r="AN12" i="48"/>
  <c r="AL12" i="48"/>
  <c r="AK12" i="48"/>
  <c r="AF12" i="48"/>
  <c r="AH12" i="48" s="1"/>
  <c r="X12" i="48"/>
  <c r="S12" i="48"/>
  <c r="U12" i="48" s="1"/>
  <c r="I12" i="48"/>
  <c r="H12" i="48"/>
  <c r="G12" i="48"/>
  <c r="F12" i="48"/>
  <c r="E12" i="48"/>
  <c r="D12" i="48"/>
  <c r="C12" i="48"/>
  <c r="B12" i="48"/>
  <c r="AO11" i="48"/>
  <c r="AL11" i="48"/>
  <c r="AK11" i="48"/>
  <c r="AF11" i="48"/>
  <c r="AH11" i="48" s="1"/>
  <c r="X11" i="48"/>
  <c r="S11" i="48"/>
  <c r="U11" i="48" s="1"/>
  <c r="I11" i="48"/>
  <c r="H11" i="48"/>
  <c r="G11" i="48"/>
  <c r="F11" i="48"/>
  <c r="E11" i="48"/>
  <c r="D11" i="48"/>
  <c r="C11" i="48"/>
  <c r="B11" i="48"/>
  <c r="AO10" i="48"/>
  <c r="AL10" i="48"/>
  <c r="AK10" i="48"/>
  <c r="AF10" i="48"/>
  <c r="AH10" i="48" s="1"/>
  <c r="X10" i="48"/>
  <c r="S10" i="48"/>
  <c r="U10" i="48" s="1"/>
  <c r="I10" i="48"/>
  <c r="H10" i="48"/>
  <c r="G10" i="48"/>
  <c r="F10" i="48"/>
  <c r="E10" i="48"/>
  <c r="C10" i="48"/>
  <c r="B10" i="48"/>
  <c r="AO9" i="48"/>
  <c r="AL9" i="48"/>
  <c r="AK9" i="48"/>
  <c r="AF9" i="48"/>
  <c r="AH9" i="48" s="1"/>
  <c r="X9" i="48"/>
  <c r="S9" i="48"/>
  <c r="I9" i="48"/>
  <c r="H9" i="48"/>
  <c r="G9" i="48"/>
  <c r="F9" i="48"/>
  <c r="E9" i="48"/>
  <c r="D9" i="48"/>
  <c r="C9" i="48"/>
  <c r="B9" i="48"/>
  <c r="AO8" i="48"/>
  <c r="AL8" i="48"/>
  <c r="AK8" i="48"/>
  <c r="AF8" i="48"/>
  <c r="AH8" i="48" s="1"/>
  <c r="X8" i="48"/>
  <c r="S8" i="48"/>
  <c r="U8" i="48" s="1"/>
  <c r="I8" i="48"/>
  <c r="H8" i="48"/>
  <c r="G8" i="48"/>
  <c r="F8" i="48"/>
  <c r="E8" i="48"/>
  <c r="D8" i="48"/>
  <c r="C8" i="48"/>
  <c r="B8" i="48"/>
  <c r="AO7" i="48"/>
  <c r="AL7" i="48"/>
  <c r="AK7" i="48"/>
  <c r="AM7" i="48" s="1"/>
  <c r="AF7" i="48"/>
  <c r="AH7" i="48" s="1"/>
  <c r="X7" i="48"/>
  <c r="S7" i="48"/>
  <c r="U7" i="48" s="1"/>
  <c r="I7" i="48"/>
  <c r="H7" i="48"/>
  <c r="G7" i="48"/>
  <c r="F7" i="48"/>
  <c r="E7" i="48"/>
  <c r="D7" i="48"/>
  <c r="C7" i="48"/>
  <c r="B7" i="48"/>
  <c r="AO6" i="48"/>
  <c r="AL6" i="48"/>
  <c r="AK6" i="48"/>
  <c r="AF6" i="48"/>
  <c r="X6" i="48"/>
  <c r="S6" i="48"/>
  <c r="I6" i="48"/>
  <c r="H6" i="48"/>
  <c r="G6" i="48"/>
  <c r="F6" i="48"/>
  <c r="E6" i="48"/>
  <c r="D6" i="48"/>
  <c r="C6" i="48"/>
  <c r="B6" i="48"/>
  <c r="H2" i="48"/>
  <c r="E2" i="48"/>
  <c r="C2" i="48"/>
  <c r="C56" i="48" s="1"/>
  <c r="AG41" i="20"/>
  <c r="AG40" i="20"/>
  <c r="AG39" i="20"/>
  <c r="AP2" i="47"/>
  <c r="AP69" i="47" s="1"/>
  <c r="AB2" i="47"/>
  <c r="AB69" i="47" s="1"/>
  <c r="N2" i="47"/>
  <c r="N69" i="47" s="1"/>
  <c r="J66" i="47"/>
  <c r="AG163" i="47" s="1"/>
  <c r="AG45" i="20" s="1"/>
  <c r="J65" i="47"/>
  <c r="AG162" i="47" s="1"/>
  <c r="AG44" i="20" s="1"/>
  <c r="J64" i="47"/>
  <c r="AG161" i="47" s="1"/>
  <c r="AG43" i="20" s="1"/>
  <c r="J63" i="47"/>
  <c r="AG160" i="47" s="1"/>
  <c r="AG42" i="20" s="1"/>
  <c r="AQ61" i="47"/>
  <c r="AJ61" i="47"/>
  <c r="AI61" i="47"/>
  <c r="AG61" i="47"/>
  <c r="AE61" i="47"/>
  <c r="AD61" i="47"/>
  <c r="AC61" i="47"/>
  <c r="AB61" i="47"/>
  <c r="AA61" i="47"/>
  <c r="Z61" i="47"/>
  <c r="Y61" i="47"/>
  <c r="W61" i="47"/>
  <c r="V61" i="47"/>
  <c r="T61" i="47"/>
  <c r="R61" i="47"/>
  <c r="Q61" i="47"/>
  <c r="P61" i="47"/>
  <c r="O61" i="47"/>
  <c r="N61" i="47"/>
  <c r="M61" i="47"/>
  <c r="L61" i="47"/>
  <c r="K61" i="47"/>
  <c r="AQ60" i="47"/>
  <c r="AJ60" i="47"/>
  <c r="AI60" i="47"/>
  <c r="AG60" i="47"/>
  <c r="AE60" i="47"/>
  <c r="AD60" i="47"/>
  <c r="AC60" i="47"/>
  <c r="AB60" i="47"/>
  <c r="AA60" i="47"/>
  <c r="Z60" i="47"/>
  <c r="Y60" i="47"/>
  <c r="W60" i="47"/>
  <c r="V60" i="47"/>
  <c r="T60" i="47"/>
  <c r="R60" i="47"/>
  <c r="Q60" i="47"/>
  <c r="P60" i="47"/>
  <c r="O60" i="47"/>
  <c r="N60" i="47"/>
  <c r="M60" i="47"/>
  <c r="L60" i="47"/>
  <c r="K60" i="47"/>
  <c r="AQ59" i="47"/>
  <c r="AJ59" i="47"/>
  <c r="AI59" i="47"/>
  <c r="AG59" i="47"/>
  <c r="AE59" i="47"/>
  <c r="AD59" i="47"/>
  <c r="AC59" i="47"/>
  <c r="AB59" i="47"/>
  <c r="AA59" i="47"/>
  <c r="Z59" i="47"/>
  <c r="Y59" i="47"/>
  <c r="W59" i="47"/>
  <c r="V59" i="47"/>
  <c r="T59" i="47"/>
  <c r="R59" i="47"/>
  <c r="Q59" i="47"/>
  <c r="P59" i="47"/>
  <c r="O59" i="47"/>
  <c r="N59" i="47"/>
  <c r="M59" i="47"/>
  <c r="L59" i="47"/>
  <c r="K59" i="47"/>
  <c r="AQ58" i="47"/>
  <c r="AJ58" i="47"/>
  <c r="AI58" i="47"/>
  <c r="AG58" i="47"/>
  <c r="AG62" i="47" s="1"/>
  <c r="AE58" i="47"/>
  <c r="AD58" i="47"/>
  <c r="AC58" i="47"/>
  <c r="AB58" i="47"/>
  <c r="AA58" i="47"/>
  <c r="Z58" i="47"/>
  <c r="Y58" i="47"/>
  <c r="W58" i="47"/>
  <c r="V58" i="47"/>
  <c r="T58" i="47"/>
  <c r="R58" i="47"/>
  <c r="Q58" i="47"/>
  <c r="P58" i="47"/>
  <c r="O58" i="47"/>
  <c r="N58" i="47"/>
  <c r="M58" i="47"/>
  <c r="L58" i="47"/>
  <c r="K58" i="47"/>
  <c r="AQ56" i="47"/>
  <c r="AF157" i="47" s="1"/>
  <c r="AF39" i="20" s="1"/>
  <c r="AJ56" i="47"/>
  <c r="W157" i="47" s="1"/>
  <c r="W39" i="20" s="1"/>
  <c r="AI56" i="47"/>
  <c r="V157" i="47" s="1"/>
  <c r="V39" i="20" s="1"/>
  <c r="AG56" i="47"/>
  <c r="Y157" i="47" s="1"/>
  <c r="Y39" i="20" s="1"/>
  <c r="AE56" i="47"/>
  <c r="AD56" i="47"/>
  <c r="AC56" i="47"/>
  <c r="AB56" i="47"/>
  <c r="AA56" i="47"/>
  <c r="Z56" i="47"/>
  <c r="Y56" i="47"/>
  <c r="U157" i="47" s="1"/>
  <c r="U39" i="20" s="1"/>
  <c r="W56" i="47"/>
  <c r="Q157" i="47" s="1"/>
  <c r="Q39" i="20" s="1"/>
  <c r="V56" i="47"/>
  <c r="P157" i="47" s="1"/>
  <c r="P39" i="20" s="1"/>
  <c r="T56" i="47"/>
  <c r="S157" i="47" s="1"/>
  <c r="S39" i="20" s="1"/>
  <c r="R56" i="47"/>
  <c r="Q56" i="47"/>
  <c r="P56" i="47"/>
  <c r="O56" i="47"/>
  <c r="N56" i="47"/>
  <c r="M56" i="47"/>
  <c r="L56" i="47"/>
  <c r="O157" i="47" s="1"/>
  <c r="O39" i="20" s="1"/>
  <c r="K56" i="47"/>
  <c r="N157" i="47" s="1"/>
  <c r="N39" i="20" s="1"/>
  <c r="AO55" i="47"/>
  <c r="AL55" i="47"/>
  <c r="AK55" i="47"/>
  <c r="AF55" i="47"/>
  <c r="AH55" i="47" s="1"/>
  <c r="X55" i="47"/>
  <c r="AM55" i="47" s="1"/>
  <c r="S55" i="47"/>
  <c r="I55" i="47"/>
  <c r="H55" i="47"/>
  <c r="G55" i="47"/>
  <c r="F55" i="47"/>
  <c r="E55" i="47"/>
  <c r="D55" i="47"/>
  <c r="C55" i="47"/>
  <c r="B55" i="47"/>
  <c r="AO54" i="47"/>
  <c r="AL54" i="47"/>
  <c r="AK54" i="47"/>
  <c r="AF54" i="47"/>
  <c r="AH54" i="47" s="1"/>
  <c r="X54" i="47"/>
  <c r="AM54" i="47" s="1"/>
  <c r="S54" i="47"/>
  <c r="U54" i="47" s="1"/>
  <c r="I54" i="47"/>
  <c r="H54" i="47"/>
  <c r="G54" i="47"/>
  <c r="F54" i="47"/>
  <c r="E54" i="47"/>
  <c r="D54" i="47"/>
  <c r="C54" i="47"/>
  <c r="B54" i="47"/>
  <c r="AO53" i="47"/>
  <c r="AL53" i="47"/>
  <c r="AK53" i="47"/>
  <c r="AF53" i="47"/>
  <c r="AH53" i="47" s="1"/>
  <c r="X53" i="47"/>
  <c r="AM53" i="47" s="1"/>
  <c r="S53" i="47"/>
  <c r="U53" i="47" s="1"/>
  <c r="I53" i="47"/>
  <c r="H53" i="47"/>
  <c r="G53" i="47"/>
  <c r="F53" i="47"/>
  <c r="E53" i="47"/>
  <c r="D53" i="47"/>
  <c r="C53" i="47"/>
  <c r="B53" i="47"/>
  <c r="AO52" i="47"/>
  <c r="AL52" i="47"/>
  <c r="AK52" i="47"/>
  <c r="AF52" i="47"/>
  <c r="AH52" i="47" s="1"/>
  <c r="X52" i="47"/>
  <c r="AM52" i="47" s="1"/>
  <c r="U52" i="47"/>
  <c r="S52" i="47"/>
  <c r="I52" i="47"/>
  <c r="H52" i="47"/>
  <c r="G52" i="47"/>
  <c r="F52" i="47"/>
  <c r="E52" i="47"/>
  <c r="D52" i="47"/>
  <c r="C52" i="47"/>
  <c r="B52" i="47"/>
  <c r="AO51" i="47"/>
  <c r="AL51" i="47"/>
  <c r="AK51" i="47"/>
  <c r="AF51" i="47"/>
  <c r="AH51" i="47" s="1"/>
  <c r="X51" i="47"/>
  <c r="AM51" i="47" s="1"/>
  <c r="U51" i="47"/>
  <c r="S51" i="47"/>
  <c r="I51" i="47"/>
  <c r="H51" i="47"/>
  <c r="G51" i="47"/>
  <c r="F51" i="47"/>
  <c r="E51" i="47"/>
  <c r="D51" i="47"/>
  <c r="C51" i="47"/>
  <c r="B51" i="47"/>
  <c r="AO50" i="47"/>
  <c r="AM50" i="47"/>
  <c r="AL50" i="47"/>
  <c r="AK50" i="47"/>
  <c r="AF50" i="47"/>
  <c r="AH50" i="47" s="1"/>
  <c r="X50" i="47"/>
  <c r="S50" i="47"/>
  <c r="I50" i="47"/>
  <c r="H50" i="47"/>
  <c r="G50" i="47"/>
  <c r="F50" i="47"/>
  <c r="E50" i="47"/>
  <c r="D50" i="47"/>
  <c r="C50" i="47"/>
  <c r="B50" i="47"/>
  <c r="AO49" i="47"/>
  <c r="AL49" i="47"/>
  <c r="AK49" i="47"/>
  <c r="AF49" i="47"/>
  <c r="AH49" i="47" s="1"/>
  <c r="X49" i="47"/>
  <c r="AM49" i="47" s="1"/>
  <c r="S49" i="47"/>
  <c r="I49" i="47"/>
  <c r="H49" i="47"/>
  <c r="G49" i="47"/>
  <c r="F49" i="47"/>
  <c r="E49" i="47"/>
  <c r="D49" i="47"/>
  <c r="C49" i="47"/>
  <c r="B49" i="47"/>
  <c r="AO48" i="47"/>
  <c r="AL48" i="47"/>
  <c r="AK48" i="47"/>
  <c r="AF48" i="47"/>
  <c r="AH48" i="47" s="1"/>
  <c r="X48" i="47"/>
  <c r="AM48" i="47" s="1"/>
  <c r="U48" i="47"/>
  <c r="S48" i="47"/>
  <c r="AN48" i="47" s="1"/>
  <c r="I48" i="47"/>
  <c r="H48" i="47"/>
  <c r="G48" i="47"/>
  <c r="F48" i="47"/>
  <c r="E48" i="47"/>
  <c r="D48" i="47"/>
  <c r="C48" i="47"/>
  <c r="B48" i="47"/>
  <c r="AO47" i="47"/>
  <c r="AL47" i="47"/>
  <c r="AK47" i="47"/>
  <c r="AF47" i="47"/>
  <c r="AH47" i="47" s="1"/>
  <c r="X47" i="47"/>
  <c r="S47" i="47"/>
  <c r="AN47" i="47" s="1"/>
  <c r="I47" i="47"/>
  <c r="H47" i="47"/>
  <c r="G47" i="47"/>
  <c r="F47" i="47"/>
  <c r="E47" i="47"/>
  <c r="D47" i="47"/>
  <c r="C47" i="47"/>
  <c r="B47" i="47"/>
  <c r="AO46" i="47"/>
  <c r="AL46" i="47"/>
  <c r="AK46" i="47"/>
  <c r="AF46" i="47"/>
  <c r="AH46" i="47" s="1"/>
  <c r="X46" i="47"/>
  <c r="S46" i="47"/>
  <c r="U46" i="47" s="1"/>
  <c r="I46" i="47"/>
  <c r="H46" i="47"/>
  <c r="G46" i="47"/>
  <c r="F46" i="47"/>
  <c r="E46" i="47"/>
  <c r="D46" i="47"/>
  <c r="C46" i="47"/>
  <c r="B46" i="47"/>
  <c r="AO45" i="47"/>
  <c r="AL45" i="47"/>
  <c r="AK45" i="47"/>
  <c r="AF45" i="47"/>
  <c r="AH45" i="47" s="1"/>
  <c r="X45" i="47"/>
  <c r="AM45" i="47" s="1"/>
  <c r="S45" i="47"/>
  <c r="U45" i="47" s="1"/>
  <c r="I45" i="47"/>
  <c r="H45" i="47"/>
  <c r="G45" i="47"/>
  <c r="F45" i="47"/>
  <c r="E45" i="47"/>
  <c r="D45" i="47"/>
  <c r="C45" i="47"/>
  <c r="B45" i="47"/>
  <c r="AO44" i="47"/>
  <c r="AL44" i="47"/>
  <c r="AK44" i="47"/>
  <c r="AF44" i="47"/>
  <c r="AH44" i="47" s="1"/>
  <c r="X44" i="47"/>
  <c r="S44" i="47"/>
  <c r="I44" i="47"/>
  <c r="H44" i="47"/>
  <c r="G44" i="47"/>
  <c r="F44" i="47"/>
  <c r="E44" i="47"/>
  <c r="D44" i="47"/>
  <c r="C44" i="47"/>
  <c r="B44" i="47"/>
  <c r="AO43" i="47"/>
  <c r="AL43" i="47"/>
  <c r="AK43" i="47"/>
  <c r="AF43" i="47"/>
  <c r="AH43" i="47" s="1"/>
  <c r="X43" i="47"/>
  <c r="AM43" i="47" s="1"/>
  <c r="S43" i="47"/>
  <c r="I43" i="47"/>
  <c r="H43" i="47"/>
  <c r="G43" i="47"/>
  <c r="F43" i="47"/>
  <c r="E43" i="47"/>
  <c r="D43" i="47"/>
  <c r="C43" i="47"/>
  <c r="B43" i="47"/>
  <c r="AO42" i="47"/>
  <c r="AL42" i="47"/>
  <c r="AK42" i="47"/>
  <c r="AM42" i="47" s="1"/>
  <c r="AH42" i="47"/>
  <c r="AF42" i="47"/>
  <c r="X42" i="47"/>
  <c r="S42" i="47"/>
  <c r="U42" i="47" s="1"/>
  <c r="I42" i="47"/>
  <c r="H42" i="47"/>
  <c r="G42" i="47"/>
  <c r="F42" i="47"/>
  <c r="E42" i="47"/>
  <c r="D42" i="47"/>
  <c r="C42" i="47"/>
  <c r="B42" i="47"/>
  <c r="AO41" i="47"/>
  <c r="AL41" i="47"/>
  <c r="AK41" i="47"/>
  <c r="AF41" i="47"/>
  <c r="AH41" i="47" s="1"/>
  <c r="X41" i="47"/>
  <c r="AM41" i="47" s="1"/>
  <c r="S41" i="47"/>
  <c r="I41" i="47"/>
  <c r="H41" i="47"/>
  <c r="G41" i="47"/>
  <c r="F41" i="47"/>
  <c r="E41" i="47"/>
  <c r="D41" i="47"/>
  <c r="C41" i="47"/>
  <c r="B41" i="47"/>
  <c r="AO40" i="47"/>
  <c r="AL40" i="47"/>
  <c r="AK40" i="47"/>
  <c r="AF40" i="47"/>
  <c r="AH40" i="47" s="1"/>
  <c r="X40" i="47"/>
  <c r="S40" i="47"/>
  <c r="U40" i="47" s="1"/>
  <c r="I40" i="47"/>
  <c r="H40" i="47"/>
  <c r="G40" i="47"/>
  <c r="F40" i="47"/>
  <c r="E40" i="47"/>
  <c r="D40" i="47"/>
  <c r="C40" i="47"/>
  <c r="B40" i="47"/>
  <c r="AO39" i="47"/>
  <c r="AL39" i="47"/>
  <c r="AK39" i="47"/>
  <c r="AF39" i="47"/>
  <c r="AH39" i="47" s="1"/>
  <c r="X39" i="47"/>
  <c r="AM39" i="47" s="1"/>
  <c r="S39" i="47"/>
  <c r="I39" i="47"/>
  <c r="H39" i="47"/>
  <c r="G39" i="47"/>
  <c r="F39" i="47"/>
  <c r="E39" i="47"/>
  <c r="D39" i="47"/>
  <c r="C39" i="47"/>
  <c r="B39" i="47"/>
  <c r="AO38" i="47"/>
  <c r="AL38" i="47"/>
  <c r="AK38" i="47"/>
  <c r="AF38" i="47"/>
  <c r="AH38" i="47" s="1"/>
  <c r="X38" i="47"/>
  <c r="S38" i="47"/>
  <c r="U38" i="47" s="1"/>
  <c r="I38" i="47"/>
  <c r="H38" i="47"/>
  <c r="G38" i="47"/>
  <c r="F38" i="47"/>
  <c r="E38" i="47"/>
  <c r="D38" i="47"/>
  <c r="C38" i="47"/>
  <c r="B38" i="47"/>
  <c r="AO37" i="47"/>
  <c r="AL37" i="47"/>
  <c r="AK37" i="47"/>
  <c r="AF37" i="47"/>
  <c r="AH37" i="47" s="1"/>
  <c r="X37" i="47"/>
  <c r="AM37" i="47" s="1"/>
  <c r="S37" i="47"/>
  <c r="U37" i="47" s="1"/>
  <c r="I37" i="47"/>
  <c r="H37" i="47"/>
  <c r="G37" i="47"/>
  <c r="F37" i="47"/>
  <c r="E37" i="47"/>
  <c r="D37" i="47"/>
  <c r="C37" i="47"/>
  <c r="B37" i="47"/>
  <c r="AO36" i="47"/>
  <c r="AP36" i="47" s="1"/>
  <c r="AL36" i="47"/>
  <c r="AK36" i="47"/>
  <c r="AF36" i="47"/>
  <c r="AH36" i="47" s="1"/>
  <c r="X36" i="47"/>
  <c r="AM36" i="47" s="1"/>
  <c r="U36" i="47"/>
  <c r="S36" i="47"/>
  <c r="AN36" i="47" s="1"/>
  <c r="I36" i="47"/>
  <c r="H36" i="47"/>
  <c r="G36" i="47"/>
  <c r="F36" i="47"/>
  <c r="E36" i="47"/>
  <c r="D36" i="47"/>
  <c r="C36" i="47"/>
  <c r="B36" i="47"/>
  <c r="AO35" i="47"/>
  <c r="AL35" i="47"/>
  <c r="AK35" i="47"/>
  <c r="AF35" i="47"/>
  <c r="AH35" i="47" s="1"/>
  <c r="X35" i="47"/>
  <c r="U35" i="47"/>
  <c r="S35" i="47"/>
  <c r="AN35" i="47" s="1"/>
  <c r="I35" i="47"/>
  <c r="H35" i="47"/>
  <c r="G35" i="47"/>
  <c r="F35" i="47"/>
  <c r="E35" i="47"/>
  <c r="D35" i="47"/>
  <c r="C35" i="47"/>
  <c r="B35" i="47"/>
  <c r="AO34" i="47"/>
  <c r="AL34" i="47"/>
  <c r="AK34" i="47"/>
  <c r="AF34" i="47"/>
  <c r="AH34" i="47" s="1"/>
  <c r="X34" i="47"/>
  <c r="AM34" i="47" s="1"/>
  <c r="S34" i="47"/>
  <c r="I34" i="47"/>
  <c r="H34" i="47"/>
  <c r="G34" i="47"/>
  <c r="F34" i="47"/>
  <c r="E34" i="47"/>
  <c r="D34" i="47"/>
  <c r="C34" i="47"/>
  <c r="B34" i="47"/>
  <c r="AO33" i="47"/>
  <c r="AL33" i="47"/>
  <c r="AK33" i="47"/>
  <c r="AF33" i="47"/>
  <c r="AH33" i="47" s="1"/>
  <c r="X33" i="47"/>
  <c r="AM33" i="47" s="1"/>
  <c r="S33" i="47"/>
  <c r="AN33" i="47" s="1"/>
  <c r="AP33" i="47" s="1"/>
  <c r="I33" i="47"/>
  <c r="H33" i="47"/>
  <c r="G33" i="47"/>
  <c r="F33" i="47"/>
  <c r="E33" i="47"/>
  <c r="D33" i="47"/>
  <c r="C33" i="47"/>
  <c r="B33" i="47"/>
  <c r="AO32" i="47"/>
  <c r="AL32" i="47"/>
  <c r="AK32" i="47"/>
  <c r="AF32" i="47"/>
  <c r="AH32" i="47" s="1"/>
  <c r="X32" i="47"/>
  <c r="S32" i="47"/>
  <c r="U32" i="47" s="1"/>
  <c r="I32" i="47"/>
  <c r="H32" i="47"/>
  <c r="G32" i="47"/>
  <c r="F32" i="47"/>
  <c r="E32" i="47"/>
  <c r="D32" i="47"/>
  <c r="C32" i="47"/>
  <c r="B32" i="47"/>
  <c r="AO31" i="47"/>
  <c r="AL31" i="47"/>
  <c r="AK31" i="47"/>
  <c r="AF31" i="47"/>
  <c r="AH31" i="47" s="1"/>
  <c r="X31" i="47"/>
  <c r="AM31" i="47" s="1"/>
  <c r="S31" i="47"/>
  <c r="AN31" i="47" s="1"/>
  <c r="I31" i="47"/>
  <c r="H31" i="47"/>
  <c r="G31" i="47"/>
  <c r="F31" i="47"/>
  <c r="E31" i="47"/>
  <c r="D31" i="47"/>
  <c r="C31" i="47"/>
  <c r="B31" i="47"/>
  <c r="AO30" i="47"/>
  <c r="AL30" i="47"/>
  <c r="AK30" i="47"/>
  <c r="AF30" i="47"/>
  <c r="AH30" i="47" s="1"/>
  <c r="X30" i="47"/>
  <c r="S30" i="47"/>
  <c r="U30" i="47" s="1"/>
  <c r="I30" i="47"/>
  <c r="H30" i="47"/>
  <c r="G30" i="47"/>
  <c r="F30" i="47"/>
  <c r="E30" i="47"/>
  <c r="D30" i="47"/>
  <c r="C30" i="47"/>
  <c r="B30" i="47"/>
  <c r="AO29" i="47"/>
  <c r="AL29" i="47"/>
  <c r="AK29" i="47"/>
  <c r="AF29" i="47"/>
  <c r="AH29" i="47" s="1"/>
  <c r="X29" i="47"/>
  <c r="AM29" i="47" s="1"/>
  <c r="S29" i="47"/>
  <c r="U29" i="47" s="1"/>
  <c r="I29" i="47"/>
  <c r="H29" i="47"/>
  <c r="G29" i="47"/>
  <c r="F29" i="47"/>
  <c r="E29" i="47"/>
  <c r="D29" i="47"/>
  <c r="C29" i="47"/>
  <c r="B29" i="47"/>
  <c r="AO28" i="47"/>
  <c r="AL28" i="47"/>
  <c r="AK28" i="47"/>
  <c r="AF28" i="47"/>
  <c r="AH28" i="47" s="1"/>
  <c r="X28" i="47"/>
  <c r="S28" i="47"/>
  <c r="AN28" i="47" s="1"/>
  <c r="I28" i="47"/>
  <c r="H28" i="47"/>
  <c r="G28" i="47"/>
  <c r="F28" i="47"/>
  <c r="E28" i="47"/>
  <c r="D28" i="47"/>
  <c r="C28" i="47"/>
  <c r="B28" i="47"/>
  <c r="AO27" i="47"/>
  <c r="AL27" i="47"/>
  <c r="AK27" i="47"/>
  <c r="AH27" i="47"/>
  <c r="AF27" i="47"/>
  <c r="X27" i="47"/>
  <c r="S27" i="47"/>
  <c r="AN27" i="47" s="1"/>
  <c r="I27" i="47"/>
  <c r="H27" i="47"/>
  <c r="G27" i="47"/>
  <c r="F27" i="47"/>
  <c r="E27" i="47"/>
  <c r="D27" i="47"/>
  <c r="C27" i="47"/>
  <c r="B27" i="47"/>
  <c r="AO26" i="47"/>
  <c r="AL26" i="47"/>
  <c r="AK26" i="47"/>
  <c r="AF26" i="47"/>
  <c r="AH26" i="47" s="1"/>
  <c r="X26" i="47"/>
  <c r="AM26" i="47" s="1"/>
  <c r="U26" i="47"/>
  <c r="S26" i="47"/>
  <c r="I26" i="47"/>
  <c r="H26" i="47"/>
  <c r="G26" i="47"/>
  <c r="F26" i="47"/>
  <c r="E26" i="47"/>
  <c r="D26" i="47"/>
  <c r="C26" i="47"/>
  <c r="B26" i="47"/>
  <c r="AO25" i="47"/>
  <c r="AL25" i="47"/>
  <c r="AK25" i="47"/>
  <c r="AF25" i="47"/>
  <c r="AH25" i="47" s="1"/>
  <c r="X25" i="47"/>
  <c r="S25" i="47"/>
  <c r="AN25" i="47" s="1"/>
  <c r="I25" i="47"/>
  <c r="H25" i="47"/>
  <c r="G25" i="47"/>
  <c r="F25" i="47"/>
  <c r="E25" i="47"/>
  <c r="D25" i="47"/>
  <c r="C25" i="47"/>
  <c r="B25" i="47"/>
  <c r="AO24" i="47"/>
  <c r="AL24" i="47"/>
  <c r="AK24" i="47"/>
  <c r="AF24" i="47"/>
  <c r="AH24" i="47" s="1"/>
  <c r="X24" i="47"/>
  <c r="AM24" i="47" s="1"/>
  <c r="S24" i="47"/>
  <c r="U24" i="47" s="1"/>
  <c r="I24" i="47"/>
  <c r="H24" i="47"/>
  <c r="G24" i="47"/>
  <c r="F24" i="47"/>
  <c r="E24" i="47"/>
  <c r="D24" i="47"/>
  <c r="C24" i="47"/>
  <c r="B24" i="47"/>
  <c r="AO23" i="47"/>
  <c r="AL23" i="47"/>
  <c r="AK23" i="47"/>
  <c r="AF23" i="47"/>
  <c r="AH23" i="47" s="1"/>
  <c r="X23" i="47"/>
  <c r="S23" i="47"/>
  <c r="U23" i="47" s="1"/>
  <c r="I23" i="47"/>
  <c r="H23" i="47"/>
  <c r="G23" i="47"/>
  <c r="F23" i="47"/>
  <c r="E23" i="47"/>
  <c r="D23" i="47"/>
  <c r="C23" i="47"/>
  <c r="B23" i="47"/>
  <c r="AO22" i="47"/>
  <c r="AL22" i="47"/>
  <c r="AK22" i="47"/>
  <c r="AF22" i="47"/>
  <c r="AH22" i="47" s="1"/>
  <c r="X22" i="47"/>
  <c r="AM22" i="47" s="1"/>
  <c r="S22" i="47"/>
  <c r="U22" i="47" s="1"/>
  <c r="I22" i="47"/>
  <c r="H22" i="47"/>
  <c r="G22" i="47"/>
  <c r="F22" i="47"/>
  <c r="E22" i="47"/>
  <c r="D22" i="47"/>
  <c r="C22" i="47"/>
  <c r="B22" i="47"/>
  <c r="AO21" i="47"/>
  <c r="AL21" i="47"/>
  <c r="AK21" i="47"/>
  <c r="AF21" i="47"/>
  <c r="AH21" i="47" s="1"/>
  <c r="X21" i="47"/>
  <c r="AM21" i="47" s="1"/>
  <c r="S21" i="47"/>
  <c r="U21" i="47" s="1"/>
  <c r="I21" i="47"/>
  <c r="H21" i="47"/>
  <c r="G21" i="47"/>
  <c r="F21" i="47"/>
  <c r="E21" i="47"/>
  <c r="D21" i="47"/>
  <c r="C21" i="47"/>
  <c r="B21" i="47"/>
  <c r="AO20" i="47"/>
  <c r="AL20" i="47"/>
  <c r="AK20" i="47"/>
  <c r="AF20" i="47"/>
  <c r="AH20" i="47" s="1"/>
  <c r="X20" i="47"/>
  <c r="S20" i="47"/>
  <c r="U20" i="47" s="1"/>
  <c r="I20" i="47"/>
  <c r="H20" i="47"/>
  <c r="G20" i="47"/>
  <c r="F20" i="47"/>
  <c r="E20" i="47"/>
  <c r="D20" i="47"/>
  <c r="C20" i="47"/>
  <c r="B20" i="47"/>
  <c r="AO19" i="47"/>
  <c r="AL19" i="47"/>
  <c r="AK19" i="47"/>
  <c r="AF19" i="47"/>
  <c r="AH19" i="47" s="1"/>
  <c r="X19" i="47"/>
  <c r="AM19" i="47" s="1"/>
  <c r="S19" i="47"/>
  <c r="U19" i="47" s="1"/>
  <c r="I19" i="47"/>
  <c r="H19" i="47"/>
  <c r="G19" i="47"/>
  <c r="F19" i="47"/>
  <c r="E19" i="47"/>
  <c r="D19" i="47"/>
  <c r="C19" i="47"/>
  <c r="B19" i="47"/>
  <c r="AO18" i="47"/>
  <c r="AL18" i="47"/>
  <c r="AK18" i="47"/>
  <c r="AF18" i="47"/>
  <c r="AH18" i="47" s="1"/>
  <c r="X18" i="47"/>
  <c r="AM18" i="47" s="1"/>
  <c r="S18" i="47"/>
  <c r="U18" i="47" s="1"/>
  <c r="I18" i="47"/>
  <c r="H18" i="47"/>
  <c r="G18" i="47"/>
  <c r="F18" i="47"/>
  <c r="E18" i="47"/>
  <c r="D18" i="47"/>
  <c r="C18" i="47"/>
  <c r="B18" i="47"/>
  <c r="AO17" i="47"/>
  <c r="AL17" i="47"/>
  <c r="AK17" i="47"/>
  <c r="AF17" i="47"/>
  <c r="AH17" i="47" s="1"/>
  <c r="X17" i="47"/>
  <c r="S17" i="47"/>
  <c r="I17" i="47"/>
  <c r="H17" i="47"/>
  <c r="G17" i="47"/>
  <c r="F17" i="47"/>
  <c r="E17" i="47"/>
  <c r="D17" i="47"/>
  <c r="C17" i="47"/>
  <c r="B17" i="47"/>
  <c r="AO16" i="47"/>
  <c r="AL16" i="47"/>
  <c r="AK16" i="47"/>
  <c r="AF16" i="47"/>
  <c r="AH16" i="47" s="1"/>
  <c r="X16" i="47"/>
  <c r="S16" i="47"/>
  <c r="U16" i="47" s="1"/>
  <c r="I16" i="47"/>
  <c r="H16" i="47"/>
  <c r="G16" i="47"/>
  <c r="F16" i="47"/>
  <c r="E16" i="47"/>
  <c r="D16" i="47"/>
  <c r="C16" i="47"/>
  <c r="B16" i="47"/>
  <c r="AO15" i="47"/>
  <c r="AL15" i="47"/>
  <c r="AK15" i="47"/>
  <c r="AF15" i="47"/>
  <c r="AH15" i="47" s="1"/>
  <c r="X15" i="47"/>
  <c r="S15" i="47"/>
  <c r="AN15" i="47" s="1"/>
  <c r="I15" i="47"/>
  <c r="H15" i="47"/>
  <c r="G15" i="47"/>
  <c r="F15" i="47"/>
  <c r="E15" i="47"/>
  <c r="D15" i="47"/>
  <c r="C15" i="47"/>
  <c r="B15" i="47"/>
  <c r="AO14" i="47"/>
  <c r="AL14" i="47"/>
  <c r="AK14" i="47"/>
  <c r="AF14" i="47"/>
  <c r="AH14" i="47" s="1"/>
  <c r="X14" i="47"/>
  <c r="S14" i="47"/>
  <c r="U14" i="47" s="1"/>
  <c r="I14" i="47"/>
  <c r="H14" i="47"/>
  <c r="G14" i="47"/>
  <c r="F14" i="47"/>
  <c r="E14" i="47"/>
  <c r="D14" i="47"/>
  <c r="C14" i="47"/>
  <c r="B14" i="47"/>
  <c r="AO13" i="47"/>
  <c r="AL13" i="47"/>
  <c r="AK13" i="47"/>
  <c r="AM13" i="47" s="1"/>
  <c r="AF13" i="47"/>
  <c r="AH13" i="47" s="1"/>
  <c r="X13" i="47"/>
  <c r="S13" i="47"/>
  <c r="U13" i="47" s="1"/>
  <c r="I13" i="47"/>
  <c r="H13" i="47"/>
  <c r="G13" i="47"/>
  <c r="F13" i="47"/>
  <c r="E13" i="47"/>
  <c r="D13" i="47"/>
  <c r="C13" i="47"/>
  <c r="B13" i="47"/>
  <c r="AO12" i="47"/>
  <c r="AL12" i="47"/>
  <c r="AK12" i="47"/>
  <c r="AF12" i="47"/>
  <c r="AH12" i="47" s="1"/>
  <c r="X12" i="47"/>
  <c r="S12" i="47"/>
  <c r="U12" i="47" s="1"/>
  <c r="I12" i="47"/>
  <c r="H12" i="47"/>
  <c r="G12" i="47"/>
  <c r="F12" i="47"/>
  <c r="E12" i="47"/>
  <c r="D12" i="47"/>
  <c r="C12" i="47"/>
  <c r="B12" i="47"/>
  <c r="AO11" i="47"/>
  <c r="AL11" i="47"/>
  <c r="AK11" i="47"/>
  <c r="AF11" i="47"/>
  <c r="AH11" i="47" s="1"/>
  <c r="X11" i="47"/>
  <c r="AM11" i="47" s="1"/>
  <c r="S11" i="47"/>
  <c r="U11" i="47" s="1"/>
  <c r="I11" i="47"/>
  <c r="H11" i="47"/>
  <c r="G11" i="47"/>
  <c r="F11" i="47"/>
  <c r="E11" i="47"/>
  <c r="D11" i="47"/>
  <c r="C11" i="47"/>
  <c r="B11" i="47"/>
  <c r="AO10" i="47"/>
  <c r="AL10" i="47"/>
  <c r="AK10" i="47"/>
  <c r="AF10" i="47"/>
  <c r="AH10" i="47" s="1"/>
  <c r="X10" i="47"/>
  <c r="S10" i="47"/>
  <c r="U10" i="47" s="1"/>
  <c r="I10" i="47"/>
  <c r="H10" i="47"/>
  <c r="G10" i="47"/>
  <c r="F10" i="47"/>
  <c r="E10" i="47"/>
  <c r="C10" i="47"/>
  <c r="B10" i="47"/>
  <c r="AO9" i="47"/>
  <c r="AL9" i="47"/>
  <c r="AK9" i="47"/>
  <c r="AF9" i="47"/>
  <c r="AH9" i="47" s="1"/>
  <c r="X9" i="47"/>
  <c r="S9" i="47"/>
  <c r="I9" i="47"/>
  <c r="H9" i="47"/>
  <c r="G9" i="47"/>
  <c r="F9" i="47"/>
  <c r="E9" i="47"/>
  <c r="D9" i="47"/>
  <c r="C9" i="47"/>
  <c r="B9" i="47"/>
  <c r="AO8" i="47"/>
  <c r="AL8" i="47"/>
  <c r="AK8" i="47"/>
  <c r="AF8" i="47"/>
  <c r="AH8" i="47" s="1"/>
  <c r="X8" i="47"/>
  <c r="AM8" i="47" s="1"/>
  <c r="S8" i="47"/>
  <c r="I8" i="47"/>
  <c r="H8" i="47"/>
  <c r="G8" i="47"/>
  <c r="F8" i="47"/>
  <c r="E8" i="47"/>
  <c r="D8" i="47"/>
  <c r="C8" i="47"/>
  <c r="B8" i="47"/>
  <c r="AO7" i="47"/>
  <c r="AL7" i="47"/>
  <c r="AK7" i="47"/>
  <c r="AF7" i="47"/>
  <c r="AH7" i="47" s="1"/>
  <c r="X7" i="47"/>
  <c r="S7" i="47"/>
  <c r="U7" i="47" s="1"/>
  <c r="I7" i="47"/>
  <c r="H7" i="47"/>
  <c r="G7" i="47"/>
  <c r="F7" i="47"/>
  <c r="E7" i="47"/>
  <c r="D7" i="47"/>
  <c r="C7" i="47"/>
  <c r="B7" i="47"/>
  <c r="AO6" i="47"/>
  <c r="AL6" i="47"/>
  <c r="AK6" i="47"/>
  <c r="AF6" i="47"/>
  <c r="X6" i="47"/>
  <c r="S6" i="47"/>
  <c r="I6" i="47"/>
  <c r="H6" i="47"/>
  <c r="G6" i="47"/>
  <c r="F6" i="47"/>
  <c r="E6" i="47"/>
  <c r="D6" i="47"/>
  <c r="C6" i="47"/>
  <c r="B6" i="47"/>
  <c r="H2" i="47"/>
  <c r="E2" i="47"/>
  <c r="C2" i="47"/>
  <c r="K65" i="53" l="1"/>
  <c r="N162" i="53" s="1"/>
  <c r="N72" i="20" s="1"/>
  <c r="K64" i="53"/>
  <c r="N161" i="53" s="1"/>
  <c r="N71" i="20" s="1"/>
  <c r="K66" i="53"/>
  <c r="N163" i="53" s="1"/>
  <c r="N73" i="20" s="1"/>
  <c r="U62" i="59"/>
  <c r="U63" i="59" s="1"/>
  <c r="T160" i="59" s="1"/>
  <c r="T112" i="20" s="1"/>
  <c r="U60" i="58"/>
  <c r="AC159" i="58"/>
  <c r="AC104" i="20" s="1"/>
  <c r="U56" i="58"/>
  <c r="T157" i="58" s="1"/>
  <c r="T102" i="20" s="1"/>
  <c r="U58" i="58"/>
  <c r="O65" i="58"/>
  <c r="O66" i="58"/>
  <c r="AC158" i="58"/>
  <c r="AC103" i="20" s="1"/>
  <c r="S65" i="60"/>
  <c r="R162" i="60" s="1"/>
  <c r="R121" i="20" s="1"/>
  <c r="S64" i="60"/>
  <c r="R161" i="60" s="1"/>
  <c r="R120" i="20" s="1"/>
  <c r="U62" i="61"/>
  <c r="U64" i="61" s="1"/>
  <c r="T161" i="61" s="1"/>
  <c r="T127" i="20" s="1"/>
  <c r="U61" i="57"/>
  <c r="AC158" i="57"/>
  <c r="AC96" i="20" s="1"/>
  <c r="U59" i="57"/>
  <c r="U56" i="56"/>
  <c r="T157" i="56" s="1"/>
  <c r="T88" i="20" s="1"/>
  <c r="AC158" i="56"/>
  <c r="AC89" i="20" s="1"/>
  <c r="U58" i="56"/>
  <c r="T158" i="56"/>
  <c r="T89" i="20" s="1"/>
  <c r="N65" i="55"/>
  <c r="AC159" i="55"/>
  <c r="AC83" i="20" s="1"/>
  <c r="N66" i="55"/>
  <c r="U56" i="54"/>
  <c r="T157" i="54" s="1"/>
  <c r="T74" i="20" s="1"/>
  <c r="AC159" i="54"/>
  <c r="AC76" i="20" s="1"/>
  <c r="O63" i="54"/>
  <c r="AC159" i="53"/>
  <c r="AC69" i="20" s="1"/>
  <c r="T158" i="53"/>
  <c r="T68" i="20" s="1"/>
  <c r="AC158" i="53"/>
  <c r="AC68" i="20" s="1"/>
  <c r="U11" i="50"/>
  <c r="AN12" i="49"/>
  <c r="AP12" i="49" s="1"/>
  <c r="AP25" i="47"/>
  <c r="AP15" i="47"/>
  <c r="Q62" i="47"/>
  <c r="Q65" i="47" s="1"/>
  <c r="AP27" i="50"/>
  <c r="AM33" i="50"/>
  <c r="AP49" i="50"/>
  <c r="AP51" i="50"/>
  <c r="AN52" i="50"/>
  <c r="Y63" i="53"/>
  <c r="U160" i="53" s="1"/>
  <c r="U70" i="20" s="1"/>
  <c r="U58" i="54"/>
  <c r="W66" i="54"/>
  <c r="Q163" i="54" s="1"/>
  <c r="Q80" i="20" s="1"/>
  <c r="U59" i="56"/>
  <c r="AI65" i="57"/>
  <c r="V162" i="57" s="1"/>
  <c r="V100" i="20" s="1"/>
  <c r="AI66" i="57"/>
  <c r="V163" i="57" s="1"/>
  <c r="V101" i="20" s="1"/>
  <c r="T63" i="57"/>
  <c r="S160" i="57" s="1"/>
  <c r="S98" i="20" s="1"/>
  <c r="T64" i="57"/>
  <c r="S161" i="57" s="1"/>
  <c r="S99" i="20" s="1"/>
  <c r="T65" i="57"/>
  <c r="S162" i="57" s="1"/>
  <c r="S100" i="20" s="1"/>
  <c r="AI64" i="58"/>
  <c r="V161" i="58" s="1"/>
  <c r="V106" i="20" s="1"/>
  <c r="AC63" i="58"/>
  <c r="AG64" i="56"/>
  <c r="Y161" i="56" s="1"/>
  <c r="Y92" i="20" s="1"/>
  <c r="U58" i="57"/>
  <c r="AP25" i="48"/>
  <c r="U27" i="47"/>
  <c r="AN43" i="47"/>
  <c r="AN44" i="47"/>
  <c r="AN50" i="47"/>
  <c r="AK59" i="48"/>
  <c r="U25" i="48"/>
  <c r="AN26" i="48"/>
  <c r="U32" i="48"/>
  <c r="AN33" i="48"/>
  <c r="AN40" i="48"/>
  <c r="AP40" i="48" s="1"/>
  <c r="U43" i="48"/>
  <c r="AN49" i="48"/>
  <c r="U55" i="48"/>
  <c r="AM22" i="49"/>
  <c r="U24" i="49"/>
  <c r="AN25" i="49"/>
  <c r="AP25" i="49" s="1"/>
  <c r="U33" i="49"/>
  <c r="AN34" i="49"/>
  <c r="AP34" i="49" s="1"/>
  <c r="AN36" i="49"/>
  <c r="U49" i="49"/>
  <c r="U55" i="49"/>
  <c r="AB64" i="54"/>
  <c r="AF63" i="63"/>
  <c r="X160" i="63" s="1"/>
  <c r="X140" i="20" s="1"/>
  <c r="U28" i="47"/>
  <c r="AM35" i="47"/>
  <c r="AM9" i="47"/>
  <c r="AN11" i="47"/>
  <c r="AP11" i="47" s="1"/>
  <c r="AN12" i="47"/>
  <c r="AM14" i="47"/>
  <c r="AM15" i="47"/>
  <c r="AM16" i="47"/>
  <c r="AM23" i="47"/>
  <c r="AM25" i="47"/>
  <c r="AM27" i="47"/>
  <c r="AM28" i="47"/>
  <c r="AN34" i="47"/>
  <c r="AP35" i="47"/>
  <c r="AM38" i="47"/>
  <c r="AM40" i="47"/>
  <c r="U43" i="47"/>
  <c r="U44" i="47"/>
  <c r="AM46" i="47"/>
  <c r="AM47" i="47"/>
  <c r="AN49" i="47"/>
  <c r="AP49" i="47" s="1"/>
  <c r="U50" i="47"/>
  <c r="AN51" i="47"/>
  <c r="AP51" i="47" s="1"/>
  <c r="AN52" i="47"/>
  <c r="AN55" i="47"/>
  <c r="AP55" i="47" s="1"/>
  <c r="AN9" i="48"/>
  <c r="AP9" i="48" s="1"/>
  <c r="AM10" i="48"/>
  <c r="AM11" i="48"/>
  <c r="AM17" i="48"/>
  <c r="AM20" i="48"/>
  <c r="AM22" i="48"/>
  <c r="U26" i="48"/>
  <c r="AN27" i="48"/>
  <c r="AM27" i="48"/>
  <c r="AM28" i="48"/>
  <c r="AN28" i="48"/>
  <c r="U33" i="48"/>
  <c r="AN34" i="48"/>
  <c r="U40" i="48"/>
  <c r="AN41" i="48"/>
  <c r="U49" i="48"/>
  <c r="AN50" i="48"/>
  <c r="AP50" i="48" s="1"/>
  <c r="AN51" i="48"/>
  <c r="AP51" i="48" s="1"/>
  <c r="AN52" i="48"/>
  <c r="R62" i="48"/>
  <c r="R66" i="48" s="1"/>
  <c r="AM13" i="49"/>
  <c r="U25" i="49"/>
  <c r="AN26" i="49"/>
  <c r="AM26" i="49"/>
  <c r="AM27" i="49"/>
  <c r="AN31" i="49"/>
  <c r="AP31" i="49" s="1"/>
  <c r="U34" i="49"/>
  <c r="AN38" i="49"/>
  <c r="AP38" i="49" s="1"/>
  <c r="AN40" i="49"/>
  <c r="AP40" i="49" s="1"/>
  <c r="AM44" i="49"/>
  <c r="AN46" i="49"/>
  <c r="AP46" i="49" s="1"/>
  <c r="AN47" i="49"/>
  <c r="AP47" i="49" s="1"/>
  <c r="AM49" i="49"/>
  <c r="AM50" i="49"/>
  <c r="AP50" i="49"/>
  <c r="AM52" i="49"/>
  <c r="AM54" i="49"/>
  <c r="AM14" i="50"/>
  <c r="AM18" i="50"/>
  <c r="AN23" i="50"/>
  <c r="AP23" i="50" s="1"/>
  <c r="AN24" i="50"/>
  <c r="AP24" i="50" s="1"/>
  <c r="AN25" i="50"/>
  <c r="AP25" i="50" s="1"/>
  <c r="U27" i="50"/>
  <c r="AP33" i="50"/>
  <c r="AP35" i="50"/>
  <c r="AN36" i="50"/>
  <c r="AP37" i="50"/>
  <c r="AM42" i="50"/>
  <c r="U45" i="50"/>
  <c r="U49" i="50"/>
  <c r="AM49" i="50"/>
  <c r="U50" i="50"/>
  <c r="U51" i="50"/>
  <c r="AN53" i="50"/>
  <c r="AP53" i="50" s="1"/>
  <c r="AM53" i="50"/>
  <c r="AM54" i="50"/>
  <c r="Z64" i="53"/>
  <c r="T64" i="53"/>
  <c r="S161" i="53" s="1"/>
  <c r="S71" i="20" s="1"/>
  <c r="AB64" i="55"/>
  <c r="AQ64" i="57"/>
  <c r="AF161" i="57" s="1"/>
  <c r="AF99" i="20" s="1"/>
  <c r="M65" i="58"/>
  <c r="AC64" i="53"/>
  <c r="Q64" i="57"/>
  <c r="AP27" i="48"/>
  <c r="AP31" i="47"/>
  <c r="AO61" i="47"/>
  <c r="AM10" i="47"/>
  <c r="AM20" i="47"/>
  <c r="AN26" i="47"/>
  <c r="AM30" i="47"/>
  <c r="AM32" i="47"/>
  <c r="U34" i="47"/>
  <c r="AN39" i="47"/>
  <c r="AN41" i="47"/>
  <c r="AP41" i="47" s="1"/>
  <c r="AM44" i="47"/>
  <c r="AP48" i="47"/>
  <c r="AM8" i="48"/>
  <c r="U9" i="48"/>
  <c r="AM9" i="48"/>
  <c r="AN24" i="48"/>
  <c r="AP24" i="48" s="1"/>
  <c r="U27" i="48"/>
  <c r="AM30" i="48"/>
  <c r="U34" i="48"/>
  <c r="AN35" i="48"/>
  <c r="AP35" i="48" s="1"/>
  <c r="AN36" i="48"/>
  <c r="U41" i="48"/>
  <c r="AN42" i="48"/>
  <c r="AM44" i="48"/>
  <c r="AM45" i="48"/>
  <c r="U50" i="48"/>
  <c r="U51" i="48"/>
  <c r="AM54" i="48"/>
  <c r="AM10" i="49"/>
  <c r="AN15" i="49"/>
  <c r="AP15" i="49" s="1"/>
  <c r="F13" i="41"/>
  <c r="AM35" i="49"/>
  <c r="AM36" i="49"/>
  <c r="U38" i="49"/>
  <c r="AM45" i="49"/>
  <c r="U46" i="49"/>
  <c r="AP49" i="49"/>
  <c r="AF14" i="41"/>
  <c r="AN9" i="50"/>
  <c r="AP9" i="50" s="1"/>
  <c r="AN16" i="50"/>
  <c r="AP16" i="50" s="1"/>
  <c r="AM20" i="50"/>
  <c r="AM22" i="50"/>
  <c r="AM31" i="50"/>
  <c r="AP41" i="50"/>
  <c r="AP43" i="50"/>
  <c r="AN44" i="50"/>
  <c r="AP45" i="50"/>
  <c r="U53" i="50"/>
  <c r="Y65" i="53"/>
  <c r="U162" i="53" s="1"/>
  <c r="U72" i="20" s="1"/>
  <c r="T65" i="53"/>
  <c r="S162" i="53" s="1"/>
  <c r="S72" i="20" s="1"/>
  <c r="T66" i="53"/>
  <c r="S163" i="53" s="1"/>
  <c r="S73" i="20" s="1"/>
  <c r="U59" i="54"/>
  <c r="Z64" i="54"/>
  <c r="W65" i="54"/>
  <c r="Q162" i="54" s="1"/>
  <c r="Q79" i="20" s="1"/>
  <c r="U60" i="56"/>
  <c r="W64" i="56"/>
  <c r="Q161" i="56" s="1"/>
  <c r="Q92" i="20" s="1"/>
  <c r="V66" i="57"/>
  <c r="P163" i="57" s="1"/>
  <c r="P101" i="20" s="1"/>
  <c r="AD66" i="58"/>
  <c r="U61" i="56"/>
  <c r="AK65" i="63"/>
  <c r="AL66" i="63"/>
  <c r="AA163" i="63" s="1"/>
  <c r="AA143" i="20" s="1"/>
  <c r="AB157" i="63"/>
  <c r="AB137" i="20" s="1"/>
  <c r="AI25" i="41"/>
  <c r="U65" i="63"/>
  <c r="T162" i="63" s="1"/>
  <c r="T142" i="20" s="1"/>
  <c r="S63" i="63"/>
  <c r="R160" i="63" s="1"/>
  <c r="R140" i="20" s="1"/>
  <c r="T157" i="63"/>
  <c r="T137" i="20" s="1"/>
  <c r="Q25" i="41"/>
  <c r="AC157" i="63"/>
  <c r="AC137" i="20" s="1"/>
  <c r="AJ25" i="41"/>
  <c r="Z157" i="62"/>
  <c r="Z130" i="20" s="1"/>
  <c r="AD24" i="41"/>
  <c r="AB157" i="62"/>
  <c r="AB130" i="20" s="1"/>
  <c r="AI24" i="41"/>
  <c r="AL66" i="62"/>
  <c r="AA163" i="62" s="1"/>
  <c r="AA136" i="20" s="1"/>
  <c r="U66" i="62"/>
  <c r="T163" i="62" s="1"/>
  <c r="T136" i="20" s="1"/>
  <c r="AL65" i="62"/>
  <c r="AA162" i="62" s="1"/>
  <c r="AA135" i="20" s="1"/>
  <c r="AC157" i="62"/>
  <c r="AC130" i="20" s="1"/>
  <c r="AJ24" i="41"/>
  <c r="AK66" i="61"/>
  <c r="AK64" i="61"/>
  <c r="AH65" i="61"/>
  <c r="Z162" i="61" s="1"/>
  <c r="Z128" i="20" s="1"/>
  <c r="AB157" i="61"/>
  <c r="AB123" i="20" s="1"/>
  <c r="AI23" i="41"/>
  <c r="AC157" i="61"/>
  <c r="AC123" i="20" s="1"/>
  <c r="AJ23" i="41"/>
  <c r="AK64" i="60"/>
  <c r="AO66" i="60"/>
  <c r="AD163" i="60" s="1"/>
  <c r="AD122" i="20" s="1"/>
  <c r="AO65" i="60"/>
  <c r="AD162" i="60" s="1"/>
  <c r="AD121" i="20" s="1"/>
  <c r="AO63" i="60"/>
  <c r="AD160" i="60" s="1"/>
  <c r="AD119" i="20" s="1"/>
  <c r="AL66" i="60"/>
  <c r="AA163" i="60" s="1"/>
  <c r="AA122" i="20" s="1"/>
  <c r="AL65" i="60"/>
  <c r="AA162" i="60" s="1"/>
  <c r="AA121" i="20" s="1"/>
  <c r="AF65" i="60"/>
  <c r="X162" i="60" s="1"/>
  <c r="X121" i="20" s="1"/>
  <c r="AF63" i="60"/>
  <c r="X160" i="60" s="1"/>
  <c r="X119" i="20" s="1"/>
  <c r="Z157" i="60"/>
  <c r="Z116" i="20" s="1"/>
  <c r="AD22" i="41"/>
  <c r="X64" i="60"/>
  <c r="AB157" i="60"/>
  <c r="AB116" i="20" s="1"/>
  <c r="AI22" i="41"/>
  <c r="X63" i="60"/>
  <c r="AC157" i="60"/>
  <c r="AC116" i="20" s="1"/>
  <c r="AJ22" i="41"/>
  <c r="T157" i="60"/>
  <c r="T116" i="20" s="1"/>
  <c r="Q22" i="41"/>
  <c r="S66" i="60"/>
  <c r="R163" i="60" s="1"/>
  <c r="R122" i="20" s="1"/>
  <c r="AH65" i="59"/>
  <c r="Z162" i="59" s="1"/>
  <c r="Z114" i="20" s="1"/>
  <c r="AB157" i="59"/>
  <c r="AB109" i="20" s="1"/>
  <c r="AI21" i="41"/>
  <c r="AO64" i="59"/>
  <c r="AD161" i="59" s="1"/>
  <c r="AD113" i="20" s="1"/>
  <c r="AO65" i="59"/>
  <c r="AD162" i="59" s="1"/>
  <c r="AD114" i="20" s="1"/>
  <c r="AO66" i="59"/>
  <c r="AD163" i="59" s="1"/>
  <c r="AD115" i="20" s="1"/>
  <c r="T157" i="59"/>
  <c r="T109" i="20" s="1"/>
  <c r="Q21" i="41"/>
  <c r="AL65" i="59"/>
  <c r="AA162" i="59" s="1"/>
  <c r="AA114" i="20" s="1"/>
  <c r="S64" i="59"/>
  <c r="R161" i="59" s="1"/>
  <c r="R113" i="20" s="1"/>
  <c r="S66" i="59"/>
  <c r="R163" i="59" s="1"/>
  <c r="R115" i="20" s="1"/>
  <c r="AC157" i="59"/>
  <c r="AC109" i="20" s="1"/>
  <c r="AJ21" i="41"/>
  <c r="S63" i="59"/>
  <c r="R160" i="59" s="1"/>
  <c r="R112" i="20" s="1"/>
  <c r="AE65" i="58"/>
  <c r="AE66" i="58"/>
  <c r="AH20" i="41"/>
  <c r="AC66" i="58"/>
  <c r="AA66" i="58"/>
  <c r="AC65" i="58"/>
  <c r="AB64" i="58"/>
  <c r="AK20" i="41"/>
  <c r="M64" i="58"/>
  <c r="Q20" i="41"/>
  <c r="O64" i="58"/>
  <c r="O20" i="41"/>
  <c r="AC66" i="57"/>
  <c r="AD66" i="57"/>
  <c r="AC65" i="57"/>
  <c r="AH19" i="41"/>
  <c r="AB19" i="41"/>
  <c r="AB63" i="57"/>
  <c r="AD19" i="41"/>
  <c r="AC64" i="57"/>
  <c r="V63" i="57"/>
  <c r="P160" i="57" s="1"/>
  <c r="P98" i="20" s="1"/>
  <c r="AK19" i="41"/>
  <c r="AL62" i="57"/>
  <c r="AL63" i="57" s="1"/>
  <c r="AA160" i="57" s="1"/>
  <c r="AA98" i="20" s="1"/>
  <c r="M65" i="57"/>
  <c r="L64" i="57"/>
  <c r="O161" i="57" s="1"/>
  <c r="O99" i="20" s="1"/>
  <c r="O19" i="41"/>
  <c r="Q65" i="57"/>
  <c r="AI63" i="56"/>
  <c r="V160" i="56" s="1"/>
  <c r="V91" i="20" s="1"/>
  <c r="AB65" i="56"/>
  <c r="AE63" i="56"/>
  <c r="AE64" i="56"/>
  <c r="AD18" i="41"/>
  <c r="AB64" i="56"/>
  <c r="AB63" i="56"/>
  <c r="AB18" i="41"/>
  <c r="AE65" i="56"/>
  <c r="AC64" i="56"/>
  <c r="AK18" i="41"/>
  <c r="L66" i="56"/>
  <c r="O163" i="56" s="1"/>
  <c r="O94" i="20" s="1"/>
  <c r="AH18" i="41"/>
  <c r="R64" i="56"/>
  <c r="M63" i="56"/>
  <c r="R65" i="56"/>
  <c r="M65" i="56"/>
  <c r="Q18" i="41"/>
  <c r="O18" i="41"/>
  <c r="R63" i="56"/>
  <c r="AQ65" i="55"/>
  <c r="AF162" i="55" s="1"/>
  <c r="AF86" i="20" s="1"/>
  <c r="AA64" i="55"/>
  <c r="AB17" i="41"/>
  <c r="AD63" i="55"/>
  <c r="AD65" i="55"/>
  <c r="AD17" i="41"/>
  <c r="T63" i="55"/>
  <c r="S160" i="55" s="1"/>
  <c r="S84" i="20" s="1"/>
  <c r="AK17" i="41"/>
  <c r="T64" i="55"/>
  <c r="S161" i="55" s="1"/>
  <c r="S85" i="20" s="1"/>
  <c r="T66" i="55"/>
  <c r="S163" i="55" s="1"/>
  <c r="S87" i="20" s="1"/>
  <c r="AH17" i="41"/>
  <c r="Q65" i="55"/>
  <c r="M63" i="55"/>
  <c r="O17" i="41"/>
  <c r="R64" i="55"/>
  <c r="O66" i="55"/>
  <c r="K64" i="55"/>
  <c r="N161" i="55" s="1"/>
  <c r="N85" i="20" s="1"/>
  <c r="O63" i="55"/>
  <c r="O64" i="55"/>
  <c r="R63" i="55"/>
  <c r="R65" i="55"/>
  <c r="AQ64" i="54"/>
  <c r="AF161" i="54" s="1"/>
  <c r="AF78" i="20" s="1"/>
  <c r="AQ65" i="54"/>
  <c r="AF162" i="54" s="1"/>
  <c r="AF79" i="20" s="1"/>
  <c r="AQ63" i="54"/>
  <c r="AF160" i="54" s="1"/>
  <c r="AF77" i="20" s="1"/>
  <c r="AJ66" i="54"/>
  <c r="W163" i="54" s="1"/>
  <c r="W80" i="20" s="1"/>
  <c r="AJ64" i="54"/>
  <c r="W161" i="54" s="1"/>
  <c r="W78" i="20" s="1"/>
  <c r="AJ63" i="54"/>
  <c r="W160" i="54" s="1"/>
  <c r="W77" i="20" s="1"/>
  <c r="AH16" i="41"/>
  <c r="AB16" i="41"/>
  <c r="Z63" i="54"/>
  <c r="AD63" i="54"/>
  <c r="AE66" i="54"/>
  <c r="T65" i="54"/>
  <c r="S162" i="54" s="1"/>
  <c r="S79" i="20" s="1"/>
  <c r="AK16" i="41"/>
  <c r="Q64" i="54"/>
  <c r="Q66" i="54"/>
  <c r="Q16" i="41"/>
  <c r="U60" i="54"/>
  <c r="R64" i="54"/>
  <c r="O66" i="54"/>
  <c r="K65" i="54"/>
  <c r="N162" i="54" s="1"/>
  <c r="N79" i="20" s="1"/>
  <c r="K63" i="54"/>
  <c r="N160" i="54" s="1"/>
  <c r="N77" i="20" s="1"/>
  <c r="L66" i="54"/>
  <c r="O163" i="54" s="1"/>
  <c r="O80" i="20" s="1"/>
  <c r="Q65" i="54"/>
  <c r="N65" i="54"/>
  <c r="M63" i="54"/>
  <c r="O16" i="41"/>
  <c r="K64" i="54"/>
  <c r="N161" i="54" s="1"/>
  <c r="N78" i="20" s="1"/>
  <c r="AJ65" i="53"/>
  <c r="W162" i="53" s="1"/>
  <c r="W72" i="20" s="1"/>
  <c r="AJ64" i="53"/>
  <c r="W161" i="53" s="1"/>
  <c r="W71" i="20" s="1"/>
  <c r="AG63" i="53"/>
  <c r="Y160" i="53" s="1"/>
  <c r="Y70" i="20" s="1"/>
  <c r="AG66" i="53"/>
  <c r="Y163" i="53" s="1"/>
  <c r="Y73" i="20" s="1"/>
  <c r="AG65" i="53"/>
  <c r="Y162" i="53" s="1"/>
  <c r="Y72" i="20" s="1"/>
  <c r="AB15" i="41"/>
  <c r="AD63" i="53"/>
  <c r="AB64" i="53"/>
  <c r="AC63" i="53"/>
  <c r="AD15" i="41"/>
  <c r="AK15" i="41"/>
  <c r="O63" i="53"/>
  <c r="M65" i="53"/>
  <c r="U61" i="53"/>
  <c r="AH15" i="41"/>
  <c r="AM14" i="41"/>
  <c r="AM10" i="50"/>
  <c r="AM15" i="50"/>
  <c r="AM8" i="50"/>
  <c r="AJ66" i="50"/>
  <c r="W163" i="50" s="1"/>
  <c r="W66" i="20" s="1"/>
  <c r="AM16" i="50"/>
  <c r="AN17" i="50"/>
  <c r="AP17" i="50" s="1"/>
  <c r="AE65" i="50"/>
  <c r="AL58" i="50"/>
  <c r="AB62" i="50"/>
  <c r="AB63" i="50" s="1"/>
  <c r="AN8" i="50"/>
  <c r="AP8" i="50" s="1"/>
  <c r="AN15" i="50"/>
  <c r="AN7" i="50"/>
  <c r="AP7" i="50" s="1"/>
  <c r="AN19" i="50"/>
  <c r="AP19" i="50" s="1"/>
  <c r="AM19" i="50"/>
  <c r="W62" i="50"/>
  <c r="W65" i="50" s="1"/>
  <c r="Q162" i="50" s="1"/>
  <c r="Q65" i="20" s="1"/>
  <c r="P65" i="50"/>
  <c r="U7" i="50"/>
  <c r="U8" i="50"/>
  <c r="U9" i="50"/>
  <c r="AP15" i="50"/>
  <c r="O62" i="50"/>
  <c r="O63" i="50" s="1"/>
  <c r="U15" i="50"/>
  <c r="U16" i="50"/>
  <c r="U17" i="50"/>
  <c r="L65" i="50"/>
  <c r="O162" i="50" s="1"/>
  <c r="O65" i="20" s="1"/>
  <c r="AK58" i="49"/>
  <c r="AM12" i="49"/>
  <c r="AM11" i="49"/>
  <c r="AM19" i="49"/>
  <c r="AM14" i="49"/>
  <c r="AG62" i="49"/>
  <c r="AG65" i="49" s="1"/>
  <c r="Y162" i="49" s="1"/>
  <c r="Y58" i="20" s="1"/>
  <c r="AG66" i="49"/>
  <c r="Y163" i="49" s="1"/>
  <c r="Y59" i="20" s="1"/>
  <c r="Y62" i="49"/>
  <c r="AN8" i="49"/>
  <c r="AP8" i="49" s="1"/>
  <c r="AN7" i="49"/>
  <c r="AP7" i="49" s="1"/>
  <c r="AN9" i="49"/>
  <c r="AP9" i="49" s="1"/>
  <c r="AN10" i="49"/>
  <c r="AP10" i="49" s="1"/>
  <c r="AP18" i="49"/>
  <c r="AN17" i="49"/>
  <c r="AP17" i="49" s="1"/>
  <c r="Z62" i="49"/>
  <c r="Z66" i="49" s="1"/>
  <c r="AM18" i="49"/>
  <c r="U16" i="49"/>
  <c r="Q66" i="49"/>
  <c r="P65" i="49"/>
  <c r="AL58" i="49"/>
  <c r="Q65" i="49"/>
  <c r="P64" i="49"/>
  <c r="U7" i="49"/>
  <c r="Q64" i="49"/>
  <c r="AM19" i="48"/>
  <c r="AM12" i="48"/>
  <c r="AM18" i="48"/>
  <c r="AG65" i="48"/>
  <c r="Y162" i="48" s="1"/>
  <c r="Y51" i="20" s="1"/>
  <c r="AN20" i="48"/>
  <c r="AP20" i="48" s="1"/>
  <c r="Y62" i="48"/>
  <c r="Y66" i="48"/>
  <c r="U163" i="48" s="1"/>
  <c r="U52" i="20" s="1"/>
  <c r="AN8" i="48"/>
  <c r="AP8" i="48" s="1"/>
  <c r="AN10" i="48"/>
  <c r="AN17" i="48"/>
  <c r="AP17" i="48" s="1"/>
  <c r="Z62" i="48"/>
  <c r="Z66" i="48" s="1"/>
  <c r="AP12" i="48"/>
  <c r="U18" i="48"/>
  <c r="Q66" i="48"/>
  <c r="AL58" i="48"/>
  <c r="Q65" i="48"/>
  <c r="AP10" i="48"/>
  <c r="S60" i="48"/>
  <c r="Q64" i="48"/>
  <c r="P62" i="48"/>
  <c r="P63" i="48" s="1"/>
  <c r="U16" i="48"/>
  <c r="AM7" i="47"/>
  <c r="AK58" i="47"/>
  <c r="AM17" i="47"/>
  <c r="AM12" i="47"/>
  <c r="AF61" i="47"/>
  <c r="AN10" i="47"/>
  <c r="AP10" i="47" s="1"/>
  <c r="AN18" i="47"/>
  <c r="AN19" i="47"/>
  <c r="AP19" i="47" s="1"/>
  <c r="AN20" i="47"/>
  <c r="AN9" i="47"/>
  <c r="AP9" i="47" s="1"/>
  <c r="AN17" i="47"/>
  <c r="AP17" i="47" s="1"/>
  <c r="Y62" i="47"/>
  <c r="Y64" i="47" s="1"/>
  <c r="U161" i="47" s="1"/>
  <c r="U43" i="20" s="1"/>
  <c r="AL56" i="47"/>
  <c r="AA157" i="47" s="1"/>
  <c r="AA39" i="20" s="1"/>
  <c r="AN8" i="47"/>
  <c r="AP8" i="47" s="1"/>
  <c r="X61" i="47"/>
  <c r="U8" i="47"/>
  <c r="P62" i="47"/>
  <c r="P64" i="47" s="1"/>
  <c r="S60" i="47"/>
  <c r="AP28" i="47"/>
  <c r="AP27" i="47"/>
  <c r="E69" i="47"/>
  <c r="D56" i="47"/>
  <c r="E69" i="48"/>
  <c r="D56" i="48"/>
  <c r="E69" i="49"/>
  <c r="D56" i="49"/>
  <c r="C69" i="47"/>
  <c r="C56" i="47"/>
  <c r="M157" i="63"/>
  <c r="M137" i="20" s="1"/>
  <c r="M138" i="20"/>
  <c r="M11" i="41"/>
  <c r="U11" i="41"/>
  <c r="AC11" i="41"/>
  <c r="G12" i="41"/>
  <c r="W12" i="41"/>
  <c r="AE12" i="41"/>
  <c r="AM12" i="41"/>
  <c r="G13" i="41"/>
  <c r="O13" i="41"/>
  <c r="W13" i="41"/>
  <c r="AE13" i="41"/>
  <c r="AM13" i="41"/>
  <c r="I14" i="41"/>
  <c r="Y14" i="41"/>
  <c r="J157" i="57"/>
  <c r="J95" i="20" s="1"/>
  <c r="H95" i="20"/>
  <c r="T11" i="41"/>
  <c r="F12" i="41"/>
  <c r="F11" i="41"/>
  <c r="N11" i="41"/>
  <c r="V11" i="41"/>
  <c r="H12" i="41"/>
  <c r="P12" i="41"/>
  <c r="X12" i="41"/>
  <c r="AF12" i="41"/>
  <c r="H13" i="41"/>
  <c r="P13" i="41"/>
  <c r="X13" i="41"/>
  <c r="AF13" i="41"/>
  <c r="J14" i="41"/>
  <c r="R14" i="41"/>
  <c r="Z14" i="41"/>
  <c r="L11" i="41"/>
  <c r="V12" i="41"/>
  <c r="G11" i="41"/>
  <c r="W11" i="41"/>
  <c r="AE11" i="41"/>
  <c r="AM11" i="41"/>
  <c r="I12" i="41"/>
  <c r="Y12" i="41"/>
  <c r="I13" i="41"/>
  <c r="Y13" i="41"/>
  <c r="AG13" i="41"/>
  <c r="K14" i="41"/>
  <c r="S14" i="41"/>
  <c r="AA14" i="41"/>
  <c r="M157" i="62"/>
  <c r="M130" i="20" s="1"/>
  <c r="M131" i="20"/>
  <c r="N12" i="41"/>
  <c r="H11" i="41"/>
  <c r="P11" i="41"/>
  <c r="X11" i="41"/>
  <c r="AF11" i="41"/>
  <c r="J12" i="41"/>
  <c r="R12" i="41"/>
  <c r="Z12" i="41"/>
  <c r="J13" i="41"/>
  <c r="R13" i="41"/>
  <c r="Z13" i="41"/>
  <c r="L14" i="41"/>
  <c r="T14" i="41"/>
  <c r="N13" i="41"/>
  <c r="P14" i="41"/>
  <c r="AF159" i="47"/>
  <c r="AF41" i="20" s="1"/>
  <c r="I11" i="41"/>
  <c r="Y11" i="41"/>
  <c r="AG11" i="41"/>
  <c r="K12" i="41"/>
  <c r="S12" i="41"/>
  <c r="AA12" i="41"/>
  <c r="K13" i="41"/>
  <c r="S13" i="41"/>
  <c r="AA13" i="41"/>
  <c r="M14" i="41"/>
  <c r="U14" i="41"/>
  <c r="AC14" i="41"/>
  <c r="J157" i="55"/>
  <c r="J81" i="20" s="1"/>
  <c r="H81" i="20"/>
  <c r="M157" i="60"/>
  <c r="M116" i="20" s="1"/>
  <c r="M117" i="20"/>
  <c r="V13" i="41"/>
  <c r="X14" i="41"/>
  <c r="J11" i="41"/>
  <c r="R11" i="41"/>
  <c r="Z11" i="41"/>
  <c r="AH11" i="41"/>
  <c r="L12" i="41"/>
  <c r="L13" i="41"/>
  <c r="F14" i="41"/>
  <c r="N14" i="41"/>
  <c r="V14" i="41"/>
  <c r="M157" i="61"/>
  <c r="M123" i="20" s="1"/>
  <c r="M124" i="20"/>
  <c r="H14" i="41"/>
  <c r="K11" i="41"/>
  <c r="S11" i="41"/>
  <c r="AA11" i="41"/>
  <c r="M12" i="41"/>
  <c r="U12" i="41"/>
  <c r="AC12" i="41"/>
  <c r="M13" i="41"/>
  <c r="U13" i="41"/>
  <c r="AC13" i="41"/>
  <c r="G14" i="41"/>
  <c r="W14" i="41"/>
  <c r="AE14" i="41"/>
  <c r="M63" i="53"/>
  <c r="O15" i="41"/>
  <c r="G157" i="48"/>
  <c r="G46" i="20" s="1"/>
  <c r="E56" i="48"/>
  <c r="G157" i="49"/>
  <c r="G53" i="20" s="1"/>
  <c r="E56" i="49"/>
  <c r="G157" i="47"/>
  <c r="G39" i="20" s="1"/>
  <c r="E56" i="47"/>
  <c r="AN62" i="63"/>
  <c r="AN66" i="63" s="1"/>
  <c r="AC163" i="63" s="1"/>
  <c r="AC143" i="20" s="1"/>
  <c r="U66" i="63"/>
  <c r="T163" i="63" s="1"/>
  <c r="T143" i="20" s="1"/>
  <c r="AL64" i="63"/>
  <c r="AA161" i="63" s="1"/>
  <c r="AA141" i="20" s="1"/>
  <c r="AL65" i="63"/>
  <c r="AA162" i="63" s="1"/>
  <c r="AA142" i="20" s="1"/>
  <c r="AO64" i="63"/>
  <c r="AD161" i="63" s="1"/>
  <c r="AD141" i="20" s="1"/>
  <c r="AO63" i="63"/>
  <c r="AD160" i="63" s="1"/>
  <c r="AD140" i="20" s="1"/>
  <c r="AH65" i="63"/>
  <c r="Z162" i="63" s="1"/>
  <c r="Z142" i="20" s="1"/>
  <c r="AH64" i="63"/>
  <c r="Z161" i="63" s="1"/>
  <c r="Z141" i="20" s="1"/>
  <c r="AH63" i="63"/>
  <c r="Z160" i="63" s="1"/>
  <c r="Z140" i="20" s="1"/>
  <c r="AM62" i="63"/>
  <c r="AM64" i="63" s="1"/>
  <c r="AB161" i="63" s="1"/>
  <c r="AB141" i="20" s="1"/>
  <c r="AF65" i="63"/>
  <c r="X162" i="63" s="1"/>
  <c r="X142" i="20" s="1"/>
  <c r="S64" i="63"/>
  <c r="R161" i="63" s="1"/>
  <c r="R141" i="20" s="1"/>
  <c r="U63" i="63"/>
  <c r="T160" i="63" s="1"/>
  <c r="T140" i="20" s="1"/>
  <c r="AO65" i="63"/>
  <c r="AD162" i="63" s="1"/>
  <c r="AD142" i="20" s="1"/>
  <c r="S66" i="63"/>
  <c r="R163" i="63" s="1"/>
  <c r="R143" i="20" s="1"/>
  <c r="AP61" i="63"/>
  <c r="AP60" i="63"/>
  <c r="AP59" i="63"/>
  <c r="AP58" i="63"/>
  <c r="AP56" i="63"/>
  <c r="AE159" i="63"/>
  <c r="AE139" i="20" s="1"/>
  <c r="AO63" i="62"/>
  <c r="AD160" i="62" s="1"/>
  <c r="AD133" i="20" s="1"/>
  <c r="AK66" i="62"/>
  <c r="AL63" i="62"/>
  <c r="AA160" i="62" s="1"/>
  <c r="AA133" i="20" s="1"/>
  <c r="AO66" i="62"/>
  <c r="AD163" i="62" s="1"/>
  <c r="AD136" i="20" s="1"/>
  <c r="AO65" i="62"/>
  <c r="AD162" i="62" s="1"/>
  <c r="AD135" i="20" s="1"/>
  <c r="S65" i="62"/>
  <c r="R162" i="62" s="1"/>
  <c r="R135" i="20" s="1"/>
  <c r="AN62" i="62"/>
  <c r="AN63" i="62" s="1"/>
  <c r="AC160" i="62" s="1"/>
  <c r="AC133" i="20" s="1"/>
  <c r="U65" i="62"/>
  <c r="T162" i="62" s="1"/>
  <c r="T135" i="20" s="1"/>
  <c r="S63" i="62"/>
  <c r="R160" i="62" s="1"/>
  <c r="R133" i="20" s="1"/>
  <c r="AP60" i="62"/>
  <c r="AP59" i="62"/>
  <c r="AP58" i="62"/>
  <c r="AP56" i="62"/>
  <c r="AP61" i="62"/>
  <c r="AE159" i="62"/>
  <c r="AE132" i="20" s="1"/>
  <c r="X66" i="62"/>
  <c r="S66" i="62"/>
  <c r="R163" i="62" s="1"/>
  <c r="R136" i="20" s="1"/>
  <c r="X64" i="62"/>
  <c r="AM62" i="62"/>
  <c r="AM65" i="62" s="1"/>
  <c r="AB162" i="62" s="1"/>
  <c r="AB135" i="20" s="1"/>
  <c r="AK64" i="62"/>
  <c r="AK65" i="62"/>
  <c r="AH62" i="62"/>
  <c r="AH64" i="62" s="1"/>
  <c r="Z161" i="62" s="1"/>
  <c r="Z134" i="20" s="1"/>
  <c r="U64" i="62"/>
  <c r="T161" i="62" s="1"/>
  <c r="T134" i="20" s="1"/>
  <c r="AM62" i="61"/>
  <c r="AM63" i="61" s="1"/>
  <c r="AB160" i="61" s="1"/>
  <c r="AB126" i="20" s="1"/>
  <c r="S63" i="61"/>
  <c r="R160" i="61" s="1"/>
  <c r="R126" i="20" s="1"/>
  <c r="AP61" i="61"/>
  <c r="AP60" i="61"/>
  <c r="AP59" i="61"/>
  <c r="AP58" i="61"/>
  <c r="AP56" i="61"/>
  <c r="AE159" i="61"/>
  <c r="AE125" i="20" s="1"/>
  <c r="S66" i="61"/>
  <c r="R163" i="61" s="1"/>
  <c r="R129" i="20" s="1"/>
  <c r="U63" i="61"/>
  <c r="T160" i="61" s="1"/>
  <c r="T126" i="20" s="1"/>
  <c r="AN62" i="61"/>
  <c r="AN63" i="61" s="1"/>
  <c r="AC160" i="61" s="1"/>
  <c r="AC126" i="20" s="1"/>
  <c r="X65" i="61"/>
  <c r="AF64" i="61"/>
  <c r="X161" i="61" s="1"/>
  <c r="X127" i="20" s="1"/>
  <c r="AF65" i="61"/>
  <c r="X162" i="61" s="1"/>
  <c r="X128" i="20" s="1"/>
  <c r="S64" i="61"/>
  <c r="R161" i="61" s="1"/>
  <c r="R127" i="20" s="1"/>
  <c r="X66" i="61"/>
  <c r="AF63" i="61"/>
  <c r="X160" i="61" s="1"/>
  <c r="X126" i="20" s="1"/>
  <c r="AO64" i="61"/>
  <c r="AD161" i="61" s="1"/>
  <c r="AD127" i="20" s="1"/>
  <c r="AO66" i="61"/>
  <c r="AD163" i="61" s="1"/>
  <c r="AD129" i="20" s="1"/>
  <c r="U62" i="60"/>
  <c r="U65" i="60" s="1"/>
  <c r="T162" i="60" s="1"/>
  <c r="T121" i="20" s="1"/>
  <c r="AP61" i="60"/>
  <c r="AP60" i="60"/>
  <c r="AP59" i="60"/>
  <c r="AP58" i="60"/>
  <c r="AP56" i="60"/>
  <c r="AE159" i="60"/>
  <c r="AE118" i="20" s="1"/>
  <c r="AK63" i="60"/>
  <c r="AF66" i="60"/>
  <c r="X163" i="60" s="1"/>
  <c r="X122" i="20" s="1"/>
  <c r="AN62" i="60"/>
  <c r="AN63" i="60" s="1"/>
  <c r="AC160" i="60" s="1"/>
  <c r="AC119" i="20" s="1"/>
  <c r="AH62" i="60"/>
  <c r="AH64" i="60" s="1"/>
  <c r="Z161" i="60" s="1"/>
  <c r="Z120" i="20" s="1"/>
  <c r="AK66" i="60"/>
  <c r="AM62" i="60"/>
  <c r="AM64" i="60" s="1"/>
  <c r="AB161" i="60" s="1"/>
  <c r="AB120" i="20" s="1"/>
  <c r="AL63" i="60"/>
  <c r="AA160" i="60" s="1"/>
  <c r="AA119" i="20" s="1"/>
  <c r="AM62" i="59"/>
  <c r="AM63" i="59" s="1"/>
  <c r="AB160" i="59" s="1"/>
  <c r="AB112" i="20" s="1"/>
  <c r="AM64" i="59"/>
  <c r="AB161" i="59" s="1"/>
  <c r="AB113" i="20" s="1"/>
  <c r="AF66" i="59"/>
  <c r="X163" i="59" s="1"/>
  <c r="X115" i="20" s="1"/>
  <c r="AK66" i="59"/>
  <c r="AL66" i="59"/>
  <c r="AA163" i="59" s="1"/>
  <c r="AA115" i="20" s="1"/>
  <c r="AH66" i="59"/>
  <c r="Z163" i="59" s="1"/>
  <c r="Z115" i="20" s="1"/>
  <c r="AF64" i="59"/>
  <c r="X161" i="59" s="1"/>
  <c r="X113" i="20" s="1"/>
  <c r="AP61" i="59"/>
  <c r="AP60" i="59"/>
  <c r="AP59" i="59"/>
  <c r="AP58" i="59"/>
  <c r="AP56" i="59"/>
  <c r="AE159" i="59"/>
  <c r="AE111" i="20" s="1"/>
  <c r="AL64" i="59"/>
  <c r="AA161" i="59" s="1"/>
  <c r="AA113" i="20" s="1"/>
  <c r="M157" i="59"/>
  <c r="M109" i="20" s="1"/>
  <c r="AF65" i="59"/>
  <c r="X162" i="59" s="1"/>
  <c r="X114" i="20" s="1"/>
  <c r="AN62" i="59"/>
  <c r="AN64" i="59" s="1"/>
  <c r="AC161" i="59" s="1"/>
  <c r="AC113" i="20" s="1"/>
  <c r="AQ65" i="58"/>
  <c r="AF162" i="58" s="1"/>
  <c r="AF107" i="20" s="1"/>
  <c r="AQ66" i="58"/>
  <c r="AF163" i="58" s="1"/>
  <c r="AF108" i="20" s="1"/>
  <c r="T64" i="58"/>
  <c r="S161" i="58" s="1"/>
  <c r="S106" i="20" s="1"/>
  <c r="V65" i="58"/>
  <c r="P162" i="58" s="1"/>
  <c r="P107" i="20" s="1"/>
  <c r="AJ63" i="58"/>
  <c r="W160" i="58" s="1"/>
  <c r="W105" i="20" s="1"/>
  <c r="AQ64" i="58"/>
  <c r="AF161" i="58" s="1"/>
  <c r="AF106" i="20" s="1"/>
  <c r="K66" i="58"/>
  <c r="N163" i="58" s="1"/>
  <c r="N108" i="20" s="1"/>
  <c r="X62" i="58"/>
  <c r="X64" i="58" s="1"/>
  <c r="AL62" i="58"/>
  <c r="AL63" i="58" s="1"/>
  <c r="AA160" i="58" s="1"/>
  <c r="AA105" i="20" s="1"/>
  <c r="AO62" i="58"/>
  <c r="AO65" i="58" s="1"/>
  <c r="AD162" i="58" s="1"/>
  <c r="AD107" i="20" s="1"/>
  <c r="K64" i="58"/>
  <c r="N161" i="58" s="1"/>
  <c r="N106" i="20" s="1"/>
  <c r="L65" i="58"/>
  <c r="O162" i="58" s="1"/>
  <c r="O107" i="20" s="1"/>
  <c r="AK62" i="58"/>
  <c r="AK63" i="58" s="1"/>
  <c r="AA64" i="58"/>
  <c r="AB65" i="58"/>
  <c r="AN61" i="58"/>
  <c r="AN60" i="58"/>
  <c r="AN59" i="58"/>
  <c r="AN58" i="58"/>
  <c r="AN56" i="58"/>
  <c r="AP6" i="58"/>
  <c r="AE158" i="58" s="1"/>
  <c r="AE103" i="20" s="1"/>
  <c r="S62" i="58"/>
  <c r="S64" i="58" s="1"/>
  <c r="R161" i="58" s="1"/>
  <c r="R106" i="20" s="1"/>
  <c r="AD63" i="58"/>
  <c r="AB63" i="58"/>
  <c r="L157" i="58"/>
  <c r="L102" i="20" s="1"/>
  <c r="U59" i="58"/>
  <c r="AI63" i="58"/>
  <c r="V160" i="58" s="1"/>
  <c r="V105" i="20" s="1"/>
  <c r="AJ64" i="58"/>
  <c r="W161" i="58" s="1"/>
  <c r="W106" i="20" s="1"/>
  <c r="X65" i="58"/>
  <c r="V63" i="58"/>
  <c r="P160" i="58" s="1"/>
  <c r="P105" i="20" s="1"/>
  <c r="T63" i="58"/>
  <c r="S160" i="58" s="1"/>
  <c r="S105" i="20" s="1"/>
  <c r="AI65" i="58"/>
  <c r="V162" i="58" s="1"/>
  <c r="V107" i="20" s="1"/>
  <c r="M66" i="58"/>
  <c r="N63" i="58"/>
  <c r="AM56" i="58"/>
  <c r="AM61" i="58"/>
  <c r="AM60" i="58"/>
  <c r="AM59" i="58"/>
  <c r="AM58" i="58"/>
  <c r="AK66" i="58"/>
  <c r="L63" i="58"/>
  <c r="O160" i="58" s="1"/>
  <c r="O105" i="20" s="1"/>
  <c r="K63" i="58"/>
  <c r="N160" i="58" s="1"/>
  <c r="N105" i="20" s="1"/>
  <c r="N65" i="58"/>
  <c r="AD65" i="58"/>
  <c r="J157" i="58"/>
  <c r="J102" i="20" s="1"/>
  <c r="AH62" i="58"/>
  <c r="AH64" i="58" s="1"/>
  <c r="Z161" i="58" s="1"/>
  <c r="Z106" i="20" s="1"/>
  <c r="AH63" i="58"/>
  <c r="Z160" i="58" s="1"/>
  <c r="Z105" i="20" s="1"/>
  <c r="T65" i="58"/>
  <c r="S162" i="58" s="1"/>
  <c r="S107" i="20" s="1"/>
  <c r="AF62" i="58"/>
  <c r="AF63" i="58" s="1"/>
  <c r="X160" i="58" s="1"/>
  <c r="X105" i="20" s="1"/>
  <c r="M158" i="58"/>
  <c r="K157" i="58"/>
  <c r="K102" i="20" s="1"/>
  <c r="AL65" i="58"/>
  <c r="AA162" i="58" s="1"/>
  <c r="AA107" i="20" s="1"/>
  <c r="AJ65" i="58"/>
  <c r="W162" i="58" s="1"/>
  <c r="W107" i="20" s="1"/>
  <c r="L64" i="58"/>
  <c r="O161" i="58" s="1"/>
  <c r="O106" i="20" s="1"/>
  <c r="N66" i="58"/>
  <c r="V66" i="58"/>
  <c r="P163" i="58" s="1"/>
  <c r="P108" i="20" s="1"/>
  <c r="AN61" i="57"/>
  <c r="AN60" i="57"/>
  <c r="AN59" i="57"/>
  <c r="AN58" i="57"/>
  <c r="AN56" i="57"/>
  <c r="AP6" i="57"/>
  <c r="AE158" i="57" s="1"/>
  <c r="AE96" i="20" s="1"/>
  <c r="O65" i="57"/>
  <c r="AQ65" i="57"/>
  <c r="AF162" i="57" s="1"/>
  <c r="AF100" i="20" s="1"/>
  <c r="O63" i="57"/>
  <c r="W63" i="57"/>
  <c r="Q160" i="57" s="1"/>
  <c r="Q98" i="20" s="1"/>
  <c r="X62" i="57"/>
  <c r="X63" i="57"/>
  <c r="O66" i="57"/>
  <c r="L63" i="57"/>
  <c r="O160" i="57" s="1"/>
  <c r="O98" i="20" s="1"/>
  <c r="K64" i="57"/>
  <c r="N161" i="57" s="1"/>
  <c r="N99" i="20" s="1"/>
  <c r="AB64" i="57"/>
  <c r="AJ65" i="57"/>
  <c r="W162" i="57" s="1"/>
  <c r="W100" i="20" s="1"/>
  <c r="AH64" i="57"/>
  <c r="Z161" i="57" s="1"/>
  <c r="Z99" i="20" s="1"/>
  <c r="AF62" i="57"/>
  <c r="AF63" i="57" s="1"/>
  <c r="X160" i="57" s="1"/>
  <c r="X98" i="20" s="1"/>
  <c r="AA65" i="57"/>
  <c r="M63" i="57"/>
  <c r="X64" i="57"/>
  <c r="W65" i="57"/>
  <c r="Q162" i="57" s="1"/>
  <c r="Q100" i="20" s="1"/>
  <c r="AD63" i="57"/>
  <c r="AE66" i="57"/>
  <c r="AQ63" i="57"/>
  <c r="AF160" i="57" s="1"/>
  <c r="AF98" i="20" s="1"/>
  <c r="K66" i="57"/>
  <c r="N163" i="57" s="1"/>
  <c r="N101" i="20" s="1"/>
  <c r="L65" i="57"/>
  <c r="O162" i="57" s="1"/>
  <c r="O100" i="20" s="1"/>
  <c r="S62" i="57"/>
  <c r="S66" i="57" s="1"/>
  <c r="R163" i="57" s="1"/>
  <c r="R101" i="20" s="1"/>
  <c r="AL66" i="57"/>
  <c r="AA163" i="57" s="1"/>
  <c r="AA101" i="20" s="1"/>
  <c r="X65" i="57"/>
  <c r="M158" i="57"/>
  <c r="K157" i="57"/>
  <c r="K95" i="20" s="1"/>
  <c r="AJ64" i="57"/>
  <c r="W161" i="57" s="1"/>
  <c r="W99" i="20" s="1"/>
  <c r="AM61" i="57"/>
  <c r="AM60" i="57"/>
  <c r="AM59" i="57"/>
  <c r="AM58" i="57"/>
  <c r="AM56" i="57"/>
  <c r="AE64" i="57"/>
  <c r="W66" i="57"/>
  <c r="Q163" i="57" s="1"/>
  <c r="Q101" i="20" s="1"/>
  <c r="K63" i="57"/>
  <c r="N160" i="57" s="1"/>
  <c r="N98" i="20" s="1"/>
  <c r="M66" i="57"/>
  <c r="AA64" i="57"/>
  <c r="AO62" i="57"/>
  <c r="AO66" i="57" s="1"/>
  <c r="AD163" i="57" s="1"/>
  <c r="AD101" i="20" s="1"/>
  <c r="N65" i="57"/>
  <c r="X66" i="57"/>
  <c r="N66" i="57"/>
  <c r="AD65" i="57"/>
  <c r="AA63" i="57"/>
  <c r="L157" i="57"/>
  <c r="L95" i="20" s="1"/>
  <c r="AC159" i="57"/>
  <c r="AC97" i="20" s="1"/>
  <c r="N63" i="57"/>
  <c r="AE63" i="57"/>
  <c r="AB65" i="57"/>
  <c r="AH62" i="57"/>
  <c r="AH63" i="57" s="1"/>
  <c r="Z160" i="57" s="1"/>
  <c r="Z98" i="20" s="1"/>
  <c r="AJ63" i="57"/>
  <c r="W160" i="57" s="1"/>
  <c r="W98" i="20" s="1"/>
  <c r="V65" i="57"/>
  <c r="P162" i="57" s="1"/>
  <c r="P100" i="20" s="1"/>
  <c r="AK62" i="57"/>
  <c r="AK66" i="57" s="1"/>
  <c r="V65" i="56"/>
  <c r="P162" i="56" s="1"/>
  <c r="P93" i="20" s="1"/>
  <c r="N63" i="56"/>
  <c r="X62" i="56"/>
  <c r="X63" i="56" s="1"/>
  <c r="T66" i="56"/>
  <c r="S163" i="56" s="1"/>
  <c r="S94" i="20" s="1"/>
  <c r="AJ65" i="56"/>
  <c r="W162" i="56" s="1"/>
  <c r="W93" i="20" s="1"/>
  <c r="L64" i="56"/>
  <c r="O161" i="56" s="1"/>
  <c r="O92" i="20" s="1"/>
  <c r="T64" i="56"/>
  <c r="S161" i="56" s="1"/>
  <c r="S92" i="20" s="1"/>
  <c r="AF62" i="56"/>
  <c r="AF63" i="56" s="1"/>
  <c r="X160" i="56" s="1"/>
  <c r="X91" i="20" s="1"/>
  <c r="L65" i="56"/>
  <c r="O162" i="56" s="1"/>
  <c r="O93" i="20" s="1"/>
  <c r="V66" i="56"/>
  <c r="P163" i="56" s="1"/>
  <c r="P94" i="20" s="1"/>
  <c r="K66" i="56"/>
  <c r="N163" i="56" s="1"/>
  <c r="N94" i="20" s="1"/>
  <c r="AI64" i="56"/>
  <c r="V161" i="56" s="1"/>
  <c r="V92" i="20" s="1"/>
  <c r="O65" i="56"/>
  <c r="AQ66" i="56"/>
  <c r="AF163" i="56" s="1"/>
  <c r="AF94" i="20" s="1"/>
  <c r="AC63" i="56"/>
  <c r="L157" i="56"/>
  <c r="L88" i="20" s="1"/>
  <c r="K64" i="56"/>
  <c r="N161" i="56" s="1"/>
  <c r="N92" i="20" s="1"/>
  <c r="AN61" i="56"/>
  <c r="AN60" i="56"/>
  <c r="AN59" i="56"/>
  <c r="AN58" i="56"/>
  <c r="AN56" i="56"/>
  <c r="AP6" i="56"/>
  <c r="AE158" i="56" s="1"/>
  <c r="AE89" i="20" s="1"/>
  <c r="AJ63" i="56"/>
  <c r="W160" i="56" s="1"/>
  <c r="W91" i="20" s="1"/>
  <c r="AC159" i="56"/>
  <c r="AC90" i="20" s="1"/>
  <c r="AQ63" i="56"/>
  <c r="AF160" i="56" s="1"/>
  <c r="AF91" i="20" s="1"/>
  <c r="W66" i="56"/>
  <c r="Q163" i="56" s="1"/>
  <c r="Q94" i="20" s="1"/>
  <c r="O63" i="56"/>
  <c r="AC65" i="56"/>
  <c r="AM61" i="56"/>
  <c r="AM56" i="56"/>
  <c r="AM60" i="56"/>
  <c r="AM59" i="56"/>
  <c r="AM58" i="56"/>
  <c r="AL62" i="56"/>
  <c r="AL66" i="56" s="1"/>
  <c r="AA163" i="56" s="1"/>
  <c r="AA94" i="20" s="1"/>
  <c r="V63" i="56"/>
  <c r="P160" i="56" s="1"/>
  <c r="P91" i="20" s="1"/>
  <c r="M64" i="56"/>
  <c r="AO62" i="56"/>
  <c r="AO66" i="56" s="1"/>
  <c r="AD163" i="56" s="1"/>
  <c r="AD94" i="20" s="1"/>
  <c r="AQ64" i="56"/>
  <c r="AF161" i="56" s="1"/>
  <c r="AF92" i="20" s="1"/>
  <c r="AJ64" i="56"/>
  <c r="W161" i="56" s="1"/>
  <c r="W92" i="20" s="1"/>
  <c r="AD63" i="56"/>
  <c r="AI65" i="56"/>
  <c r="V162" i="56" s="1"/>
  <c r="V93" i="20" s="1"/>
  <c r="J157" i="56"/>
  <c r="J88" i="20" s="1"/>
  <c r="S62" i="56"/>
  <c r="S65" i="56" s="1"/>
  <c r="R162" i="56" s="1"/>
  <c r="R93" i="20" s="1"/>
  <c r="AD65" i="56"/>
  <c r="O64" i="56"/>
  <c r="T63" i="56"/>
  <c r="S160" i="56" s="1"/>
  <c r="S91" i="20" s="1"/>
  <c r="M158" i="56"/>
  <c r="K157" i="56"/>
  <c r="K88" i="20" s="1"/>
  <c r="N66" i="56"/>
  <c r="W63" i="56"/>
  <c r="Q160" i="56" s="1"/>
  <c r="Q91" i="20" s="1"/>
  <c r="K63" i="56"/>
  <c r="N160" i="56" s="1"/>
  <c r="N91" i="20" s="1"/>
  <c r="N65" i="56"/>
  <c r="AK62" i="56"/>
  <c r="AK63" i="56" s="1"/>
  <c r="AH62" i="56"/>
  <c r="AH66" i="56" s="1"/>
  <c r="Z163" i="56" s="1"/>
  <c r="Z94" i="20" s="1"/>
  <c r="AD66" i="56"/>
  <c r="N63" i="55"/>
  <c r="P66" i="55"/>
  <c r="M66" i="55"/>
  <c r="AJ66" i="55"/>
  <c r="W163" i="55" s="1"/>
  <c r="W87" i="20" s="1"/>
  <c r="AI66" i="55"/>
  <c r="V163" i="55" s="1"/>
  <c r="V87" i="20" s="1"/>
  <c r="AE63" i="55"/>
  <c r="L64" i="55"/>
  <c r="O161" i="55" s="1"/>
  <c r="O85" i="20" s="1"/>
  <c r="K65" i="55"/>
  <c r="N162" i="55" s="1"/>
  <c r="N86" i="20" s="1"/>
  <c r="L157" i="55"/>
  <c r="L81" i="20" s="1"/>
  <c r="AC65" i="55"/>
  <c r="AJ63" i="55"/>
  <c r="W160" i="55" s="1"/>
  <c r="W84" i="20" s="1"/>
  <c r="AQ66" i="55"/>
  <c r="AF163" i="55" s="1"/>
  <c r="AF87" i="20" s="1"/>
  <c r="AH62" i="55"/>
  <c r="AH66" i="55" s="1"/>
  <c r="Z163" i="55" s="1"/>
  <c r="Z87" i="20" s="1"/>
  <c r="AF62" i="55"/>
  <c r="AF63" i="55" s="1"/>
  <c r="X160" i="55" s="1"/>
  <c r="X84" i="20" s="1"/>
  <c r="AI65" i="55"/>
  <c r="V162" i="55" s="1"/>
  <c r="V86" i="20" s="1"/>
  <c r="AC64" i="55"/>
  <c r="AQ64" i="55"/>
  <c r="AF161" i="55" s="1"/>
  <c r="AF85" i="20" s="1"/>
  <c r="AB66" i="55"/>
  <c r="AA66" i="55"/>
  <c r="M158" i="55"/>
  <c r="K157" i="55"/>
  <c r="K81" i="20" s="1"/>
  <c r="AF64" i="55"/>
  <c r="X161" i="55" s="1"/>
  <c r="X85" i="20" s="1"/>
  <c r="AO62" i="55"/>
  <c r="AO64" i="55" s="1"/>
  <c r="AD161" i="55" s="1"/>
  <c r="AD85" i="20" s="1"/>
  <c r="AC158" i="55"/>
  <c r="AC82" i="20" s="1"/>
  <c r="L63" i="55"/>
  <c r="O160" i="55" s="1"/>
  <c r="O84" i="20" s="1"/>
  <c r="AK62" i="55"/>
  <c r="AK63" i="55" s="1"/>
  <c r="AA65" i="55"/>
  <c r="X62" i="55"/>
  <c r="X63" i="55" s="1"/>
  <c r="U58" i="55"/>
  <c r="U56" i="55"/>
  <c r="U61" i="55"/>
  <c r="U60" i="55"/>
  <c r="U59" i="55"/>
  <c r="AN61" i="55"/>
  <c r="AN60" i="55"/>
  <c r="AN59" i="55"/>
  <c r="AN58" i="55"/>
  <c r="AN56" i="55"/>
  <c r="AP6" i="55"/>
  <c r="AE158" i="55" s="1"/>
  <c r="AE82" i="20" s="1"/>
  <c r="W64" i="55"/>
  <c r="Q161" i="55" s="1"/>
  <c r="Q85" i="20" s="1"/>
  <c r="W65" i="55"/>
  <c r="Q162" i="55" s="1"/>
  <c r="Q86" i="20" s="1"/>
  <c r="W66" i="55"/>
  <c r="Q163" i="55" s="1"/>
  <c r="Q87" i="20" s="1"/>
  <c r="K63" i="55"/>
  <c r="N160" i="55" s="1"/>
  <c r="N84" i="20" s="1"/>
  <c r="AE66" i="55"/>
  <c r="AC63" i="55"/>
  <c r="AB63" i="55"/>
  <c r="AI64" i="55"/>
  <c r="V161" i="55" s="1"/>
  <c r="V85" i="20" s="1"/>
  <c r="M65" i="55"/>
  <c r="V66" i="55"/>
  <c r="P163" i="55" s="1"/>
  <c r="P87" i="20" s="1"/>
  <c r="AD66" i="55"/>
  <c r="AJ64" i="55"/>
  <c r="W161" i="55" s="1"/>
  <c r="W85" i="20" s="1"/>
  <c r="X65" i="55"/>
  <c r="AE64" i="55"/>
  <c r="AF66" i="55"/>
  <c r="X163" i="55" s="1"/>
  <c r="X87" i="20" s="1"/>
  <c r="AM61" i="55"/>
  <c r="AM60" i="55"/>
  <c r="AM59" i="55"/>
  <c r="AM58" i="55"/>
  <c r="AM56" i="55"/>
  <c r="AL62" i="55"/>
  <c r="AL63" i="55" s="1"/>
  <c r="AA160" i="55" s="1"/>
  <c r="AA84" i="20" s="1"/>
  <c r="S62" i="55"/>
  <c r="S65" i="55" s="1"/>
  <c r="R162" i="55" s="1"/>
  <c r="R86" i="20" s="1"/>
  <c r="AF65" i="55"/>
  <c r="X162" i="55" s="1"/>
  <c r="X86" i="20" s="1"/>
  <c r="V65" i="55"/>
  <c r="P162" i="55" s="1"/>
  <c r="P86" i="20" s="1"/>
  <c r="L66" i="55"/>
  <c r="O163" i="55" s="1"/>
  <c r="O87" i="20" s="1"/>
  <c r="X66" i="55"/>
  <c r="U60" i="53"/>
  <c r="U56" i="53"/>
  <c r="T157" i="53" s="1"/>
  <c r="T67" i="20" s="1"/>
  <c r="L65" i="53"/>
  <c r="O162" i="53" s="1"/>
  <c r="O72" i="20" s="1"/>
  <c r="L64" i="53"/>
  <c r="O161" i="53" s="1"/>
  <c r="O71" i="20" s="1"/>
  <c r="M64" i="53"/>
  <c r="L157" i="54"/>
  <c r="L74" i="20" s="1"/>
  <c r="AF62" i="54"/>
  <c r="AF63" i="54" s="1"/>
  <c r="X160" i="54" s="1"/>
  <c r="X77" i="20" s="1"/>
  <c r="AM61" i="54"/>
  <c r="AM60" i="54"/>
  <c r="AM59" i="54"/>
  <c r="AM56" i="54"/>
  <c r="AM58" i="54"/>
  <c r="V66" i="54"/>
  <c r="P163" i="54" s="1"/>
  <c r="P80" i="20" s="1"/>
  <c r="AC64" i="54"/>
  <c r="AB66" i="54"/>
  <c r="N63" i="54"/>
  <c r="Z66" i="54"/>
  <c r="M64" i="54"/>
  <c r="T63" i="54"/>
  <c r="S160" i="54" s="1"/>
  <c r="S77" i="20" s="1"/>
  <c r="X62" i="54"/>
  <c r="X63" i="54" s="1"/>
  <c r="M66" i="54"/>
  <c r="AD65" i="54"/>
  <c r="AB63" i="54"/>
  <c r="AC66" i="54"/>
  <c r="O65" i="54"/>
  <c r="AE63" i="54"/>
  <c r="AE65" i="54"/>
  <c r="AF66" i="54"/>
  <c r="X163" i="54" s="1"/>
  <c r="X80" i="20" s="1"/>
  <c r="J157" i="54"/>
  <c r="J74" i="20" s="1"/>
  <c r="AB159" i="54"/>
  <c r="AB76" i="20" s="1"/>
  <c r="L65" i="54"/>
  <c r="O162" i="54" s="1"/>
  <c r="O79" i="20" s="1"/>
  <c r="R66" i="54"/>
  <c r="N64" i="54"/>
  <c r="V63" i="54"/>
  <c r="P160" i="54" s="1"/>
  <c r="P77" i="20" s="1"/>
  <c r="V65" i="54"/>
  <c r="P162" i="54" s="1"/>
  <c r="P79" i="20" s="1"/>
  <c r="AN61" i="54"/>
  <c r="AN60" i="54"/>
  <c r="AN59" i="54"/>
  <c r="AN58" i="54"/>
  <c r="AN56" i="54"/>
  <c r="M158" i="54"/>
  <c r="K157" i="54"/>
  <c r="K74" i="20" s="1"/>
  <c r="AD64" i="54"/>
  <c r="L63" i="54"/>
  <c r="O160" i="54" s="1"/>
  <c r="O77" i="20" s="1"/>
  <c r="AP7" i="54"/>
  <c r="AC158" i="54"/>
  <c r="AC75" i="20" s="1"/>
  <c r="AO62" i="54"/>
  <c r="AO66" i="54" s="1"/>
  <c r="AD163" i="54" s="1"/>
  <c r="AD80" i="20" s="1"/>
  <c r="T64" i="54"/>
  <c r="S161" i="54" s="1"/>
  <c r="S78" i="20" s="1"/>
  <c r="AK63" i="54"/>
  <c r="AK62" i="54"/>
  <c r="AK65" i="54" s="1"/>
  <c r="AL62" i="54"/>
  <c r="AL64" i="54" s="1"/>
  <c r="AA161" i="54" s="1"/>
  <c r="AA78" i="20" s="1"/>
  <c r="S62" i="54"/>
  <c r="S64" i="54" s="1"/>
  <c r="R161" i="54" s="1"/>
  <c r="R78" i="20" s="1"/>
  <c r="AP6" i="54"/>
  <c r="AC63" i="54"/>
  <c r="AH61" i="54"/>
  <c r="AH60" i="54"/>
  <c r="AH59" i="54"/>
  <c r="AH58" i="54"/>
  <c r="AH56" i="54"/>
  <c r="Z159" i="54"/>
  <c r="Z76" i="20" s="1"/>
  <c r="V66" i="53"/>
  <c r="P163" i="53" s="1"/>
  <c r="P73" i="20" s="1"/>
  <c r="S62" i="53"/>
  <c r="S66" i="53" s="1"/>
  <c r="R163" i="53" s="1"/>
  <c r="R73" i="20" s="1"/>
  <c r="J157" i="53"/>
  <c r="J67" i="20" s="1"/>
  <c r="AF62" i="53"/>
  <c r="AF65" i="53" s="1"/>
  <c r="X162" i="53" s="1"/>
  <c r="X72" i="20" s="1"/>
  <c r="U59" i="53"/>
  <c r="AB65" i="53"/>
  <c r="AK63" i="53"/>
  <c r="AK62" i="53"/>
  <c r="Z65" i="53"/>
  <c r="N65" i="53"/>
  <c r="Y66" i="53"/>
  <c r="U163" i="53" s="1"/>
  <c r="U73" i="20" s="1"/>
  <c r="AE64" i="53"/>
  <c r="L66" i="53"/>
  <c r="O163" i="53" s="1"/>
  <c r="O73" i="20" s="1"/>
  <c r="M158" i="53"/>
  <c r="K157" i="53"/>
  <c r="K67" i="20" s="1"/>
  <c r="X62" i="53"/>
  <c r="X65" i="53" s="1"/>
  <c r="AL62" i="53"/>
  <c r="AL66" i="53" s="1"/>
  <c r="AA163" i="53" s="1"/>
  <c r="AA73" i="20" s="1"/>
  <c r="Q65" i="53"/>
  <c r="AO62" i="53"/>
  <c r="AO66" i="53" s="1"/>
  <c r="AD163" i="53" s="1"/>
  <c r="AD73" i="20" s="1"/>
  <c r="T159" i="53"/>
  <c r="T69" i="20" s="1"/>
  <c r="O65" i="53"/>
  <c r="O64" i="53"/>
  <c r="N66" i="53"/>
  <c r="W63" i="53"/>
  <c r="Q160" i="53" s="1"/>
  <c r="Q70" i="20" s="1"/>
  <c r="W64" i="53"/>
  <c r="Q161" i="53" s="1"/>
  <c r="Q71" i="20" s="1"/>
  <c r="AD65" i="53"/>
  <c r="AD66" i="53"/>
  <c r="L157" i="53"/>
  <c r="L67" i="20" s="1"/>
  <c r="U58" i="53"/>
  <c r="AE63" i="53"/>
  <c r="AH63" i="53"/>
  <c r="Z160" i="53" s="1"/>
  <c r="Z70" i="20" s="1"/>
  <c r="AH62" i="53"/>
  <c r="AH66" i="53" s="1"/>
  <c r="Z163" i="53" s="1"/>
  <c r="Z73" i="20" s="1"/>
  <c r="R64" i="53"/>
  <c r="AB66" i="53"/>
  <c r="AK64" i="53"/>
  <c r="P64" i="53"/>
  <c r="AJ66" i="53"/>
  <c r="W163" i="53" s="1"/>
  <c r="W73" i="20" s="1"/>
  <c r="W65" i="53"/>
  <c r="Q162" i="53" s="1"/>
  <c r="Q72" i="20" s="1"/>
  <c r="V63" i="53"/>
  <c r="P160" i="53" s="1"/>
  <c r="P70" i="20" s="1"/>
  <c r="R65" i="53"/>
  <c r="AN61" i="53"/>
  <c r="AN60" i="53"/>
  <c r="AN58" i="53"/>
  <c r="AN56" i="53"/>
  <c r="AC157" i="53" s="1"/>
  <c r="AC67" i="20" s="1"/>
  <c r="AN59" i="53"/>
  <c r="P63" i="53"/>
  <c r="Q66" i="53"/>
  <c r="AK65" i="53"/>
  <c r="X66" i="53"/>
  <c r="Z66" i="53"/>
  <c r="N63" i="53"/>
  <c r="AF64" i="53"/>
  <c r="X161" i="53" s="1"/>
  <c r="X71" i="20" s="1"/>
  <c r="R63" i="53"/>
  <c r="AP6" i="53"/>
  <c r="AE158" i="53" s="1"/>
  <c r="AE68" i="20" s="1"/>
  <c r="Q63" i="53"/>
  <c r="AK66" i="53"/>
  <c r="X64" i="53"/>
  <c r="AE65" i="53"/>
  <c r="V64" i="53"/>
  <c r="P161" i="53" s="1"/>
  <c r="P71" i="20" s="1"/>
  <c r="AH64" i="53"/>
  <c r="Z161" i="53" s="1"/>
  <c r="Z71" i="20" s="1"/>
  <c r="P65" i="53"/>
  <c r="AM61" i="53"/>
  <c r="AB159" i="53"/>
  <c r="AB69" i="20" s="1"/>
  <c r="AM59" i="53"/>
  <c r="AM58" i="53"/>
  <c r="AM56" i="53"/>
  <c r="AM60" i="53"/>
  <c r="AP11" i="50"/>
  <c r="C69" i="50"/>
  <c r="B157" i="50"/>
  <c r="B60" i="20" s="1"/>
  <c r="X61" i="50"/>
  <c r="X60" i="50"/>
  <c r="X59" i="50"/>
  <c r="X58" i="50"/>
  <c r="X56" i="50"/>
  <c r="AN12" i="50"/>
  <c r="AP12" i="50" s="1"/>
  <c r="AN20" i="50"/>
  <c r="AP20" i="50" s="1"/>
  <c r="L66" i="50"/>
  <c r="O163" i="50" s="1"/>
  <c r="O66" i="20" s="1"/>
  <c r="AE66" i="50"/>
  <c r="S58" i="50"/>
  <c r="S61" i="50"/>
  <c r="S60" i="50"/>
  <c r="S59" i="50"/>
  <c r="E69" i="50"/>
  <c r="C157" i="50"/>
  <c r="C60" i="20" s="1"/>
  <c r="AF61" i="50"/>
  <c r="AF60" i="50"/>
  <c r="AF59" i="50"/>
  <c r="AF58" i="50"/>
  <c r="AF56" i="50"/>
  <c r="X157" i="50" s="1"/>
  <c r="X60" i="20" s="1"/>
  <c r="AN26" i="50"/>
  <c r="AP26" i="50" s="1"/>
  <c r="AM30" i="50"/>
  <c r="AN31" i="50"/>
  <c r="AP31" i="50" s="1"/>
  <c r="AN32" i="50"/>
  <c r="AP32" i="50" s="1"/>
  <c r="AN40" i="50"/>
  <c r="AP40" i="50" s="1"/>
  <c r="AN48" i="50"/>
  <c r="AP48" i="50" s="1"/>
  <c r="R62" i="50"/>
  <c r="R65" i="50" s="1"/>
  <c r="AB64" i="50"/>
  <c r="T65" i="50"/>
  <c r="S162" i="50" s="1"/>
  <c r="S65" i="20" s="1"/>
  <c r="W66" i="50"/>
  <c r="Q163" i="50" s="1"/>
  <c r="Q66" i="20" s="1"/>
  <c r="AN10" i="50"/>
  <c r="AP10" i="50" s="1"/>
  <c r="AN18" i="50"/>
  <c r="AP18" i="50" s="1"/>
  <c r="S56" i="50"/>
  <c r="R157" i="50" s="1"/>
  <c r="R60" i="20" s="1"/>
  <c r="AD62" i="50"/>
  <c r="AD63" i="50" s="1"/>
  <c r="T64" i="50"/>
  <c r="S161" i="50" s="1"/>
  <c r="S64" i="20" s="1"/>
  <c r="AH59" i="50"/>
  <c r="AH56" i="50"/>
  <c r="Z157" i="50" s="1"/>
  <c r="Z60" i="20" s="1"/>
  <c r="AH61" i="50"/>
  <c r="AH60" i="50"/>
  <c r="N69" i="50"/>
  <c r="D157" i="50"/>
  <c r="D60" i="20" s="1"/>
  <c r="AK61" i="50"/>
  <c r="AK60" i="50"/>
  <c r="AK59" i="50"/>
  <c r="AK58" i="50"/>
  <c r="AK56" i="50"/>
  <c r="AG14" i="41" s="1"/>
  <c r="AN13" i="50"/>
  <c r="AP13" i="50" s="1"/>
  <c r="AN21" i="50"/>
  <c r="AP21" i="50" s="1"/>
  <c r="V62" i="50"/>
  <c r="V63" i="50" s="1"/>
  <c r="P160" i="50" s="1"/>
  <c r="P63" i="20" s="1"/>
  <c r="L64" i="50"/>
  <c r="O161" i="50" s="1"/>
  <c r="O64" i="20" s="1"/>
  <c r="G157" i="50"/>
  <c r="G60" i="20" s="1"/>
  <c r="H69" i="50"/>
  <c r="E157" i="50"/>
  <c r="E60" i="20" s="1"/>
  <c r="AB69" i="50"/>
  <c r="AL61" i="50"/>
  <c r="AL60" i="50"/>
  <c r="AL59" i="50"/>
  <c r="AL56" i="50"/>
  <c r="AA157" i="50" s="1"/>
  <c r="AA60" i="20" s="1"/>
  <c r="AN28" i="50"/>
  <c r="AP28" i="50" s="1"/>
  <c r="AP36" i="50"/>
  <c r="AP44" i="50"/>
  <c r="AP52" i="50"/>
  <c r="AE64" i="50"/>
  <c r="P66" i="50"/>
  <c r="AD159" i="50"/>
  <c r="AD62" i="20" s="1"/>
  <c r="V159" i="50"/>
  <c r="V62" i="20" s="1"/>
  <c r="N159" i="50"/>
  <c r="N62" i="20" s="1"/>
  <c r="Y158" i="50"/>
  <c r="Y61" i="20" s="1"/>
  <c r="Q158" i="50"/>
  <c r="Q61" i="20" s="1"/>
  <c r="U159" i="50"/>
  <c r="U62" i="20" s="1"/>
  <c r="AF158" i="50"/>
  <c r="AF61" i="20" s="1"/>
  <c r="X158" i="50"/>
  <c r="X61" i="20" s="1"/>
  <c r="P158" i="50"/>
  <c r="P61" i="20" s="1"/>
  <c r="W158" i="50"/>
  <c r="W61" i="20" s="1"/>
  <c r="O158" i="50"/>
  <c r="O61" i="20" s="1"/>
  <c r="AA159" i="50"/>
  <c r="AA62" i="20" s="1"/>
  <c r="S159" i="50"/>
  <c r="S62" i="20" s="1"/>
  <c r="AD158" i="50"/>
  <c r="AD61" i="20" s="1"/>
  <c r="V158" i="50"/>
  <c r="V61" i="20" s="1"/>
  <c r="N158" i="50"/>
  <c r="N61" i="20" s="1"/>
  <c r="Z159" i="50"/>
  <c r="Z62" i="20" s="1"/>
  <c r="R159" i="50"/>
  <c r="R62" i="20" s="1"/>
  <c r="U158" i="50"/>
  <c r="U61" i="20" s="1"/>
  <c r="Y159" i="50"/>
  <c r="Y62" i="20" s="1"/>
  <c r="Q159" i="50"/>
  <c r="Q62" i="20" s="1"/>
  <c r="AB158" i="50"/>
  <c r="AB61" i="20" s="1"/>
  <c r="L158" i="50"/>
  <c r="L61" i="20" s="1"/>
  <c r="AF159" i="50"/>
  <c r="AF62" i="20" s="1"/>
  <c r="X159" i="50"/>
  <c r="X62" i="20" s="1"/>
  <c r="P159" i="50"/>
  <c r="P62" i="20" s="1"/>
  <c r="AA158" i="50"/>
  <c r="AA61" i="20" s="1"/>
  <c r="S158" i="50"/>
  <c r="S61" i="20" s="1"/>
  <c r="K158" i="50"/>
  <c r="K61" i="20" s="1"/>
  <c r="I157" i="50"/>
  <c r="I60" i="20" s="1"/>
  <c r="W159" i="50"/>
  <c r="W62" i="20" s="1"/>
  <c r="O159" i="50"/>
  <c r="O62" i="20" s="1"/>
  <c r="Z158" i="50"/>
  <c r="Z61" i="20" s="1"/>
  <c r="R158" i="50"/>
  <c r="R61" i="20" s="1"/>
  <c r="H157" i="50"/>
  <c r="F157" i="50"/>
  <c r="F60" i="20" s="1"/>
  <c r="AP69" i="50"/>
  <c r="AM6" i="50"/>
  <c r="AN29" i="50"/>
  <c r="AP29" i="50" s="1"/>
  <c r="N62" i="50"/>
  <c r="N63" i="50" s="1"/>
  <c r="AH58" i="50"/>
  <c r="W64" i="50"/>
  <c r="Q161" i="50" s="1"/>
  <c r="Q64" i="20" s="1"/>
  <c r="Z65" i="50"/>
  <c r="AJ65" i="50"/>
  <c r="W162" i="50" s="1"/>
  <c r="W65" i="20" s="1"/>
  <c r="AB66" i="50"/>
  <c r="AN6" i="50"/>
  <c r="AN14" i="50"/>
  <c r="AP14" i="50" s="1"/>
  <c r="AN22" i="50"/>
  <c r="AP22" i="50" s="1"/>
  <c r="Z62" i="50"/>
  <c r="Z63" i="50" s="1"/>
  <c r="Y64" i="50"/>
  <c r="U161" i="50" s="1"/>
  <c r="U64" i="20" s="1"/>
  <c r="U6" i="50"/>
  <c r="AO60" i="50"/>
  <c r="AO59" i="50"/>
  <c r="AO58" i="50"/>
  <c r="AO56" i="50"/>
  <c r="AD157" i="50" s="1"/>
  <c r="AD60" i="20" s="1"/>
  <c r="AO61" i="50"/>
  <c r="P64" i="50"/>
  <c r="AJ64" i="50"/>
  <c r="W161" i="50" s="1"/>
  <c r="W64" i="20" s="1"/>
  <c r="AB65" i="50"/>
  <c r="T66" i="50"/>
  <c r="S163" i="50" s="1"/>
  <c r="S66" i="20" s="1"/>
  <c r="AN38" i="50"/>
  <c r="AP38" i="50" s="1"/>
  <c r="AN46" i="50"/>
  <c r="AP46" i="50" s="1"/>
  <c r="AN54" i="50"/>
  <c r="AP54" i="50" s="1"/>
  <c r="Q62" i="50"/>
  <c r="Q64" i="50" s="1"/>
  <c r="Y62" i="50"/>
  <c r="Y65" i="50" s="1"/>
  <c r="U162" i="50" s="1"/>
  <c r="U65" i="20" s="1"/>
  <c r="AG62" i="50"/>
  <c r="AG65" i="50" s="1"/>
  <c r="Y162" i="50" s="1"/>
  <c r="Y65" i="20" s="1"/>
  <c r="W63" i="50"/>
  <c r="Q160" i="50" s="1"/>
  <c r="Q63" i="20" s="1"/>
  <c r="AE63" i="50"/>
  <c r="AN39" i="50"/>
  <c r="AP39" i="50" s="1"/>
  <c r="AN47" i="50"/>
  <c r="AP47" i="50" s="1"/>
  <c r="AN55" i="50"/>
  <c r="AP55" i="50" s="1"/>
  <c r="K62" i="50"/>
  <c r="K64" i="50" s="1"/>
  <c r="N161" i="50" s="1"/>
  <c r="N64" i="20" s="1"/>
  <c r="AA62" i="50"/>
  <c r="AA64" i="50" s="1"/>
  <c r="AI62" i="50"/>
  <c r="AI64" i="50" s="1"/>
  <c r="V161" i="50" s="1"/>
  <c r="V64" i="20" s="1"/>
  <c r="AQ62" i="50"/>
  <c r="AQ64" i="50" s="1"/>
  <c r="AF161" i="50" s="1"/>
  <c r="AF64" i="20" s="1"/>
  <c r="M62" i="50"/>
  <c r="M66" i="50" s="1"/>
  <c r="AC62" i="50"/>
  <c r="AC63" i="50" s="1"/>
  <c r="U15" i="49"/>
  <c r="AL56" i="49"/>
  <c r="AA157" i="49" s="1"/>
  <c r="AA53" i="20" s="1"/>
  <c r="AP16" i="49"/>
  <c r="AP48" i="49"/>
  <c r="AK59" i="49"/>
  <c r="S61" i="49"/>
  <c r="AO61" i="49"/>
  <c r="AB158" i="49"/>
  <c r="AB54" i="20" s="1"/>
  <c r="AN28" i="49"/>
  <c r="AP28" i="49" s="1"/>
  <c r="AP36" i="49"/>
  <c r="AP41" i="49"/>
  <c r="AN43" i="49"/>
  <c r="R64" i="49"/>
  <c r="R65" i="49"/>
  <c r="T158" i="49"/>
  <c r="T54" i="20" s="1"/>
  <c r="L158" i="49"/>
  <c r="L54" i="20" s="1"/>
  <c r="Q159" i="49"/>
  <c r="Q55" i="20" s="1"/>
  <c r="Y159" i="49"/>
  <c r="Y55" i="20" s="1"/>
  <c r="S60" i="49"/>
  <c r="R63" i="49"/>
  <c r="AP33" i="49"/>
  <c r="AN52" i="49"/>
  <c r="AD62" i="49"/>
  <c r="AD64" i="49" s="1"/>
  <c r="B157" i="49"/>
  <c r="B53" i="20" s="1"/>
  <c r="C69" i="49"/>
  <c r="X61" i="49"/>
  <c r="AM6" i="49"/>
  <c r="X60" i="49"/>
  <c r="X59" i="49"/>
  <c r="X58" i="49"/>
  <c r="X56" i="49"/>
  <c r="T13" i="41" s="1"/>
  <c r="AN20" i="49"/>
  <c r="AP20" i="49" s="1"/>
  <c r="AM29" i="49"/>
  <c r="AN35" i="49"/>
  <c r="AP35" i="49" s="1"/>
  <c r="AP52" i="49"/>
  <c r="V62" i="49"/>
  <c r="V64" i="49" s="1"/>
  <c r="P161" i="49" s="1"/>
  <c r="P57" i="20" s="1"/>
  <c r="Y66" i="49"/>
  <c r="U163" i="49" s="1"/>
  <c r="U59" i="20" s="1"/>
  <c r="AF61" i="49"/>
  <c r="AP24" i="49"/>
  <c r="AP26" i="49"/>
  <c r="AN44" i="49"/>
  <c r="AP44" i="49" s="1"/>
  <c r="AG64" i="49"/>
  <c r="Y161" i="49" s="1"/>
  <c r="Y57" i="20" s="1"/>
  <c r="Y65" i="49"/>
  <c r="U162" i="49" s="1"/>
  <c r="U58" i="20" s="1"/>
  <c r="P66" i="49"/>
  <c r="AP43" i="49"/>
  <c r="AF159" i="49"/>
  <c r="AF55" i="20" s="1"/>
  <c r="AH61" i="49"/>
  <c r="AM53" i="49"/>
  <c r="N62" i="49"/>
  <c r="N64" i="49" s="1"/>
  <c r="Y64" i="49"/>
  <c r="U161" i="49" s="1"/>
  <c r="U57" i="20" s="1"/>
  <c r="AN39" i="49"/>
  <c r="AP39" i="49" s="1"/>
  <c r="AF56" i="49"/>
  <c r="X157" i="49" s="1"/>
  <c r="X53" i="20" s="1"/>
  <c r="AL59" i="49"/>
  <c r="AK60" i="49"/>
  <c r="K62" i="49"/>
  <c r="K65" i="49" s="1"/>
  <c r="N162" i="49" s="1"/>
  <c r="N58" i="20" s="1"/>
  <c r="AA62" i="49"/>
  <c r="AA63" i="49" s="1"/>
  <c r="AI62" i="49"/>
  <c r="AI66" i="49" s="1"/>
  <c r="V163" i="49" s="1"/>
  <c r="V59" i="20" s="1"/>
  <c r="AQ62" i="49"/>
  <c r="AQ65" i="49" s="1"/>
  <c r="AF162" i="49" s="1"/>
  <c r="AF58" i="20" s="1"/>
  <c r="Q63" i="49"/>
  <c r="Y63" i="49"/>
  <c r="U160" i="49" s="1"/>
  <c r="U56" i="20" s="1"/>
  <c r="AG63" i="49"/>
  <c r="Y160" i="49" s="1"/>
  <c r="Y56" i="20" s="1"/>
  <c r="C157" i="49"/>
  <c r="C53" i="20" s="1"/>
  <c r="U158" i="49"/>
  <c r="U54" i="20" s="1"/>
  <c r="R159" i="49"/>
  <c r="R55" i="20" s="1"/>
  <c r="Z159" i="49"/>
  <c r="Z55" i="20" s="1"/>
  <c r="AO56" i="49"/>
  <c r="AD157" i="49" s="1"/>
  <c r="AD53" i="20" s="1"/>
  <c r="AF58" i="49"/>
  <c r="AL60" i="49"/>
  <c r="AK61" i="49"/>
  <c r="L62" i="49"/>
  <c r="L64" i="49" s="1"/>
  <c r="O161" i="49" s="1"/>
  <c r="O57" i="20" s="1"/>
  <c r="T62" i="49"/>
  <c r="T66" i="49" s="1"/>
  <c r="S163" i="49" s="1"/>
  <c r="S59" i="20" s="1"/>
  <c r="AB62" i="49"/>
  <c r="AB66" i="49" s="1"/>
  <c r="AJ62" i="49"/>
  <c r="AJ64" i="49" s="1"/>
  <c r="W161" i="49" s="1"/>
  <c r="W57" i="20" s="1"/>
  <c r="D157" i="49"/>
  <c r="D53" i="20" s="1"/>
  <c r="N158" i="49"/>
  <c r="N54" i="20" s="1"/>
  <c r="V158" i="49"/>
  <c r="V54" i="20" s="1"/>
  <c r="AD158" i="49"/>
  <c r="AD54" i="20" s="1"/>
  <c r="S159" i="49"/>
  <c r="S55" i="20" s="1"/>
  <c r="AA159" i="49"/>
  <c r="AA55" i="20" s="1"/>
  <c r="AN13" i="49"/>
  <c r="AP13" i="49" s="1"/>
  <c r="AN21" i="49"/>
  <c r="AP21" i="49" s="1"/>
  <c r="AN29" i="49"/>
  <c r="AP29" i="49" s="1"/>
  <c r="AN37" i="49"/>
  <c r="AP37" i="49" s="1"/>
  <c r="AN45" i="49"/>
  <c r="AP45" i="49" s="1"/>
  <c r="AN53" i="49"/>
  <c r="AP53" i="49" s="1"/>
  <c r="AH56" i="49"/>
  <c r="Z157" i="49" s="1"/>
  <c r="Z53" i="20" s="1"/>
  <c r="AO58" i="49"/>
  <c r="AF59" i="49"/>
  <c r="AL61" i="49"/>
  <c r="M62" i="49"/>
  <c r="M65" i="49" s="1"/>
  <c r="AC62" i="49"/>
  <c r="AC65" i="49" s="1"/>
  <c r="E157" i="49"/>
  <c r="E53" i="20" s="1"/>
  <c r="O158" i="49"/>
  <c r="O54" i="20" s="1"/>
  <c r="W158" i="49"/>
  <c r="W54" i="20" s="1"/>
  <c r="T159" i="49"/>
  <c r="T55" i="20" s="1"/>
  <c r="AB159" i="49"/>
  <c r="AB55" i="20" s="1"/>
  <c r="S56" i="49"/>
  <c r="R157" i="49" s="1"/>
  <c r="R53" i="20" s="1"/>
  <c r="AH58" i="49"/>
  <c r="AO59" i="49"/>
  <c r="AF60" i="49"/>
  <c r="H69" i="49"/>
  <c r="F157" i="49"/>
  <c r="F53" i="20" s="1"/>
  <c r="P158" i="49"/>
  <c r="P54" i="20" s="1"/>
  <c r="X158" i="49"/>
  <c r="X54" i="20" s="1"/>
  <c r="AF158" i="49"/>
  <c r="AF54" i="20" s="1"/>
  <c r="U159" i="49"/>
  <c r="U55" i="20" s="1"/>
  <c r="AN11" i="49"/>
  <c r="AP11" i="49" s="1"/>
  <c r="AN19" i="49"/>
  <c r="AP19" i="49" s="1"/>
  <c r="AN27" i="49"/>
  <c r="AP27" i="49" s="1"/>
  <c r="AN51" i="49"/>
  <c r="AP51" i="49" s="1"/>
  <c r="S58" i="49"/>
  <c r="AH59" i="49"/>
  <c r="AO60" i="49"/>
  <c r="O62" i="49"/>
  <c r="O66" i="49" s="1"/>
  <c r="W62" i="49"/>
  <c r="W63" i="49" s="1"/>
  <c r="Q160" i="49" s="1"/>
  <c r="Q56" i="20" s="1"/>
  <c r="AE62" i="49"/>
  <c r="AE64" i="49" s="1"/>
  <c r="Q158" i="49"/>
  <c r="Q54" i="20" s="1"/>
  <c r="Y158" i="49"/>
  <c r="Y54" i="20" s="1"/>
  <c r="N159" i="49"/>
  <c r="N55" i="20" s="1"/>
  <c r="V159" i="49"/>
  <c r="V55" i="20" s="1"/>
  <c r="AD159" i="49"/>
  <c r="AD55" i="20" s="1"/>
  <c r="AN6" i="49"/>
  <c r="AN14" i="49"/>
  <c r="AP14" i="49" s="1"/>
  <c r="AN22" i="49"/>
  <c r="AP22" i="49" s="1"/>
  <c r="AN30" i="49"/>
  <c r="AP30" i="49" s="1"/>
  <c r="AN54" i="49"/>
  <c r="AP54" i="49" s="1"/>
  <c r="AK56" i="49"/>
  <c r="S59" i="49"/>
  <c r="AH60" i="49"/>
  <c r="H157" i="49"/>
  <c r="R158" i="49"/>
  <c r="R54" i="20" s="1"/>
  <c r="Z158" i="49"/>
  <c r="Z54" i="20" s="1"/>
  <c r="O159" i="49"/>
  <c r="O55" i="20" s="1"/>
  <c r="W159" i="49"/>
  <c r="W55" i="20" s="1"/>
  <c r="I157" i="49"/>
  <c r="I53" i="20" s="1"/>
  <c r="K158" i="49"/>
  <c r="K54" i="20" s="1"/>
  <c r="S158" i="49"/>
  <c r="S54" i="20" s="1"/>
  <c r="AA158" i="49"/>
  <c r="AA54" i="20" s="1"/>
  <c r="P159" i="49"/>
  <c r="P55" i="20" s="1"/>
  <c r="X159" i="49"/>
  <c r="X55" i="20" s="1"/>
  <c r="AP33" i="48"/>
  <c r="V62" i="48"/>
  <c r="V64" i="48" s="1"/>
  <c r="P161" i="48" s="1"/>
  <c r="P50" i="20" s="1"/>
  <c r="AM13" i="48"/>
  <c r="AP28" i="48"/>
  <c r="AP34" i="48"/>
  <c r="AM37" i="48"/>
  <c r="AP52" i="48"/>
  <c r="AG64" i="48"/>
  <c r="Y161" i="48" s="1"/>
  <c r="Y50" i="20" s="1"/>
  <c r="Y65" i="48"/>
  <c r="U162" i="48" s="1"/>
  <c r="U51" i="20" s="1"/>
  <c r="P66" i="48"/>
  <c r="AJ66" i="48"/>
  <c r="W163" i="48" s="1"/>
  <c r="W52" i="20" s="1"/>
  <c r="N62" i="48"/>
  <c r="N64" i="48" s="1"/>
  <c r="Y64" i="48"/>
  <c r="U161" i="48" s="1"/>
  <c r="U50" i="20" s="1"/>
  <c r="AJ65" i="48"/>
  <c r="W162" i="48" s="1"/>
  <c r="W51" i="20" s="1"/>
  <c r="AP49" i="48"/>
  <c r="AP26" i="48"/>
  <c r="B157" i="48"/>
  <c r="B46" i="20" s="1"/>
  <c r="C69" i="48"/>
  <c r="AF61" i="48"/>
  <c r="S61" i="48"/>
  <c r="AK58" i="48"/>
  <c r="Y159" i="48"/>
  <c r="Y48" i="20" s="1"/>
  <c r="L158" i="48"/>
  <c r="L47" i="20" s="1"/>
  <c r="Q159" i="48"/>
  <c r="Q48" i="20" s="1"/>
  <c r="AP16" i="48"/>
  <c r="AM21" i="48"/>
  <c r="AN44" i="48"/>
  <c r="R64" i="48"/>
  <c r="R65" i="48"/>
  <c r="AF159" i="48"/>
  <c r="AF48" i="20" s="1"/>
  <c r="AL56" i="48"/>
  <c r="AA157" i="48" s="1"/>
  <c r="AA46" i="20" s="1"/>
  <c r="AP18" i="48"/>
  <c r="AP41" i="48"/>
  <c r="AP44" i="48"/>
  <c r="R63" i="48"/>
  <c r="AC63" i="48"/>
  <c r="X61" i="48"/>
  <c r="AM6" i="48"/>
  <c r="X60" i="48"/>
  <c r="X59" i="48"/>
  <c r="X58" i="48"/>
  <c r="X56" i="48"/>
  <c r="T12" i="41" s="1"/>
  <c r="AO61" i="48"/>
  <c r="AB158" i="48"/>
  <c r="AB47" i="20" s="1"/>
  <c r="AP36" i="48"/>
  <c r="AP42" i="48"/>
  <c r="AP43" i="48"/>
  <c r="AD62" i="48"/>
  <c r="AD64" i="48" s="1"/>
  <c r="AG66" i="48"/>
  <c r="Y163" i="48" s="1"/>
  <c r="Y52" i="20" s="1"/>
  <c r="AN7" i="48"/>
  <c r="AP7" i="48" s="1"/>
  <c r="AN15" i="48"/>
  <c r="AP15" i="48" s="1"/>
  <c r="AN23" i="48"/>
  <c r="AP23" i="48" s="1"/>
  <c r="AN31" i="48"/>
  <c r="AP31" i="48" s="1"/>
  <c r="AN39" i="48"/>
  <c r="AP39" i="48" s="1"/>
  <c r="AN47" i="48"/>
  <c r="AP47" i="48" s="1"/>
  <c r="AF56" i="48"/>
  <c r="X157" i="48" s="1"/>
  <c r="X46" i="20" s="1"/>
  <c r="AL59" i="48"/>
  <c r="AK60" i="48"/>
  <c r="K62" i="48"/>
  <c r="K64" i="48" s="1"/>
  <c r="N161" i="48" s="1"/>
  <c r="N50" i="20" s="1"/>
  <c r="AA62" i="48"/>
  <c r="AA66" i="48" s="1"/>
  <c r="AI62" i="48"/>
  <c r="AI63" i="48" s="1"/>
  <c r="V160" i="48" s="1"/>
  <c r="V49" i="20" s="1"/>
  <c r="AQ62" i="48"/>
  <c r="AQ66" i="48" s="1"/>
  <c r="AF163" i="48" s="1"/>
  <c r="AF52" i="20" s="1"/>
  <c r="Q63" i="48"/>
  <c r="Y63" i="48"/>
  <c r="U160" i="48" s="1"/>
  <c r="U49" i="20" s="1"/>
  <c r="AG63" i="48"/>
  <c r="Y160" i="48" s="1"/>
  <c r="Y49" i="20" s="1"/>
  <c r="C157" i="48"/>
  <c r="C46" i="20" s="1"/>
  <c r="U158" i="48"/>
  <c r="U47" i="20" s="1"/>
  <c r="R159" i="48"/>
  <c r="R48" i="20" s="1"/>
  <c r="Z159" i="48"/>
  <c r="Z48" i="20" s="1"/>
  <c r="AH6" i="48"/>
  <c r="AO56" i="48"/>
  <c r="AD157" i="48" s="1"/>
  <c r="AD46" i="20" s="1"/>
  <c r="AF58" i="48"/>
  <c r="AL60" i="48"/>
  <c r="AK61" i="48"/>
  <c r="L62" i="48"/>
  <c r="L65" i="48" s="1"/>
  <c r="O162" i="48" s="1"/>
  <c r="O51" i="20" s="1"/>
  <c r="T62" i="48"/>
  <c r="T65" i="48" s="1"/>
  <c r="S162" i="48" s="1"/>
  <c r="S51" i="20" s="1"/>
  <c r="AB62" i="48"/>
  <c r="AB66" i="48" s="1"/>
  <c r="AJ62" i="48"/>
  <c r="AJ63" i="48" s="1"/>
  <c r="W160" i="48" s="1"/>
  <c r="W49" i="20" s="1"/>
  <c r="D157" i="48"/>
  <c r="D46" i="20" s="1"/>
  <c r="N158" i="48"/>
  <c r="N47" i="20" s="1"/>
  <c r="V158" i="48"/>
  <c r="V47" i="20" s="1"/>
  <c r="AD158" i="48"/>
  <c r="AD47" i="20" s="1"/>
  <c r="S159" i="48"/>
  <c r="S48" i="20" s="1"/>
  <c r="AA159" i="48"/>
  <c r="AA48" i="20" s="1"/>
  <c r="AN13" i="48"/>
  <c r="AP13" i="48" s="1"/>
  <c r="AN21" i="48"/>
  <c r="AP21" i="48" s="1"/>
  <c r="AN29" i="48"/>
  <c r="AP29" i="48" s="1"/>
  <c r="AN37" i="48"/>
  <c r="AP37" i="48" s="1"/>
  <c r="AN45" i="48"/>
  <c r="AP45" i="48" s="1"/>
  <c r="AN53" i="48"/>
  <c r="AP53" i="48" s="1"/>
  <c r="AO58" i="48"/>
  <c r="AF59" i="48"/>
  <c r="AL61" i="48"/>
  <c r="M62" i="48"/>
  <c r="M64" i="48" s="1"/>
  <c r="AC62" i="48"/>
  <c r="AC64" i="48" s="1"/>
  <c r="E157" i="48"/>
  <c r="E46" i="20" s="1"/>
  <c r="O158" i="48"/>
  <c r="O47" i="20" s="1"/>
  <c r="W158" i="48"/>
  <c r="W47" i="20" s="1"/>
  <c r="AB159" i="48"/>
  <c r="AB48" i="20" s="1"/>
  <c r="AN48" i="48"/>
  <c r="AP48" i="48" s="1"/>
  <c r="S56" i="48"/>
  <c r="R157" i="48" s="1"/>
  <c r="R46" i="20" s="1"/>
  <c r="AO59" i="48"/>
  <c r="AF60" i="48"/>
  <c r="H69" i="48"/>
  <c r="F157" i="48"/>
  <c r="F46" i="20" s="1"/>
  <c r="P158" i="48"/>
  <c r="P47" i="20" s="1"/>
  <c r="X158" i="48"/>
  <c r="X47" i="20" s="1"/>
  <c r="AF158" i="48"/>
  <c r="AF47" i="20" s="1"/>
  <c r="U159" i="48"/>
  <c r="U48" i="20" s="1"/>
  <c r="AN11" i="48"/>
  <c r="AP11" i="48" s="1"/>
  <c r="AN19" i="48"/>
  <c r="AP19" i="48" s="1"/>
  <c r="S58" i="48"/>
  <c r="AO60" i="48"/>
  <c r="O62" i="48"/>
  <c r="O64" i="48" s="1"/>
  <c r="W62" i="48"/>
  <c r="W63" i="48" s="1"/>
  <c r="Q160" i="48" s="1"/>
  <c r="Q49" i="20" s="1"/>
  <c r="AE62" i="48"/>
  <c r="AE63" i="48" s="1"/>
  <c r="Q158" i="48"/>
  <c r="Q47" i="20" s="1"/>
  <c r="Y158" i="48"/>
  <c r="Y47" i="20" s="1"/>
  <c r="N159" i="48"/>
  <c r="N48" i="20" s="1"/>
  <c r="V159" i="48"/>
  <c r="V48" i="20" s="1"/>
  <c r="AD159" i="48"/>
  <c r="AD48" i="20" s="1"/>
  <c r="AN6" i="48"/>
  <c r="AN14" i="48"/>
  <c r="AP14" i="48" s="1"/>
  <c r="AN22" i="48"/>
  <c r="AP22" i="48" s="1"/>
  <c r="AN30" i="48"/>
  <c r="AP30" i="48" s="1"/>
  <c r="AN38" i="48"/>
  <c r="AP38" i="48" s="1"/>
  <c r="AN46" i="48"/>
  <c r="AP46" i="48" s="1"/>
  <c r="AN54" i="48"/>
  <c r="AP54" i="48" s="1"/>
  <c r="AK56" i="48"/>
  <c r="AG12" i="41" s="1"/>
  <c r="S59" i="48"/>
  <c r="H157" i="48"/>
  <c r="H46" i="20" s="1"/>
  <c r="R158" i="48"/>
  <c r="R47" i="20" s="1"/>
  <c r="Z158" i="48"/>
  <c r="Z47" i="20" s="1"/>
  <c r="O159" i="48"/>
  <c r="O48" i="20" s="1"/>
  <c r="W159" i="48"/>
  <c r="W48" i="20" s="1"/>
  <c r="U6" i="48"/>
  <c r="I157" i="48"/>
  <c r="I46" i="20" s="1"/>
  <c r="K158" i="48"/>
  <c r="K47" i="20" s="1"/>
  <c r="S158" i="48"/>
  <c r="S47" i="20" s="1"/>
  <c r="AA158" i="48"/>
  <c r="AA47" i="20" s="1"/>
  <c r="P159" i="48"/>
  <c r="P48" i="20" s="1"/>
  <c r="X159" i="48"/>
  <c r="X48" i="20" s="1"/>
  <c r="AP44" i="47"/>
  <c r="Q64" i="47"/>
  <c r="AG66" i="47"/>
  <c r="Y163" i="47" s="1"/>
  <c r="Y45" i="20" s="1"/>
  <c r="AP43" i="47"/>
  <c r="AP52" i="47"/>
  <c r="Y66" i="47"/>
  <c r="U163" i="47" s="1"/>
  <c r="U45" i="20" s="1"/>
  <c r="AP50" i="47"/>
  <c r="AG65" i="47"/>
  <c r="Y162" i="47" s="1"/>
  <c r="Y44" i="20" s="1"/>
  <c r="AP34" i="47"/>
  <c r="AP47" i="47"/>
  <c r="AP12" i="47"/>
  <c r="AP20" i="47"/>
  <c r="AP26" i="47"/>
  <c r="AG64" i="47"/>
  <c r="Y161" i="47" s="1"/>
  <c r="Y43" i="20" s="1"/>
  <c r="Q66" i="47"/>
  <c r="AP18" i="47"/>
  <c r="AP39" i="47"/>
  <c r="AN7" i="47"/>
  <c r="AP7" i="47" s="1"/>
  <c r="U6" i="47"/>
  <c r="U9" i="47"/>
  <c r="U17" i="47"/>
  <c r="U25" i="47"/>
  <c r="U33" i="47"/>
  <c r="U41" i="47"/>
  <c r="U49" i="47"/>
  <c r="AL58" i="47"/>
  <c r="AK59" i="47"/>
  <c r="S61" i="47"/>
  <c r="R62" i="47"/>
  <c r="R64" i="47" s="1"/>
  <c r="Z62" i="47"/>
  <c r="Z66" i="47" s="1"/>
  <c r="B157" i="47"/>
  <c r="B39" i="20" s="1"/>
  <c r="L158" i="47"/>
  <c r="L40" i="20" s="1"/>
  <c r="AB158" i="47"/>
  <c r="AB40" i="20" s="1"/>
  <c r="Q159" i="47"/>
  <c r="Q41" i="20" s="1"/>
  <c r="Y159" i="47"/>
  <c r="Y41" i="20" s="1"/>
  <c r="X56" i="47"/>
  <c r="AF56" i="47"/>
  <c r="X157" i="47" s="1"/>
  <c r="X39" i="20" s="1"/>
  <c r="AL59" i="47"/>
  <c r="AK60" i="47"/>
  <c r="K62" i="47"/>
  <c r="K65" i="47" s="1"/>
  <c r="N162" i="47" s="1"/>
  <c r="N44" i="20" s="1"/>
  <c r="AA62" i="47"/>
  <c r="AA65" i="47" s="1"/>
  <c r="AI62" i="47"/>
  <c r="AI64" i="47" s="1"/>
  <c r="V161" i="47" s="1"/>
  <c r="V43" i="20" s="1"/>
  <c r="AQ62" i="47"/>
  <c r="AQ65" i="47" s="1"/>
  <c r="AF162" i="47" s="1"/>
  <c r="AF44" i="20" s="1"/>
  <c r="Q63" i="47"/>
  <c r="AG63" i="47"/>
  <c r="Y160" i="47" s="1"/>
  <c r="Y42" i="20" s="1"/>
  <c r="C157" i="47"/>
  <c r="C39" i="20" s="1"/>
  <c r="U158" i="47"/>
  <c r="U40" i="20" s="1"/>
  <c r="R159" i="47"/>
  <c r="R41" i="20" s="1"/>
  <c r="Z159" i="47"/>
  <c r="Z41" i="20" s="1"/>
  <c r="AN23" i="47"/>
  <c r="AP23" i="47" s="1"/>
  <c r="U15" i="47"/>
  <c r="T159" i="47" s="1"/>
  <c r="T41" i="20" s="1"/>
  <c r="U31" i="47"/>
  <c r="U39" i="47"/>
  <c r="AN42" i="47"/>
  <c r="AP42" i="47" s="1"/>
  <c r="U47" i="47"/>
  <c r="U55" i="47"/>
  <c r="AO56" i="47"/>
  <c r="AD157" i="47" s="1"/>
  <c r="AD39" i="20" s="1"/>
  <c r="X58" i="47"/>
  <c r="AF58" i="47"/>
  <c r="AL60" i="47"/>
  <c r="AK61" i="47"/>
  <c r="L62" i="47"/>
  <c r="L66" i="47" s="1"/>
  <c r="O163" i="47" s="1"/>
  <c r="O45" i="20" s="1"/>
  <c r="T62" i="47"/>
  <c r="T65" i="47" s="1"/>
  <c r="S162" i="47" s="1"/>
  <c r="S44" i="20" s="1"/>
  <c r="AB62" i="47"/>
  <c r="AB63" i="47" s="1"/>
  <c r="AJ62" i="47"/>
  <c r="AJ66" i="47" s="1"/>
  <c r="W163" i="47" s="1"/>
  <c r="W45" i="20" s="1"/>
  <c r="D157" i="47"/>
  <c r="D39" i="20" s="1"/>
  <c r="N158" i="47"/>
  <c r="N40" i="20" s="1"/>
  <c r="V158" i="47"/>
  <c r="V40" i="20" s="1"/>
  <c r="AD158" i="47"/>
  <c r="AD40" i="20" s="1"/>
  <c r="S159" i="47"/>
  <c r="S41" i="20" s="1"/>
  <c r="AA159" i="47"/>
  <c r="AA41" i="20" s="1"/>
  <c r="AH6" i="47"/>
  <c r="AN13" i="47"/>
  <c r="AP13" i="47" s="1"/>
  <c r="AN21" i="47"/>
  <c r="AP21" i="47" s="1"/>
  <c r="AN29" i="47"/>
  <c r="AP29" i="47" s="1"/>
  <c r="AN37" i="47"/>
  <c r="AP37" i="47" s="1"/>
  <c r="AN45" i="47"/>
  <c r="AP45" i="47" s="1"/>
  <c r="AN53" i="47"/>
  <c r="AP53" i="47" s="1"/>
  <c r="AO58" i="47"/>
  <c r="X59" i="47"/>
  <c r="AF59" i="47"/>
  <c r="AL61" i="47"/>
  <c r="M62" i="47"/>
  <c r="M64" i="47" s="1"/>
  <c r="AC62" i="47"/>
  <c r="AC64" i="47" s="1"/>
  <c r="E157" i="47"/>
  <c r="E39" i="20" s="1"/>
  <c r="O158" i="47"/>
  <c r="O40" i="20" s="1"/>
  <c r="W158" i="47"/>
  <c r="W40" i="20" s="1"/>
  <c r="AN16" i="47"/>
  <c r="AP16" i="47" s="1"/>
  <c r="AN24" i="47"/>
  <c r="AP24" i="47" s="1"/>
  <c r="AN32" i="47"/>
  <c r="AP32" i="47" s="1"/>
  <c r="AN40" i="47"/>
  <c r="AP40" i="47" s="1"/>
  <c r="S56" i="47"/>
  <c r="R157" i="47" s="1"/>
  <c r="R39" i="20" s="1"/>
  <c r="AO59" i="47"/>
  <c r="X60" i="47"/>
  <c r="AF60" i="47"/>
  <c r="N62" i="47"/>
  <c r="N65" i="47" s="1"/>
  <c r="V62" i="47"/>
  <c r="V64" i="47" s="1"/>
  <c r="P161" i="47" s="1"/>
  <c r="P43" i="20" s="1"/>
  <c r="AD62" i="47"/>
  <c r="AD63" i="47" s="1"/>
  <c r="H69" i="47"/>
  <c r="F157" i="47"/>
  <c r="F39" i="20" s="1"/>
  <c r="P158" i="47"/>
  <c r="P40" i="20" s="1"/>
  <c r="X158" i="47"/>
  <c r="X40" i="20" s="1"/>
  <c r="AF158" i="47"/>
  <c r="AF40" i="20" s="1"/>
  <c r="U159" i="47"/>
  <c r="U41" i="20" s="1"/>
  <c r="AM6" i="47"/>
  <c r="S58" i="47"/>
  <c r="AO60" i="47"/>
  <c r="O62" i="47"/>
  <c r="O66" i="47" s="1"/>
  <c r="W62" i="47"/>
  <c r="W63" i="47" s="1"/>
  <c r="Q160" i="47" s="1"/>
  <c r="Q42" i="20" s="1"/>
  <c r="AE62" i="47"/>
  <c r="AE64" i="47" s="1"/>
  <c r="Q158" i="47"/>
  <c r="Q40" i="20" s="1"/>
  <c r="Y158" i="47"/>
  <c r="Y40" i="20" s="1"/>
  <c r="N159" i="47"/>
  <c r="N41" i="20" s="1"/>
  <c r="V159" i="47"/>
  <c r="V41" i="20" s="1"/>
  <c r="AD159" i="47"/>
  <c r="AD41" i="20" s="1"/>
  <c r="AN14" i="47"/>
  <c r="AP14" i="47" s="1"/>
  <c r="AN22" i="47"/>
  <c r="AP22" i="47" s="1"/>
  <c r="AN30" i="47"/>
  <c r="AP30" i="47" s="1"/>
  <c r="AN38" i="47"/>
  <c r="AP38" i="47" s="1"/>
  <c r="AN46" i="47"/>
  <c r="AP46" i="47" s="1"/>
  <c r="AN54" i="47"/>
  <c r="AP54" i="47" s="1"/>
  <c r="AK56" i="47"/>
  <c r="S59" i="47"/>
  <c r="H157" i="47"/>
  <c r="H39" i="20" s="1"/>
  <c r="R158" i="47"/>
  <c r="R40" i="20" s="1"/>
  <c r="Z158" i="47"/>
  <c r="Z40" i="20" s="1"/>
  <c r="O159" i="47"/>
  <c r="O41" i="20" s="1"/>
  <c r="W159" i="47"/>
  <c r="W41" i="20" s="1"/>
  <c r="AN6" i="47"/>
  <c r="AP6" i="47" s="1"/>
  <c r="I157" i="47"/>
  <c r="I39" i="20" s="1"/>
  <c r="K158" i="47"/>
  <c r="K40" i="20" s="1"/>
  <c r="S158" i="47"/>
  <c r="S40" i="20" s="1"/>
  <c r="AA158" i="47"/>
  <c r="AA40" i="20" s="1"/>
  <c r="P159" i="47"/>
  <c r="P41" i="20" s="1"/>
  <c r="X159" i="47"/>
  <c r="X41" i="20" s="1"/>
  <c r="AG38" i="20"/>
  <c r="AG35" i="20"/>
  <c r="AG34" i="20"/>
  <c r="AG33" i="20"/>
  <c r="AG32" i="20"/>
  <c r="AP2" i="46"/>
  <c r="AP69" i="46" s="1"/>
  <c r="AB2" i="46"/>
  <c r="AB69" i="46" s="1"/>
  <c r="N2" i="46"/>
  <c r="N69" i="46" s="1"/>
  <c r="J66" i="46"/>
  <c r="AG163" i="46" s="1"/>
  <c r="J65" i="46"/>
  <c r="AG162" i="46" s="1"/>
  <c r="AG37" i="20" s="1"/>
  <c r="J64" i="46"/>
  <c r="AG161" i="46" s="1"/>
  <c r="AG36" i="20" s="1"/>
  <c r="J63" i="46"/>
  <c r="AG160" i="46" s="1"/>
  <c r="AQ61" i="46"/>
  <c r="AJ61" i="46"/>
  <c r="AI61" i="46"/>
  <c r="AG61" i="46"/>
  <c r="AE61" i="46"/>
  <c r="AD61" i="46"/>
  <c r="AC61" i="46"/>
  <c r="AB61" i="46"/>
  <c r="AA61" i="46"/>
  <c r="Z61" i="46"/>
  <c r="Y61" i="46"/>
  <c r="W61" i="46"/>
  <c r="V61" i="46"/>
  <c r="T61" i="46"/>
  <c r="R61" i="46"/>
  <c r="Q61" i="46"/>
  <c r="P61" i="46"/>
  <c r="O61" i="46"/>
  <c r="N61" i="46"/>
  <c r="M61" i="46"/>
  <c r="L61" i="46"/>
  <c r="K61" i="46"/>
  <c r="AQ60" i="46"/>
  <c r="AJ60" i="46"/>
  <c r="AI60" i="46"/>
  <c r="AG60" i="46"/>
  <c r="AE60" i="46"/>
  <c r="AD60" i="46"/>
  <c r="AC60" i="46"/>
  <c r="AB60" i="46"/>
  <c r="AA60" i="46"/>
  <c r="Z60" i="46"/>
  <c r="Y60" i="46"/>
  <c r="W60" i="46"/>
  <c r="V60" i="46"/>
  <c r="T60" i="46"/>
  <c r="R60" i="46"/>
  <c r="Q60" i="46"/>
  <c r="P60" i="46"/>
  <c r="O60" i="46"/>
  <c r="N60" i="46"/>
  <c r="M60" i="46"/>
  <c r="L60" i="46"/>
  <c r="K60" i="46"/>
  <c r="AQ59" i="46"/>
  <c r="AJ59" i="46"/>
  <c r="AI59" i="46"/>
  <c r="AG59" i="46"/>
  <c r="AE59" i="46"/>
  <c r="AD59" i="46"/>
  <c r="AC59" i="46"/>
  <c r="AB59" i="46"/>
  <c r="AA59" i="46"/>
  <c r="Z59" i="46"/>
  <c r="Y59" i="46"/>
  <c r="W59" i="46"/>
  <c r="V59" i="46"/>
  <c r="T59" i="46"/>
  <c r="R59" i="46"/>
  <c r="Q59" i="46"/>
  <c r="P59" i="46"/>
  <c r="O59" i="46"/>
  <c r="N59" i="46"/>
  <c r="M59" i="46"/>
  <c r="L59" i="46"/>
  <c r="K59" i="46"/>
  <c r="AQ58" i="46"/>
  <c r="AJ58" i="46"/>
  <c r="AI58" i="46"/>
  <c r="AG58" i="46"/>
  <c r="AG62" i="46" s="1"/>
  <c r="AE58" i="46"/>
  <c r="AD58" i="46"/>
  <c r="AC58" i="46"/>
  <c r="AB58" i="46"/>
  <c r="AA58" i="46"/>
  <c r="Z58" i="46"/>
  <c r="Y58" i="46"/>
  <c r="W58" i="46"/>
  <c r="V58" i="46"/>
  <c r="T58" i="46"/>
  <c r="R58" i="46"/>
  <c r="Q58" i="46"/>
  <c r="P58" i="46"/>
  <c r="O58" i="46"/>
  <c r="N58" i="46"/>
  <c r="M58" i="46"/>
  <c r="L58" i="46"/>
  <c r="K58" i="46"/>
  <c r="AQ56" i="46"/>
  <c r="AF157" i="46" s="1"/>
  <c r="AF32" i="20" s="1"/>
  <c r="AJ56" i="46"/>
  <c r="W157" i="46" s="1"/>
  <c r="W32" i="20" s="1"/>
  <c r="AI56" i="46"/>
  <c r="V157" i="46" s="1"/>
  <c r="V32" i="20" s="1"/>
  <c r="AG56" i="46"/>
  <c r="Y157" i="46" s="1"/>
  <c r="Y32" i="20" s="1"/>
  <c r="AE56" i="46"/>
  <c r="AD56" i="46"/>
  <c r="AC56" i="46"/>
  <c r="AB56" i="46"/>
  <c r="AA56" i="46"/>
  <c r="Z56" i="46"/>
  <c r="Y56" i="46"/>
  <c r="U157" i="46" s="1"/>
  <c r="U32" i="20" s="1"/>
  <c r="W56" i="46"/>
  <c r="Q157" i="46" s="1"/>
  <c r="Q32" i="20" s="1"/>
  <c r="V56" i="46"/>
  <c r="P157" i="46" s="1"/>
  <c r="P32" i="20" s="1"/>
  <c r="T56" i="46"/>
  <c r="S157" i="46" s="1"/>
  <c r="S32" i="20" s="1"/>
  <c r="R56" i="46"/>
  <c r="Q56" i="46"/>
  <c r="P56" i="46"/>
  <c r="O56" i="46"/>
  <c r="N56" i="46"/>
  <c r="M56" i="46"/>
  <c r="L56" i="46"/>
  <c r="O157" i="46" s="1"/>
  <c r="O32" i="20" s="1"/>
  <c r="K56" i="46"/>
  <c r="N157" i="46" s="1"/>
  <c r="N32" i="20" s="1"/>
  <c r="AO55" i="46"/>
  <c r="AL55" i="46"/>
  <c r="AK55" i="46"/>
  <c r="AH55" i="46"/>
  <c r="AF55" i="46"/>
  <c r="X55" i="46"/>
  <c r="AM55" i="46" s="1"/>
  <c r="U55" i="46"/>
  <c r="S55" i="46"/>
  <c r="AN55" i="46" s="1"/>
  <c r="AP55" i="46" s="1"/>
  <c r="I55" i="46"/>
  <c r="H55" i="46"/>
  <c r="G55" i="46"/>
  <c r="F55" i="46"/>
  <c r="E55" i="46"/>
  <c r="D55" i="46"/>
  <c r="C55" i="46"/>
  <c r="B55" i="46"/>
  <c r="AO54" i="46"/>
  <c r="AL54" i="46"/>
  <c r="AK54" i="46"/>
  <c r="AH54" i="46"/>
  <c r="AF54" i="46"/>
  <c r="X54" i="46"/>
  <c r="U54" i="46"/>
  <c r="S54" i="46"/>
  <c r="AN54" i="46" s="1"/>
  <c r="AP54" i="46" s="1"/>
  <c r="I54" i="46"/>
  <c r="H54" i="46"/>
  <c r="G54" i="46"/>
  <c r="F54" i="46"/>
  <c r="E54" i="46"/>
  <c r="D54" i="46"/>
  <c r="C54" i="46"/>
  <c r="B54" i="46"/>
  <c r="AO53" i="46"/>
  <c r="AL53" i="46"/>
  <c r="AK53" i="46"/>
  <c r="AM53" i="46" s="1"/>
  <c r="AH53" i="46"/>
  <c r="AF53" i="46"/>
  <c r="X53" i="46"/>
  <c r="S53" i="46"/>
  <c r="U53" i="46" s="1"/>
  <c r="I53" i="46"/>
  <c r="H53" i="46"/>
  <c r="G53" i="46"/>
  <c r="F53" i="46"/>
  <c r="E53" i="46"/>
  <c r="D53" i="46"/>
  <c r="C53" i="46"/>
  <c r="B53" i="46"/>
  <c r="AO52" i="46"/>
  <c r="AL52" i="46"/>
  <c r="AK52" i="46"/>
  <c r="AF52" i="46"/>
  <c r="AH52" i="46" s="1"/>
  <c r="X52" i="46"/>
  <c r="AM52" i="46" s="1"/>
  <c r="S52" i="46"/>
  <c r="U52" i="46" s="1"/>
  <c r="I52" i="46"/>
  <c r="H52" i="46"/>
  <c r="G52" i="46"/>
  <c r="F52" i="46"/>
  <c r="E52" i="46"/>
  <c r="D52" i="46"/>
  <c r="C52" i="46"/>
  <c r="B52" i="46"/>
  <c r="AO51" i="46"/>
  <c r="AL51" i="46"/>
  <c r="AK51" i="46"/>
  <c r="AF51" i="46"/>
  <c r="AH51" i="46" s="1"/>
  <c r="X51" i="46"/>
  <c r="AM51" i="46" s="1"/>
  <c r="S51" i="46"/>
  <c r="U51" i="46" s="1"/>
  <c r="I51" i="46"/>
  <c r="H51" i="46"/>
  <c r="G51" i="46"/>
  <c r="F51" i="46"/>
  <c r="E51" i="46"/>
  <c r="D51" i="46"/>
  <c r="C51" i="46"/>
  <c r="B51" i="46"/>
  <c r="AO50" i="46"/>
  <c r="AL50" i="46"/>
  <c r="AK50" i="46"/>
  <c r="AF50" i="46"/>
  <c r="AH50" i="46" s="1"/>
  <c r="X50" i="46"/>
  <c r="S50" i="46"/>
  <c r="AN50" i="46" s="1"/>
  <c r="I50" i="46"/>
  <c r="H50" i="46"/>
  <c r="G50" i="46"/>
  <c r="F50" i="46"/>
  <c r="E50" i="46"/>
  <c r="D50" i="46"/>
  <c r="C50" i="46"/>
  <c r="B50" i="46"/>
  <c r="AO49" i="46"/>
  <c r="AL49" i="46"/>
  <c r="AK49" i="46"/>
  <c r="AH49" i="46"/>
  <c r="AF49" i="46"/>
  <c r="X49" i="46"/>
  <c r="AM49" i="46" s="1"/>
  <c r="U49" i="46"/>
  <c r="S49" i="46"/>
  <c r="AN49" i="46" s="1"/>
  <c r="I49" i="46"/>
  <c r="H49" i="46"/>
  <c r="G49" i="46"/>
  <c r="F49" i="46"/>
  <c r="E49" i="46"/>
  <c r="D49" i="46"/>
  <c r="C49" i="46"/>
  <c r="B49" i="46"/>
  <c r="AO48" i="46"/>
  <c r="AL48" i="46"/>
  <c r="AK48" i="46"/>
  <c r="AF48" i="46"/>
  <c r="AH48" i="46" s="1"/>
  <c r="X48" i="46"/>
  <c r="AM48" i="46" s="1"/>
  <c r="U48" i="46"/>
  <c r="S48" i="46"/>
  <c r="I48" i="46"/>
  <c r="H48" i="46"/>
  <c r="G48" i="46"/>
  <c r="F48" i="46"/>
  <c r="E48" i="46"/>
  <c r="D48" i="46"/>
  <c r="C48" i="46"/>
  <c r="B48" i="46"/>
  <c r="AO47" i="46"/>
  <c r="AM47" i="46"/>
  <c r="AL47" i="46"/>
  <c r="AK47" i="46"/>
  <c r="AF47" i="46"/>
  <c r="AH47" i="46" s="1"/>
  <c r="X47" i="46"/>
  <c r="S47" i="46"/>
  <c r="I47" i="46"/>
  <c r="H47" i="46"/>
  <c r="G47" i="46"/>
  <c r="F47" i="46"/>
  <c r="E47" i="46"/>
  <c r="D47" i="46"/>
  <c r="C47" i="46"/>
  <c r="B47" i="46"/>
  <c r="AO46" i="46"/>
  <c r="AL46" i="46"/>
  <c r="AK46" i="46"/>
  <c r="AF46" i="46"/>
  <c r="AH46" i="46" s="1"/>
  <c r="X46" i="46"/>
  <c r="AM46" i="46" s="1"/>
  <c r="S46" i="46"/>
  <c r="I46" i="46"/>
  <c r="H46" i="46"/>
  <c r="G46" i="46"/>
  <c r="F46" i="46"/>
  <c r="E46" i="46"/>
  <c r="D46" i="46"/>
  <c r="C46" i="46"/>
  <c r="B46" i="46"/>
  <c r="AO45" i="46"/>
  <c r="AL45" i="46"/>
  <c r="AK45" i="46"/>
  <c r="AF45" i="46"/>
  <c r="AH45" i="46" s="1"/>
  <c r="X45" i="46"/>
  <c r="S45" i="46"/>
  <c r="U45" i="46" s="1"/>
  <c r="I45" i="46"/>
  <c r="H45" i="46"/>
  <c r="G45" i="46"/>
  <c r="F45" i="46"/>
  <c r="E45" i="46"/>
  <c r="D45" i="46"/>
  <c r="C45" i="46"/>
  <c r="B45" i="46"/>
  <c r="AO44" i="46"/>
  <c r="AL44" i="46"/>
  <c r="AK44" i="46"/>
  <c r="AF44" i="46"/>
  <c r="AH44" i="46" s="1"/>
  <c r="X44" i="46"/>
  <c r="AM44" i="46" s="1"/>
  <c r="S44" i="46"/>
  <c r="U44" i="46" s="1"/>
  <c r="I44" i="46"/>
  <c r="H44" i="46"/>
  <c r="G44" i="46"/>
  <c r="F44" i="46"/>
  <c r="E44" i="46"/>
  <c r="D44" i="46"/>
  <c r="C44" i="46"/>
  <c r="B44" i="46"/>
  <c r="AO43" i="46"/>
  <c r="AL43" i="46"/>
  <c r="AK43" i="46"/>
  <c r="AF43" i="46"/>
  <c r="AH43" i="46" s="1"/>
  <c r="X43" i="46"/>
  <c r="S43" i="46"/>
  <c r="AN43" i="46" s="1"/>
  <c r="AP43" i="46" s="1"/>
  <c r="I43" i="46"/>
  <c r="H43" i="46"/>
  <c r="G43" i="46"/>
  <c r="F43" i="46"/>
  <c r="E43" i="46"/>
  <c r="D43" i="46"/>
  <c r="C43" i="46"/>
  <c r="B43" i="46"/>
  <c r="AO42" i="46"/>
  <c r="AL42" i="46"/>
  <c r="AK42" i="46"/>
  <c r="AF42" i="46"/>
  <c r="AH42" i="46" s="1"/>
  <c r="X42" i="46"/>
  <c r="AM42" i="46" s="1"/>
  <c r="S42" i="46"/>
  <c r="I42" i="46"/>
  <c r="H42" i="46"/>
  <c r="G42" i="46"/>
  <c r="F42" i="46"/>
  <c r="E42" i="46"/>
  <c r="D42" i="46"/>
  <c r="C42" i="46"/>
  <c r="B42" i="46"/>
  <c r="AO41" i="46"/>
  <c r="AM41" i="46"/>
  <c r="AL41" i="46"/>
  <c r="AK41" i="46"/>
  <c r="AH41" i="46"/>
  <c r="AF41" i="46"/>
  <c r="X41" i="46"/>
  <c r="S41" i="46"/>
  <c r="AN41" i="46" s="1"/>
  <c r="I41" i="46"/>
  <c r="H41" i="46"/>
  <c r="G41" i="46"/>
  <c r="F41" i="46"/>
  <c r="E41" i="46"/>
  <c r="D41" i="46"/>
  <c r="C41" i="46"/>
  <c r="B41" i="46"/>
  <c r="AO40" i="46"/>
  <c r="AL40" i="46"/>
  <c r="AK40" i="46"/>
  <c r="AH40" i="46"/>
  <c r="AF40" i="46"/>
  <c r="X40" i="46"/>
  <c r="AM40" i="46" s="1"/>
  <c r="U40" i="46"/>
  <c r="S40" i="46"/>
  <c r="AN40" i="46" s="1"/>
  <c r="I40" i="46"/>
  <c r="H40" i="46"/>
  <c r="G40" i="46"/>
  <c r="F40" i="46"/>
  <c r="E40" i="46"/>
  <c r="D40" i="46"/>
  <c r="C40" i="46"/>
  <c r="B40" i="46"/>
  <c r="AO39" i="46"/>
  <c r="AL39" i="46"/>
  <c r="AK39" i="46"/>
  <c r="AF39" i="46"/>
  <c r="AH39" i="46" s="1"/>
  <c r="X39" i="46"/>
  <c r="AM39" i="46" s="1"/>
  <c r="U39" i="46"/>
  <c r="S39" i="46"/>
  <c r="I39" i="46"/>
  <c r="H39" i="46"/>
  <c r="G39" i="46"/>
  <c r="F39" i="46"/>
  <c r="E39" i="46"/>
  <c r="D39" i="46"/>
  <c r="C39" i="46"/>
  <c r="B39" i="46"/>
  <c r="AO38" i="46"/>
  <c r="AL38" i="46"/>
  <c r="AK38" i="46"/>
  <c r="AF38" i="46"/>
  <c r="AH38" i="46" s="1"/>
  <c r="X38" i="46"/>
  <c r="AM38" i="46" s="1"/>
  <c r="U38" i="46"/>
  <c r="S38" i="46"/>
  <c r="I38" i="46"/>
  <c r="H38" i="46"/>
  <c r="G38" i="46"/>
  <c r="F38" i="46"/>
  <c r="E38" i="46"/>
  <c r="D38" i="46"/>
  <c r="C38" i="46"/>
  <c r="B38" i="46"/>
  <c r="AO37" i="46"/>
  <c r="AL37" i="46"/>
  <c r="AK37" i="46"/>
  <c r="AF37" i="46"/>
  <c r="AH37" i="46" s="1"/>
  <c r="X37" i="46"/>
  <c r="S37" i="46"/>
  <c r="U37" i="46" s="1"/>
  <c r="I37" i="46"/>
  <c r="H37" i="46"/>
  <c r="G37" i="46"/>
  <c r="F37" i="46"/>
  <c r="E37" i="46"/>
  <c r="D37" i="46"/>
  <c r="C37" i="46"/>
  <c r="B37" i="46"/>
  <c r="AO36" i="46"/>
  <c r="AL36" i="46"/>
  <c r="AK36" i="46"/>
  <c r="AF36" i="46"/>
  <c r="AH36" i="46" s="1"/>
  <c r="X36" i="46"/>
  <c r="AM36" i="46" s="1"/>
  <c r="S36" i="46"/>
  <c r="U36" i="46" s="1"/>
  <c r="I36" i="46"/>
  <c r="H36" i="46"/>
  <c r="G36" i="46"/>
  <c r="F36" i="46"/>
  <c r="E36" i="46"/>
  <c r="D36" i="46"/>
  <c r="C36" i="46"/>
  <c r="B36" i="46"/>
  <c r="AO35" i="46"/>
  <c r="AL35" i="46"/>
  <c r="AK35" i="46"/>
  <c r="AF35" i="46"/>
  <c r="AH35" i="46" s="1"/>
  <c r="X35" i="46"/>
  <c r="AM35" i="46" s="1"/>
  <c r="S35" i="46"/>
  <c r="U35" i="46" s="1"/>
  <c r="I35" i="46"/>
  <c r="H35" i="46"/>
  <c r="G35" i="46"/>
  <c r="F35" i="46"/>
  <c r="E35" i="46"/>
  <c r="D35" i="46"/>
  <c r="C35" i="46"/>
  <c r="B35" i="46"/>
  <c r="AO34" i="46"/>
  <c r="AL34" i="46"/>
  <c r="AK34" i="46"/>
  <c r="AF34" i="46"/>
  <c r="AH34" i="46" s="1"/>
  <c r="X34" i="46"/>
  <c r="AM34" i="46" s="1"/>
  <c r="S34" i="46"/>
  <c r="I34" i="46"/>
  <c r="H34" i="46"/>
  <c r="G34" i="46"/>
  <c r="F34" i="46"/>
  <c r="E34" i="46"/>
  <c r="D34" i="46"/>
  <c r="C34" i="46"/>
  <c r="B34" i="46"/>
  <c r="AO33" i="46"/>
  <c r="AL33" i="46"/>
  <c r="AK33" i="46"/>
  <c r="AF33" i="46"/>
  <c r="AH33" i="46" s="1"/>
  <c r="X33" i="46"/>
  <c r="S33" i="46"/>
  <c r="I33" i="46"/>
  <c r="H33" i="46"/>
  <c r="G33" i="46"/>
  <c r="F33" i="46"/>
  <c r="E33" i="46"/>
  <c r="D33" i="46"/>
  <c r="C33" i="46"/>
  <c r="B33" i="46"/>
  <c r="AO32" i="46"/>
  <c r="AM32" i="46"/>
  <c r="AL32" i="46"/>
  <c r="AK32" i="46"/>
  <c r="AH32" i="46"/>
  <c r="AF32" i="46"/>
  <c r="X32" i="46"/>
  <c r="S32" i="46"/>
  <c r="U32" i="46" s="1"/>
  <c r="I32" i="46"/>
  <c r="H32" i="46"/>
  <c r="G32" i="46"/>
  <c r="F32" i="46"/>
  <c r="E32" i="46"/>
  <c r="D32" i="46"/>
  <c r="C32" i="46"/>
  <c r="B32" i="46"/>
  <c r="AO31" i="46"/>
  <c r="AL31" i="46"/>
  <c r="AK31" i="46"/>
  <c r="AF31" i="46"/>
  <c r="AH31" i="46" s="1"/>
  <c r="X31" i="46"/>
  <c r="AM31" i="46" s="1"/>
  <c r="S31" i="46"/>
  <c r="I31" i="46"/>
  <c r="H31" i="46"/>
  <c r="G31" i="46"/>
  <c r="F31" i="46"/>
  <c r="E31" i="46"/>
  <c r="D31" i="46"/>
  <c r="C31" i="46"/>
  <c r="B31" i="46"/>
  <c r="AO30" i="46"/>
  <c r="AL30" i="46"/>
  <c r="AK30" i="46"/>
  <c r="AF30" i="46"/>
  <c r="AH30" i="46" s="1"/>
  <c r="X30" i="46"/>
  <c r="AM30" i="46" s="1"/>
  <c r="S30" i="46"/>
  <c r="I30" i="46"/>
  <c r="H30" i="46"/>
  <c r="G30" i="46"/>
  <c r="F30" i="46"/>
  <c r="E30" i="46"/>
  <c r="D30" i="46"/>
  <c r="C30" i="46"/>
  <c r="B30" i="46"/>
  <c r="AO29" i="46"/>
  <c r="AL29" i="46"/>
  <c r="AK29" i="46"/>
  <c r="AF29" i="46"/>
  <c r="AH29" i="46" s="1"/>
  <c r="X29" i="46"/>
  <c r="S29" i="46"/>
  <c r="U29" i="46" s="1"/>
  <c r="I29" i="46"/>
  <c r="H29" i="46"/>
  <c r="G29" i="46"/>
  <c r="F29" i="46"/>
  <c r="E29" i="46"/>
  <c r="D29" i="46"/>
  <c r="C29" i="46"/>
  <c r="B29" i="46"/>
  <c r="AO28" i="46"/>
  <c r="AL28" i="46"/>
  <c r="AK28" i="46"/>
  <c r="AF28" i="46"/>
  <c r="AH28" i="46" s="1"/>
  <c r="X28" i="46"/>
  <c r="AM28" i="46" s="1"/>
  <c r="S28" i="46"/>
  <c r="U28" i="46" s="1"/>
  <c r="I28" i="46"/>
  <c r="H28" i="46"/>
  <c r="G28" i="46"/>
  <c r="F28" i="46"/>
  <c r="E28" i="46"/>
  <c r="D28" i="46"/>
  <c r="C28" i="46"/>
  <c r="B28" i="46"/>
  <c r="AO27" i="46"/>
  <c r="AL27" i="46"/>
  <c r="AK27" i="46"/>
  <c r="AF27" i="46"/>
  <c r="AH27" i="46" s="1"/>
  <c r="X27" i="46"/>
  <c r="S27" i="46"/>
  <c r="AN27" i="46" s="1"/>
  <c r="AP27" i="46" s="1"/>
  <c r="I27" i="46"/>
  <c r="H27" i="46"/>
  <c r="G27" i="46"/>
  <c r="F27" i="46"/>
  <c r="E27" i="46"/>
  <c r="D27" i="46"/>
  <c r="C27" i="46"/>
  <c r="B27" i="46"/>
  <c r="AO26" i="46"/>
  <c r="AL26" i="46"/>
  <c r="AK26" i="46"/>
  <c r="AH26" i="46"/>
  <c r="AF26" i="46"/>
  <c r="X26" i="46"/>
  <c r="S26" i="46"/>
  <c r="AN26" i="46" s="1"/>
  <c r="I26" i="46"/>
  <c r="H26" i="46"/>
  <c r="G26" i="46"/>
  <c r="F26" i="46"/>
  <c r="E26" i="46"/>
  <c r="D26" i="46"/>
  <c r="C26" i="46"/>
  <c r="B26" i="46"/>
  <c r="AO25" i="46"/>
  <c r="AL25" i="46"/>
  <c r="AK25" i="46"/>
  <c r="AF25" i="46"/>
  <c r="AH25" i="46" s="1"/>
  <c r="X25" i="46"/>
  <c r="S25" i="46"/>
  <c r="U25" i="46" s="1"/>
  <c r="I25" i="46"/>
  <c r="H25" i="46"/>
  <c r="G25" i="46"/>
  <c r="F25" i="46"/>
  <c r="E25" i="46"/>
  <c r="D25" i="46"/>
  <c r="C25" i="46"/>
  <c r="B25" i="46"/>
  <c r="AO24" i="46"/>
  <c r="AM24" i="46"/>
  <c r="AL24" i="46"/>
  <c r="AK24" i="46"/>
  <c r="AH24" i="46"/>
  <c r="AF24" i="46"/>
  <c r="X24" i="46"/>
  <c r="S24" i="46"/>
  <c r="U24" i="46" s="1"/>
  <c r="I24" i="46"/>
  <c r="H24" i="46"/>
  <c r="G24" i="46"/>
  <c r="F24" i="46"/>
  <c r="E24" i="46"/>
  <c r="D24" i="46"/>
  <c r="C24" i="46"/>
  <c r="B24" i="46"/>
  <c r="AO23" i="46"/>
  <c r="AL23" i="46"/>
  <c r="AK23" i="46"/>
  <c r="AF23" i="46"/>
  <c r="AH23" i="46" s="1"/>
  <c r="X23" i="46"/>
  <c r="AM23" i="46" s="1"/>
  <c r="S23" i="46"/>
  <c r="U23" i="46" s="1"/>
  <c r="I23" i="46"/>
  <c r="H23" i="46"/>
  <c r="G23" i="46"/>
  <c r="F23" i="46"/>
  <c r="E23" i="46"/>
  <c r="D23" i="46"/>
  <c r="C23" i="46"/>
  <c r="B23" i="46"/>
  <c r="AO22" i="46"/>
  <c r="AL22" i="46"/>
  <c r="AK22" i="46"/>
  <c r="AF22" i="46"/>
  <c r="AH22" i="46" s="1"/>
  <c r="X22" i="46"/>
  <c r="AM22" i="46" s="1"/>
  <c r="U22" i="46"/>
  <c r="S22" i="46"/>
  <c r="I22" i="46"/>
  <c r="H22" i="46"/>
  <c r="G22" i="46"/>
  <c r="F22" i="46"/>
  <c r="E22" i="46"/>
  <c r="D22" i="46"/>
  <c r="C22" i="46"/>
  <c r="B22" i="46"/>
  <c r="AO21" i="46"/>
  <c r="AL21" i="46"/>
  <c r="AK21" i="46"/>
  <c r="AM21" i="46" s="1"/>
  <c r="AF21" i="46"/>
  <c r="AH21" i="46" s="1"/>
  <c r="X21" i="46"/>
  <c r="S21" i="46"/>
  <c r="U21" i="46" s="1"/>
  <c r="I21" i="46"/>
  <c r="H21" i="46"/>
  <c r="G21" i="46"/>
  <c r="F21" i="46"/>
  <c r="E21" i="46"/>
  <c r="D21" i="46"/>
  <c r="C21" i="46"/>
  <c r="B21" i="46"/>
  <c r="AO20" i="46"/>
  <c r="AL20" i="46"/>
  <c r="AK20" i="46"/>
  <c r="AF20" i="46"/>
  <c r="AH20" i="46" s="1"/>
  <c r="X20" i="46"/>
  <c r="AM20" i="46" s="1"/>
  <c r="S20" i="46"/>
  <c r="U20" i="46" s="1"/>
  <c r="I20" i="46"/>
  <c r="H20" i="46"/>
  <c r="G20" i="46"/>
  <c r="F20" i="46"/>
  <c r="E20" i="46"/>
  <c r="D20" i="46"/>
  <c r="C20" i="46"/>
  <c r="B20" i="46"/>
  <c r="AO19" i="46"/>
  <c r="AL19" i="46"/>
  <c r="AK19" i="46"/>
  <c r="AF19" i="46"/>
  <c r="AH19" i="46" s="1"/>
  <c r="X19" i="46"/>
  <c r="S19" i="46"/>
  <c r="U19" i="46" s="1"/>
  <c r="I19" i="46"/>
  <c r="H19" i="46"/>
  <c r="G19" i="46"/>
  <c r="F19" i="46"/>
  <c r="E19" i="46"/>
  <c r="D19" i="46"/>
  <c r="C19" i="46"/>
  <c r="B19" i="46"/>
  <c r="AO18" i="46"/>
  <c r="AL18" i="46"/>
  <c r="AK18" i="46"/>
  <c r="AF18" i="46"/>
  <c r="AH18" i="46" s="1"/>
  <c r="X18" i="46"/>
  <c r="S18" i="46"/>
  <c r="U18" i="46" s="1"/>
  <c r="I18" i="46"/>
  <c r="H18" i="46"/>
  <c r="G18" i="46"/>
  <c r="F18" i="46"/>
  <c r="E18" i="46"/>
  <c r="D18" i="46"/>
  <c r="C18" i="46"/>
  <c r="B18" i="46"/>
  <c r="AO17" i="46"/>
  <c r="AL17" i="46"/>
  <c r="AK17" i="46"/>
  <c r="AM17" i="46" s="1"/>
  <c r="AF17" i="46"/>
  <c r="AH17" i="46" s="1"/>
  <c r="X17" i="46"/>
  <c r="S17" i="46"/>
  <c r="U17" i="46" s="1"/>
  <c r="I17" i="46"/>
  <c r="H17" i="46"/>
  <c r="G17" i="46"/>
  <c r="F17" i="46"/>
  <c r="E17" i="46"/>
  <c r="D17" i="46"/>
  <c r="C17" i="46"/>
  <c r="B17" i="46"/>
  <c r="AO16" i="46"/>
  <c r="AL16" i="46"/>
  <c r="AK16" i="46"/>
  <c r="AM16" i="46" s="1"/>
  <c r="AH16" i="46"/>
  <c r="AF16" i="46"/>
  <c r="X16" i="46"/>
  <c r="S16" i="46"/>
  <c r="U16" i="46" s="1"/>
  <c r="I16" i="46"/>
  <c r="H16" i="46"/>
  <c r="G16" i="46"/>
  <c r="F16" i="46"/>
  <c r="E16" i="46"/>
  <c r="D16" i="46"/>
  <c r="C16" i="46"/>
  <c r="B16" i="46"/>
  <c r="AO15" i="46"/>
  <c r="AL15" i="46"/>
  <c r="AK15" i="46"/>
  <c r="AF15" i="46"/>
  <c r="AH15" i="46" s="1"/>
  <c r="X15" i="46"/>
  <c r="S15" i="46"/>
  <c r="I15" i="46"/>
  <c r="H15" i="46"/>
  <c r="G15" i="46"/>
  <c r="F15" i="46"/>
  <c r="E15" i="46"/>
  <c r="D15" i="46"/>
  <c r="C15" i="46"/>
  <c r="B15" i="46"/>
  <c r="AO14" i="46"/>
  <c r="AL14" i="46"/>
  <c r="AK14" i="46"/>
  <c r="AF14" i="46"/>
  <c r="AH14" i="46" s="1"/>
  <c r="X14" i="46"/>
  <c r="S14" i="46"/>
  <c r="I14" i="46"/>
  <c r="H14" i="46"/>
  <c r="G14" i="46"/>
  <c r="F14" i="46"/>
  <c r="E14" i="46"/>
  <c r="D14" i="46"/>
  <c r="C14" i="46"/>
  <c r="B14" i="46"/>
  <c r="AO13" i="46"/>
  <c r="AL13" i="46"/>
  <c r="AK13" i="46"/>
  <c r="AM13" i="46" s="1"/>
  <c r="AF13" i="46"/>
  <c r="AH13" i="46" s="1"/>
  <c r="X13" i="46"/>
  <c r="S13" i="46"/>
  <c r="U13" i="46" s="1"/>
  <c r="I13" i="46"/>
  <c r="H13" i="46"/>
  <c r="G13" i="46"/>
  <c r="F13" i="46"/>
  <c r="E13" i="46"/>
  <c r="D13" i="46"/>
  <c r="C13" i="46"/>
  <c r="B13" i="46"/>
  <c r="AO12" i="46"/>
  <c r="AL12" i="46"/>
  <c r="AK12" i="46"/>
  <c r="AF12" i="46"/>
  <c r="AH12" i="46" s="1"/>
  <c r="X12" i="46"/>
  <c r="AM12" i="46" s="1"/>
  <c r="S12" i="46"/>
  <c r="U12" i="46" s="1"/>
  <c r="I12" i="46"/>
  <c r="H12" i="46"/>
  <c r="G12" i="46"/>
  <c r="F12" i="46"/>
  <c r="E12" i="46"/>
  <c r="D12" i="46"/>
  <c r="C12" i="46"/>
  <c r="B12" i="46"/>
  <c r="AO11" i="46"/>
  <c r="AL11" i="46"/>
  <c r="AK11" i="46"/>
  <c r="AF11" i="46"/>
  <c r="AH11" i="46" s="1"/>
  <c r="X11" i="46"/>
  <c r="S11" i="46"/>
  <c r="U11" i="46" s="1"/>
  <c r="I11" i="46"/>
  <c r="H11" i="46"/>
  <c r="G11" i="46"/>
  <c r="F11" i="46"/>
  <c r="E11" i="46"/>
  <c r="D11" i="46"/>
  <c r="C11" i="46"/>
  <c r="B11" i="46"/>
  <c r="AO10" i="46"/>
  <c r="AL10" i="46"/>
  <c r="AK10" i="46"/>
  <c r="AF10" i="46"/>
  <c r="AH10" i="46" s="1"/>
  <c r="X10" i="46"/>
  <c r="S10" i="46"/>
  <c r="I10" i="46"/>
  <c r="H10" i="46"/>
  <c r="G10" i="46"/>
  <c r="F10" i="46"/>
  <c r="E10" i="46"/>
  <c r="C10" i="46"/>
  <c r="B10" i="46"/>
  <c r="AO9" i="46"/>
  <c r="AL9" i="46"/>
  <c r="AK9" i="46"/>
  <c r="AF9" i="46"/>
  <c r="AH9" i="46" s="1"/>
  <c r="X9" i="46"/>
  <c r="S9" i="46"/>
  <c r="I9" i="46"/>
  <c r="H9" i="46"/>
  <c r="G9" i="46"/>
  <c r="F9" i="46"/>
  <c r="E9" i="46"/>
  <c r="D9" i="46"/>
  <c r="C9" i="46"/>
  <c r="B9" i="46"/>
  <c r="AO8" i="46"/>
  <c r="AM8" i="46"/>
  <c r="AL8" i="46"/>
  <c r="AK8" i="46"/>
  <c r="AF8" i="46"/>
  <c r="AH8" i="46" s="1"/>
  <c r="X8" i="46"/>
  <c r="S8" i="46"/>
  <c r="U8" i="46" s="1"/>
  <c r="I8" i="46"/>
  <c r="H8" i="46"/>
  <c r="G8" i="46"/>
  <c r="F8" i="46"/>
  <c r="E8" i="46"/>
  <c r="D8" i="46"/>
  <c r="C8" i="46"/>
  <c r="B8" i="46"/>
  <c r="AO7" i="46"/>
  <c r="AL7" i="46"/>
  <c r="AK7" i="46"/>
  <c r="AF7" i="46"/>
  <c r="AH7" i="46" s="1"/>
  <c r="X7" i="46"/>
  <c r="AM7" i="46" s="1"/>
  <c r="S7" i="46"/>
  <c r="AN7" i="46" s="1"/>
  <c r="I7" i="46"/>
  <c r="H7" i="46"/>
  <c r="G7" i="46"/>
  <c r="F7" i="46"/>
  <c r="E7" i="46"/>
  <c r="D7" i="46"/>
  <c r="C7" i="46"/>
  <c r="B7" i="46"/>
  <c r="AO6" i="46"/>
  <c r="AL6" i="46"/>
  <c r="AK6" i="46"/>
  <c r="AK58" i="46" s="1"/>
  <c r="AH6" i="46"/>
  <c r="AF6" i="46"/>
  <c r="X6" i="46"/>
  <c r="S6" i="46"/>
  <c r="U6" i="46" s="1"/>
  <c r="I6" i="46"/>
  <c r="H6" i="46"/>
  <c r="G6" i="46"/>
  <c r="F6" i="46"/>
  <c r="E6" i="46"/>
  <c r="D6" i="46"/>
  <c r="C6" i="46"/>
  <c r="B6" i="46"/>
  <c r="H2" i="46"/>
  <c r="E2" i="46"/>
  <c r="C2" i="46"/>
  <c r="AG28" i="20"/>
  <c r="AG27" i="20"/>
  <c r="AG26" i="20"/>
  <c r="AG25" i="20"/>
  <c r="U25" i="20"/>
  <c r="AP2" i="45"/>
  <c r="AP69" i="45" s="1"/>
  <c r="AB2" i="45"/>
  <c r="AB69" i="45" s="1"/>
  <c r="N2" i="45"/>
  <c r="N69" i="45" s="1"/>
  <c r="AG163" i="45"/>
  <c r="AG31" i="20" s="1"/>
  <c r="J66" i="45"/>
  <c r="J65" i="45"/>
  <c r="AG162" i="45" s="1"/>
  <c r="AG30" i="20" s="1"/>
  <c r="J64" i="45"/>
  <c r="AG161" i="45" s="1"/>
  <c r="AG29" i="20" s="1"/>
  <c r="J63" i="45"/>
  <c r="AG160" i="45" s="1"/>
  <c r="AQ61" i="45"/>
  <c r="AJ61" i="45"/>
  <c r="AI61" i="45"/>
  <c r="AG61" i="45"/>
  <c r="AE61" i="45"/>
  <c r="AD61" i="45"/>
  <c r="AC61" i="45"/>
  <c r="AB61" i="45"/>
  <c r="AA61" i="45"/>
  <c r="Z61" i="45"/>
  <c r="Y61" i="45"/>
  <c r="W61" i="45"/>
  <c r="V61" i="45"/>
  <c r="T61" i="45"/>
  <c r="R61" i="45"/>
  <c r="Q61" i="45"/>
  <c r="P61" i="45"/>
  <c r="O61" i="45"/>
  <c r="N61" i="45"/>
  <c r="M61" i="45"/>
  <c r="L61" i="45"/>
  <c r="K61" i="45"/>
  <c r="AQ60" i="45"/>
  <c r="AJ60" i="45"/>
  <c r="AI60" i="45"/>
  <c r="AG60" i="45"/>
  <c r="AE60" i="45"/>
  <c r="AD60" i="45"/>
  <c r="AC60" i="45"/>
  <c r="AB60" i="45"/>
  <c r="AA60" i="45"/>
  <c r="Z60" i="45"/>
  <c r="Y60" i="45"/>
  <c r="W60" i="45"/>
  <c r="V60" i="45"/>
  <c r="T60" i="45"/>
  <c r="R60" i="45"/>
  <c r="Q60" i="45"/>
  <c r="P60" i="45"/>
  <c r="O60" i="45"/>
  <c r="N60" i="45"/>
  <c r="M60" i="45"/>
  <c r="L60" i="45"/>
  <c r="K60" i="45"/>
  <c r="AQ59" i="45"/>
  <c r="AJ59" i="45"/>
  <c r="AI59" i="45"/>
  <c r="AG59" i="45"/>
  <c r="AE59" i="45"/>
  <c r="AD59" i="45"/>
  <c r="AC59" i="45"/>
  <c r="AB59" i="45"/>
  <c r="AA59" i="45"/>
  <c r="Z59" i="45"/>
  <c r="Y59" i="45"/>
  <c r="W59" i="45"/>
  <c r="V59" i="45"/>
  <c r="T59" i="45"/>
  <c r="R59" i="45"/>
  <c r="Q59" i="45"/>
  <c r="P59" i="45"/>
  <c r="O59" i="45"/>
  <c r="N59" i="45"/>
  <c r="M59" i="45"/>
  <c r="L59" i="45"/>
  <c r="K59" i="45"/>
  <c r="AQ58" i="45"/>
  <c r="AJ58" i="45"/>
  <c r="AI58" i="45"/>
  <c r="AG58" i="45"/>
  <c r="AG62" i="45" s="1"/>
  <c r="AG66" i="45" s="1"/>
  <c r="Y163" i="45" s="1"/>
  <c r="Y31" i="20" s="1"/>
  <c r="AE58" i="45"/>
  <c r="AD58" i="45"/>
  <c r="AC58" i="45"/>
  <c r="AB58" i="45"/>
  <c r="AA58" i="45"/>
  <c r="Z58" i="45"/>
  <c r="Y58" i="45"/>
  <c r="Y62" i="45" s="1"/>
  <c r="Y66" i="45" s="1"/>
  <c r="U163" i="45" s="1"/>
  <c r="U31" i="20" s="1"/>
  <c r="W58" i="45"/>
  <c r="W62" i="45" s="1"/>
  <c r="W63" i="45" s="1"/>
  <c r="Q160" i="45" s="1"/>
  <c r="Q28" i="20" s="1"/>
  <c r="V58" i="45"/>
  <c r="T58" i="45"/>
  <c r="R58" i="45"/>
  <c r="Q58" i="45"/>
  <c r="P58" i="45"/>
  <c r="O58" i="45"/>
  <c r="N58" i="45"/>
  <c r="M58" i="45"/>
  <c r="L58" i="45"/>
  <c r="K58" i="45"/>
  <c r="AQ56" i="45"/>
  <c r="AF157" i="45" s="1"/>
  <c r="AF25" i="20" s="1"/>
  <c r="AJ56" i="45"/>
  <c r="W157" i="45" s="1"/>
  <c r="W25" i="20" s="1"/>
  <c r="AI56" i="45"/>
  <c r="V157" i="45" s="1"/>
  <c r="V25" i="20" s="1"/>
  <c r="AG56" i="45"/>
  <c r="Y157" i="45" s="1"/>
  <c r="Y25" i="20" s="1"/>
  <c r="AE56" i="45"/>
  <c r="AD56" i="45"/>
  <c r="AC56" i="45"/>
  <c r="AB56" i="45"/>
  <c r="AA56" i="45"/>
  <c r="Z56" i="45"/>
  <c r="Y56" i="45"/>
  <c r="U157" i="45" s="1"/>
  <c r="W56" i="45"/>
  <c r="Q157" i="45" s="1"/>
  <c r="Q25" i="20" s="1"/>
  <c r="V56" i="45"/>
  <c r="P157" i="45" s="1"/>
  <c r="P25" i="20" s="1"/>
  <c r="T56" i="45"/>
  <c r="S157" i="45" s="1"/>
  <c r="S25" i="20" s="1"/>
  <c r="R56" i="45"/>
  <c r="Q56" i="45"/>
  <c r="P56" i="45"/>
  <c r="O56" i="45"/>
  <c r="N56" i="45"/>
  <c r="M56" i="45"/>
  <c r="L56" i="45"/>
  <c r="O157" i="45" s="1"/>
  <c r="O25" i="20" s="1"/>
  <c r="K56" i="45"/>
  <c r="N157" i="45" s="1"/>
  <c r="N25" i="20" s="1"/>
  <c r="AO55" i="45"/>
  <c r="AL55" i="45"/>
  <c r="AK55" i="45"/>
  <c r="AF55" i="45"/>
  <c r="AH55" i="45" s="1"/>
  <c r="X55" i="45"/>
  <c r="AM55" i="45" s="1"/>
  <c r="S55" i="45"/>
  <c r="U55" i="45" s="1"/>
  <c r="I55" i="45"/>
  <c r="H55" i="45"/>
  <c r="G55" i="45"/>
  <c r="F55" i="45"/>
  <c r="E55" i="45"/>
  <c r="D55" i="45"/>
  <c r="C55" i="45"/>
  <c r="B55" i="45"/>
  <c r="AO54" i="45"/>
  <c r="AL54" i="45"/>
  <c r="AK54" i="45"/>
  <c r="AF54" i="45"/>
  <c r="AH54" i="45" s="1"/>
  <c r="X54" i="45"/>
  <c r="S54" i="45"/>
  <c r="AN54" i="45" s="1"/>
  <c r="I54" i="45"/>
  <c r="H54" i="45"/>
  <c r="G54" i="45"/>
  <c r="F54" i="45"/>
  <c r="E54" i="45"/>
  <c r="D54" i="45"/>
  <c r="C54" i="45"/>
  <c r="B54" i="45"/>
  <c r="AO53" i="45"/>
  <c r="AL53" i="45"/>
  <c r="AK53" i="45"/>
  <c r="AH53" i="45"/>
  <c r="AF53" i="45"/>
  <c r="X53" i="45"/>
  <c r="S53" i="45"/>
  <c r="AN53" i="45" s="1"/>
  <c r="I53" i="45"/>
  <c r="H53" i="45"/>
  <c r="G53" i="45"/>
  <c r="F53" i="45"/>
  <c r="E53" i="45"/>
  <c r="D53" i="45"/>
  <c r="C53" i="45"/>
  <c r="B53" i="45"/>
  <c r="AO52" i="45"/>
  <c r="AL52" i="45"/>
  <c r="AK52" i="45"/>
  <c r="AH52" i="45"/>
  <c r="AF52" i="45"/>
  <c r="X52" i="45"/>
  <c r="AM52" i="45" s="1"/>
  <c r="S52" i="45"/>
  <c r="U52" i="45" s="1"/>
  <c r="I52" i="45"/>
  <c r="H52" i="45"/>
  <c r="G52" i="45"/>
  <c r="F52" i="45"/>
  <c r="E52" i="45"/>
  <c r="D52" i="45"/>
  <c r="C52" i="45"/>
  <c r="B52" i="45"/>
  <c r="AO51" i="45"/>
  <c r="AL51" i="45"/>
  <c r="AK51" i="45"/>
  <c r="AF51" i="45"/>
  <c r="AH51" i="45" s="1"/>
  <c r="X51" i="45"/>
  <c r="AM51" i="45" s="1"/>
  <c r="S51" i="45"/>
  <c r="I51" i="45"/>
  <c r="H51" i="45"/>
  <c r="G51" i="45"/>
  <c r="F51" i="45"/>
  <c r="E51" i="45"/>
  <c r="D51" i="45"/>
  <c r="C51" i="45"/>
  <c r="B51" i="45"/>
  <c r="AO50" i="45"/>
  <c r="AL50" i="45"/>
  <c r="AK50" i="45"/>
  <c r="AF50" i="45"/>
  <c r="AH50" i="45" s="1"/>
  <c r="X50" i="45"/>
  <c r="S50" i="45"/>
  <c r="U50" i="45" s="1"/>
  <c r="I50" i="45"/>
  <c r="H50" i="45"/>
  <c r="G50" i="45"/>
  <c r="F50" i="45"/>
  <c r="E50" i="45"/>
  <c r="D50" i="45"/>
  <c r="C50" i="45"/>
  <c r="B50" i="45"/>
  <c r="AO49" i="45"/>
  <c r="AL49" i="45"/>
  <c r="AK49" i="45"/>
  <c r="AM49" i="45" s="1"/>
  <c r="AF49" i="45"/>
  <c r="AH49" i="45" s="1"/>
  <c r="X49" i="45"/>
  <c r="S49" i="45"/>
  <c r="U49" i="45" s="1"/>
  <c r="I49" i="45"/>
  <c r="H49" i="45"/>
  <c r="G49" i="45"/>
  <c r="F49" i="45"/>
  <c r="E49" i="45"/>
  <c r="D49" i="45"/>
  <c r="C49" i="45"/>
  <c r="B49" i="45"/>
  <c r="AO48" i="45"/>
  <c r="AL48" i="45"/>
  <c r="AK48" i="45"/>
  <c r="AF48" i="45"/>
  <c r="AH48" i="45" s="1"/>
  <c r="X48" i="45"/>
  <c r="AM48" i="45" s="1"/>
  <c r="S48" i="45"/>
  <c r="U48" i="45" s="1"/>
  <c r="I48" i="45"/>
  <c r="H48" i="45"/>
  <c r="G48" i="45"/>
  <c r="F48" i="45"/>
  <c r="E48" i="45"/>
  <c r="D48" i="45"/>
  <c r="C48" i="45"/>
  <c r="B48" i="45"/>
  <c r="AO47" i="45"/>
  <c r="AL47" i="45"/>
  <c r="AK47" i="45"/>
  <c r="AF47" i="45"/>
  <c r="AH47" i="45" s="1"/>
  <c r="X47" i="45"/>
  <c r="U47" i="45"/>
  <c r="S47" i="45"/>
  <c r="AN47" i="45" s="1"/>
  <c r="I47" i="45"/>
  <c r="H47" i="45"/>
  <c r="G47" i="45"/>
  <c r="F47" i="45"/>
  <c r="E47" i="45"/>
  <c r="D47" i="45"/>
  <c r="C47" i="45"/>
  <c r="B47" i="45"/>
  <c r="AO46" i="45"/>
  <c r="AL46" i="45"/>
  <c r="AK46" i="45"/>
  <c r="AM46" i="45" s="1"/>
  <c r="AF46" i="45"/>
  <c r="AH46" i="45" s="1"/>
  <c r="X46" i="45"/>
  <c r="S46" i="45"/>
  <c r="AN46" i="45" s="1"/>
  <c r="I46" i="45"/>
  <c r="H46" i="45"/>
  <c r="G46" i="45"/>
  <c r="F46" i="45"/>
  <c r="E46" i="45"/>
  <c r="D46" i="45"/>
  <c r="C46" i="45"/>
  <c r="B46" i="45"/>
  <c r="AO45" i="45"/>
  <c r="AL45" i="45"/>
  <c r="AK45" i="45"/>
  <c r="AH45" i="45"/>
  <c r="AF45" i="45"/>
  <c r="X45" i="45"/>
  <c r="AM45" i="45" s="1"/>
  <c r="U45" i="45"/>
  <c r="S45" i="45"/>
  <c r="AN45" i="45" s="1"/>
  <c r="I45" i="45"/>
  <c r="H45" i="45"/>
  <c r="G45" i="45"/>
  <c r="F45" i="45"/>
  <c r="E45" i="45"/>
  <c r="D45" i="45"/>
  <c r="C45" i="45"/>
  <c r="B45" i="45"/>
  <c r="AO44" i="45"/>
  <c r="AL44" i="45"/>
  <c r="AK44" i="45"/>
  <c r="AF44" i="45"/>
  <c r="AH44" i="45" s="1"/>
  <c r="X44" i="45"/>
  <c r="AM44" i="45" s="1"/>
  <c r="S44" i="45"/>
  <c r="U44" i="45" s="1"/>
  <c r="I44" i="45"/>
  <c r="H44" i="45"/>
  <c r="G44" i="45"/>
  <c r="F44" i="45"/>
  <c r="E44" i="45"/>
  <c r="D44" i="45"/>
  <c r="C44" i="45"/>
  <c r="B44" i="45"/>
  <c r="AO43" i="45"/>
  <c r="AL43" i="45"/>
  <c r="AK43" i="45"/>
  <c r="AF43" i="45"/>
  <c r="AH43" i="45" s="1"/>
  <c r="X43" i="45"/>
  <c r="S43" i="45"/>
  <c r="AN43" i="45" s="1"/>
  <c r="AP43" i="45" s="1"/>
  <c r="I43" i="45"/>
  <c r="H43" i="45"/>
  <c r="G43" i="45"/>
  <c r="F43" i="45"/>
  <c r="E43" i="45"/>
  <c r="D43" i="45"/>
  <c r="C43" i="45"/>
  <c r="B43" i="45"/>
  <c r="AO42" i="45"/>
  <c r="AL42" i="45"/>
  <c r="AK42" i="45"/>
  <c r="AH42" i="45"/>
  <c r="AF42" i="45"/>
  <c r="X42" i="45"/>
  <c r="S42" i="45"/>
  <c r="U42" i="45" s="1"/>
  <c r="I42" i="45"/>
  <c r="H42" i="45"/>
  <c r="G42" i="45"/>
  <c r="F42" i="45"/>
  <c r="E42" i="45"/>
  <c r="D42" i="45"/>
  <c r="C42" i="45"/>
  <c r="B42" i="45"/>
  <c r="AO41" i="45"/>
  <c r="AL41" i="45"/>
  <c r="AK41" i="45"/>
  <c r="AF41" i="45"/>
  <c r="AH41" i="45" s="1"/>
  <c r="X41" i="45"/>
  <c r="S41" i="45"/>
  <c r="U41" i="45" s="1"/>
  <c r="I41" i="45"/>
  <c r="H41" i="45"/>
  <c r="G41" i="45"/>
  <c r="F41" i="45"/>
  <c r="E41" i="45"/>
  <c r="D41" i="45"/>
  <c r="C41" i="45"/>
  <c r="B41" i="45"/>
  <c r="AO40" i="45"/>
  <c r="AL40" i="45"/>
  <c r="AK40" i="45"/>
  <c r="AF40" i="45"/>
  <c r="AH40" i="45" s="1"/>
  <c r="X40" i="45"/>
  <c r="S40" i="45"/>
  <c r="U40" i="45" s="1"/>
  <c r="I40" i="45"/>
  <c r="H40" i="45"/>
  <c r="G40" i="45"/>
  <c r="F40" i="45"/>
  <c r="E40" i="45"/>
  <c r="D40" i="45"/>
  <c r="C40" i="45"/>
  <c r="B40" i="45"/>
  <c r="AO39" i="45"/>
  <c r="AL39" i="45"/>
  <c r="AK39" i="45"/>
  <c r="AF39" i="45"/>
  <c r="AH39" i="45" s="1"/>
  <c r="X39" i="45"/>
  <c r="AM39" i="45" s="1"/>
  <c r="U39" i="45"/>
  <c r="S39" i="45"/>
  <c r="I39" i="45"/>
  <c r="H39" i="45"/>
  <c r="G39" i="45"/>
  <c r="F39" i="45"/>
  <c r="E39" i="45"/>
  <c r="D39" i="45"/>
  <c r="C39" i="45"/>
  <c r="B39" i="45"/>
  <c r="AO38" i="45"/>
  <c r="AL38" i="45"/>
  <c r="AK38" i="45"/>
  <c r="AF38" i="45"/>
  <c r="AH38" i="45" s="1"/>
  <c r="X38" i="45"/>
  <c r="U38" i="45"/>
  <c r="S38" i="45"/>
  <c r="I38" i="45"/>
  <c r="H38" i="45"/>
  <c r="G38" i="45"/>
  <c r="F38" i="45"/>
  <c r="E38" i="45"/>
  <c r="D38" i="45"/>
  <c r="C38" i="45"/>
  <c r="B38" i="45"/>
  <c r="AO37" i="45"/>
  <c r="AM37" i="45"/>
  <c r="AL37" i="45"/>
  <c r="AK37" i="45"/>
  <c r="AF37" i="45"/>
  <c r="AH37" i="45" s="1"/>
  <c r="X37" i="45"/>
  <c r="S37" i="45"/>
  <c r="I37" i="45"/>
  <c r="H37" i="45"/>
  <c r="G37" i="45"/>
  <c r="F37" i="45"/>
  <c r="E37" i="45"/>
  <c r="D37" i="45"/>
  <c r="C37" i="45"/>
  <c r="B37" i="45"/>
  <c r="AO36" i="45"/>
  <c r="AM36" i="45"/>
  <c r="AL36" i="45"/>
  <c r="AK36" i="45"/>
  <c r="AH36" i="45"/>
  <c r="AF36" i="45"/>
  <c r="X36" i="45"/>
  <c r="S36" i="45"/>
  <c r="U36" i="45" s="1"/>
  <c r="I36" i="45"/>
  <c r="H36" i="45"/>
  <c r="G36" i="45"/>
  <c r="F36" i="45"/>
  <c r="E36" i="45"/>
  <c r="D36" i="45"/>
  <c r="C36" i="45"/>
  <c r="B36" i="45"/>
  <c r="AO35" i="45"/>
  <c r="AL35" i="45"/>
  <c r="AK35" i="45"/>
  <c r="AF35" i="45"/>
  <c r="AH35" i="45" s="1"/>
  <c r="X35" i="45"/>
  <c r="AM35" i="45" s="1"/>
  <c r="S35" i="45"/>
  <c r="U35" i="45" s="1"/>
  <c r="I35" i="45"/>
  <c r="H35" i="45"/>
  <c r="G35" i="45"/>
  <c r="F35" i="45"/>
  <c r="E35" i="45"/>
  <c r="D35" i="45"/>
  <c r="C35" i="45"/>
  <c r="B35" i="45"/>
  <c r="AO34" i="45"/>
  <c r="AL34" i="45"/>
  <c r="AK34" i="45"/>
  <c r="AH34" i="45"/>
  <c r="AF34" i="45"/>
  <c r="X34" i="45"/>
  <c r="S34" i="45"/>
  <c r="U34" i="45" s="1"/>
  <c r="I34" i="45"/>
  <c r="H34" i="45"/>
  <c r="G34" i="45"/>
  <c r="F34" i="45"/>
  <c r="E34" i="45"/>
  <c r="D34" i="45"/>
  <c r="C34" i="45"/>
  <c r="B34" i="45"/>
  <c r="AO33" i="45"/>
  <c r="AL33" i="45"/>
  <c r="AK33" i="45"/>
  <c r="AM33" i="45" s="1"/>
  <c r="AF33" i="45"/>
  <c r="AH33" i="45" s="1"/>
  <c r="X33" i="45"/>
  <c r="S33" i="45"/>
  <c r="U33" i="45" s="1"/>
  <c r="I33" i="45"/>
  <c r="H33" i="45"/>
  <c r="G33" i="45"/>
  <c r="F33" i="45"/>
  <c r="E33" i="45"/>
  <c r="D33" i="45"/>
  <c r="C33" i="45"/>
  <c r="B33" i="45"/>
  <c r="AO32" i="45"/>
  <c r="AL32" i="45"/>
  <c r="AK32" i="45"/>
  <c r="AF32" i="45"/>
  <c r="AH32" i="45" s="1"/>
  <c r="X32" i="45"/>
  <c r="AM32" i="45" s="1"/>
  <c r="S32" i="45"/>
  <c r="U32" i="45" s="1"/>
  <c r="I32" i="45"/>
  <c r="H32" i="45"/>
  <c r="G32" i="45"/>
  <c r="F32" i="45"/>
  <c r="E32" i="45"/>
  <c r="D32" i="45"/>
  <c r="C32" i="45"/>
  <c r="B32" i="45"/>
  <c r="AO31" i="45"/>
  <c r="AL31" i="45"/>
  <c r="AK31" i="45"/>
  <c r="AF31" i="45"/>
  <c r="AH31" i="45" s="1"/>
  <c r="X31" i="45"/>
  <c r="S31" i="45"/>
  <c r="AN31" i="45" s="1"/>
  <c r="I31" i="45"/>
  <c r="H31" i="45"/>
  <c r="G31" i="45"/>
  <c r="F31" i="45"/>
  <c r="E31" i="45"/>
  <c r="D31" i="45"/>
  <c r="C31" i="45"/>
  <c r="B31" i="45"/>
  <c r="AO30" i="45"/>
  <c r="AL30" i="45"/>
  <c r="AK30" i="45"/>
  <c r="AH30" i="45"/>
  <c r="AF30" i="45"/>
  <c r="X30" i="45"/>
  <c r="S30" i="45"/>
  <c r="AN30" i="45" s="1"/>
  <c r="I30" i="45"/>
  <c r="H30" i="45"/>
  <c r="G30" i="45"/>
  <c r="F30" i="45"/>
  <c r="E30" i="45"/>
  <c r="D30" i="45"/>
  <c r="C30" i="45"/>
  <c r="B30" i="45"/>
  <c r="AO29" i="45"/>
  <c r="AL29" i="45"/>
  <c r="AK29" i="45"/>
  <c r="AH29" i="45"/>
  <c r="AF29" i="45"/>
  <c r="X29" i="45"/>
  <c r="AM29" i="45" s="1"/>
  <c r="S29" i="45"/>
  <c r="AN29" i="45" s="1"/>
  <c r="I29" i="45"/>
  <c r="H29" i="45"/>
  <c r="G29" i="45"/>
  <c r="F29" i="45"/>
  <c r="E29" i="45"/>
  <c r="D29" i="45"/>
  <c r="C29" i="45"/>
  <c r="B29" i="45"/>
  <c r="AO28" i="45"/>
  <c r="AL28" i="45"/>
  <c r="AK28" i="45"/>
  <c r="AF28" i="45"/>
  <c r="AH28" i="45" s="1"/>
  <c r="X28" i="45"/>
  <c r="AM28" i="45" s="1"/>
  <c r="S28" i="45"/>
  <c r="U28" i="45" s="1"/>
  <c r="I28" i="45"/>
  <c r="H28" i="45"/>
  <c r="G28" i="45"/>
  <c r="F28" i="45"/>
  <c r="E28" i="45"/>
  <c r="D28" i="45"/>
  <c r="C28" i="45"/>
  <c r="B28" i="45"/>
  <c r="AO27" i="45"/>
  <c r="AL27" i="45"/>
  <c r="AK27" i="45"/>
  <c r="AF27" i="45"/>
  <c r="AH27" i="45" s="1"/>
  <c r="X27" i="45"/>
  <c r="S27" i="45"/>
  <c r="I27" i="45"/>
  <c r="H27" i="45"/>
  <c r="G27" i="45"/>
  <c r="F27" i="45"/>
  <c r="E27" i="45"/>
  <c r="D27" i="45"/>
  <c r="C27" i="45"/>
  <c r="B27" i="45"/>
  <c r="AO26" i="45"/>
  <c r="AL26" i="45"/>
  <c r="AK26" i="45"/>
  <c r="AF26" i="45"/>
  <c r="AH26" i="45" s="1"/>
  <c r="X26" i="45"/>
  <c r="S26" i="45"/>
  <c r="U26" i="45" s="1"/>
  <c r="I26" i="45"/>
  <c r="H26" i="45"/>
  <c r="G26" i="45"/>
  <c r="F26" i="45"/>
  <c r="E26" i="45"/>
  <c r="D26" i="45"/>
  <c r="C26" i="45"/>
  <c r="B26" i="45"/>
  <c r="AO25" i="45"/>
  <c r="AL25" i="45"/>
  <c r="AK25" i="45"/>
  <c r="AF25" i="45"/>
  <c r="AH25" i="45" s="1"/>
  <c r="X25" i="45"/>
  <c r="S25" i="45"/>
  <c r="U25" i="45" s="1"/>
  <c r="I25" i="45"/>
  <c r="H25" i="45"/>
  <c r="G25" i="45"/>
  <c r="F25" i="45"/>
  <c r="D25" i="45"/>
  <c r="C25" i="45"/>
  <c r="B25" i="45"/>
  <c r="AO24" i="45"/>
  <c r="AL24" i="45"/>
  <c r="AK24" i="45"/>
  <c r="AF24" i="45"/>
  <c r="AH24" i="45" s="1"/>
  <c r="X24" i="45"/>
  <c r="S24" i="45"/>
  <c r="U24" i="45" s="1"/>
  <c r="I24" i="45"/>
  <c r="H24" i="45"/>
  <c r="G24" i="45"/>
  <c r="F24" i="45"/>
  <c r="E24" i="45"/>
  <c r="D24" i="45"/>
  <c r="C24" i="45"/>
  <c r="B24" i="45"/>
  <c r="AO23" i="45"/>
  <c r="AL23" i="45"/>
  <c r="AK23" i="45"/>
  <c r="AF23" i="45"/>
  <c r="AH23" i="45" s="1"/>
  <c r="X23" i="45"/>
  <c r="AM23" i="45" s="1"/>
  <c r="S23" i="45"/>
  <c r="I23" i="45"/>
  <c r="H23" i="45"/>
  <c r="G23" i="45"/>
  <c r="F23" i="45"/>
  <c r="E23" i="45"/>
  <c r="D23" i="45"/>
  <c r="C23" i="45"/>
  <c r="B23" i="45"/>
  <c r="AO22" i="45"/>
  <c r="AL22" i="45"/>
  <c r="AK22" i="45"/>
  <c r="AF22" i="45"/>
  <c r="AH22" i="45" s="1"/>
  <c r="X22" i="45"/>
  <c r="AM22" i="45" s="1"/>
  <c r="S22" i="45"/>
  <c r="I22" i="45"/>
  <c r="H22" i="45"/>
  <c r="G22" i="45"/>
  <c r="F22" i="45"/>
  <c r="E22" i="45"/>
  <c r="D22" i="45"/>
  <c r="C22" i="45"/>
  <c r="B22" i="45"/>
  <c r="AO21" i="45"/>
  <c r="AL21" i="45"/>
  <c r="AK21" i="45"/>
  <c r="AF21" i="45"/>
  <c r="AH21" i="45" s="1"/>
  <c r="X21" i="45"/>
  <c r="AM21" i="45" s="1"/>
  <c r="S21" i="45"/>
  <c r="I21" i="45"/>
  <c r="H21" i="45"/>
  <c r="G21" i="45"/>
  <c r="F21" i="45"/>
  <c r="E21" i="45"/>
  <c r="D21" i="45"/>
  <c r="C21" i="45"/>
  <c r="B21" i="45"/>
  <c r="AO20" i="45"/>
  <c r="AL20" i="45"/>
  <c r="AK20" i="45"/>
  <c r="AF20" i="45"/>
  <c r="AH20" i="45" s="1"/>
  <c r="X20" i="45"/>
  <c r="AM20" i="45" s="1"/>
  <c r="S20" i="45"/>
  <c r="U20" i="45" s="1"/>
  <c r="I20" i="45"/>
  <c r="H20" i="45"/>
  <c r="G20" i="45"/>
  <c r="F20" i="45"/>
  <c r="E20" i="45"/>
  <c r="D20" i="45"/>
  <c r="C20" i="45"/>
  <c r="B20" i="45"/>
  <c r="AO19" i="45"/>
  <c r="AL19" i="45"/>
  <c r="AK19" i="45"/>
  <c r="AF19" i="45"/>
  <c r="AH19" i="45" s="1"/>
  <c r="X19" i="45"/>
  <c r="S19" i="45"/>
  <c r="I19" i="45"/>
  <c r="H19" i="45"/>
  <c r="G19" i="45"/>
  <c r="F19" i="45"/>
  <c r="E19" i="45"/>
  <c r="D19" i="45"/>
  <c r="C19" i="45"/>
  <c r="B19" i="45"/>
  <c r="AO18" i="45"/>
  <c r="AL18" i="45"/>
  <c r="AK18" i="45"/>
  <c r="AF18" i="45"/>
  <c r="AH18" i="45" s="1"/>
  <c r="X18" i="45"/>
  <c r="S18" i="45"/>
  <c r="U18" i="45" s="1"/>
  <c r="I18" i="45"/>
  <c r="H18" i="45"/>
  <c r="G18" i="45"/>
  <c r="F18" i="45"/>
  <c r="E18" i="45"/>
  <c r="D18" i="45"/>
  <c r="C18" i="45"/>
  <c r="B18" i="45"/>
  <c r="AO17" i="45"/>
  <c r="AL17" i="45"/>
  <c r="AK17" i="45"/>
  <c r="AM17" i="45" s="1"/>
  <c r="AF17" i="45"/>
  <c r="AH17" i="45" s="1"/>
  <c r="X17" i="45"/>
  <c r="S17" i="45"/>
  <c r="U17" i="45" s="1"/>
  <c r="I17" i="45"/>
  <c r="H17" i="45"/>
  <c r="G17" i="45"/>
  <c r="F17" i="45"/>
  <c r="E17" i="45"/>
  <c r="D17" i="45"/>
  <c r="C17" i="45"/>
  <c r="B17" i="45"/>
  <c r="AO16" i="45"/>
  <c r="AL16" i="45"/>
  <c r="AK16" i="45"/>
  <c r="AF16" i="45"/>
  <c r="AH16" i="45" s="1"/>
  <c r="X16" i="45"/>
  <c r="AM16" i="45" s="1"/>
  <c r="S16" i="45"/>
  <c r="U16" i="45" s="1"/>
  <c r="I16" i="45"/>
  <c r="H16" i="45"/>
  <c r="G16" i="45"/>
  <c r="F16" i="45"/>
  <c r="E16" i="45"/>
  <c r="D16" i="45"/>
  <c r="C16" i="45"/>
  <c r="B16" i="45"/>
  <c r="AO15" i="45"/>
  <c r="AL15" i="45"/>
  <c r="AK15" i="45"/>
  <c r="AF15" i="45"/>
  <c r="AH15" i="45" s="1"/>
  <c r="X15" i="45"/>
  <c r="S15" i="45"/>
  <c r="U15" i="45" s="1"/>
  <c r="I15" i="45"/>
  <c r="H15" i="45"/>
  <c r="G15" i="45"/>
  <c r="F15" i="45"/>
  <c r="E15" i="45"/>
  <c r="D15" i="45"/>
  <c r="C15" i="45"/>
  <c r="B15" i="45"/>
  <c r="AO14" i="45"/>
  <c r="AL14" i="45"/>
  <c r="AK14" i="45"/>
  <c r="AF14" i="45"/>
  <c r="AH14" i="45" s="1"/>
  <c r="X14" i="45"/>
  <c r="S14" i="45"/>
  <c r="U14" i="45" s="1"/>
  <c r="I14" i="45"/>
  <c r="H14" i="45"/>
  <c r="G14" i="45"/>
  <c r="F14" i="45"/>
  <c r="E14" i="45"/>
  <c r="D14" i="45"/>
  <c r="C14" i="45"/>
  <c r="B14" i="45"/>
  <c r="AO13" i="45"/>
  <c r="AL13" i="45"/>
  <c r="AK13" i="45"/>
  <c r="AH13" i="45"/>
  <c r="AF13" i="45"/>
  <c r="X13" i="45"/>
  <c r="AM13" i="45" s="1"/>
  <c r="S13" i="45"/>
  <c r="U13" i="45" s="1"/>
  <c r="I13" i="45"/>
  <c r="H13" i="45"/>
  <c r="G13" i="45"/>
  <c r="F13" i="45"/>
  <c r="E13" i="45"/>
  <c r="D13" i="45"/>
  <c r="C13" i="45"/>
  <c r="B13" i="45"/>
  <c r="AO12" i="45"/>
  <c r="AL12" i="45"/>
  <c r="AK12" i="45"/>
  <c r="AF12" i="45"/>
  <c r="AH12" i="45" s="1"/>
  <c r="X12" i="45"/>
  <c r="AM12" i="45" s="1"/>
  <c r="S12" i="45"/>
  <c r="U12" i="45" s="1"/>
  <c r="I12" i="45"/>
  <c r="H12" i="45"/>
  <c r="G12" i="45"/>
  <c r="F12" i="45"/>
  <c r="E12" i="45"/>
  <c r="D12" i="45"/>
  <c r="C12" i="45"/>
  <c r="B12" i="45"/>
  <c r="AO11" i="45"/>
  <c r="AL11" i="45"/>
  <c r="AK11" i="45"/>
  <c r="AF11" i="45"/>
  <c r="AH11" i="45" s="1"/>
  <c r="X11" i="45"/>
  <c r="AM11" i="45" s="1"/>
  <c r="S11" i="45"/>
  <c r="U11" i="45" s="1"/>
  <c r="I11" i="45"/>
  <c r="H11" i="45"/>
  <c r="G11" i="45"/>
  <c r="F11" i="45"/>
  <c r="E11" i="45"/>
  <c r="D11" i="45"/>
  <c r="C11" i="45"/>
  <c r="B11" i="45"/>
  <c r="AO10" i="45"/>
  <c r="AL10" i="45"/>
  <c r="AK10" i="45"/>
  <c r="AF10" i="45"/>
  <c r="AH10" i="45" s="1"/>
  <c r="X10" i="45"/>
  <c r="AM10" i="45" s="1"/>
  <c r="S10" i="45"/>
  <c r="U10" i="45" s="1"/>
  <c r="I10" i="45"/>
  <c r="H10" i="45"/>
  <c r="G10" i="45"/>
  <c r="F10" i="45"/>
  <c r="E10" i="45"/>
  <c r="C10" i="45"/>
  <c r="B10" i="45"/>
  <c r="AO9" i="45"/>
  <c r="AL9" i="45"/>
  <c r="AK9" i="45"/>
  <c r="AM9" i="45" s="1"/>
  <c r="AF9" i="45"/>
  <c r="AH9" i="45" s="1"/>
  <c r="X9" i="45"/>
  <c r="S9" i="45"/>
  <c r="U9" i="45" s="1"/>
  <c r="I9" i="45"/>
  <c r="H9" i="45"/>
  <c r="G9" i="45"/>
  <c r="F9" i="45"/>
  <c r="E9" i="45"/>
  <c r="D9" i="45"/>
  <c r="C9" i="45"/>
  <c r="B9" i="45"/>
  <c r="AO8" i="45"/>
  <c r="AL8" i="45"/>
  <c r="AK8" i="45"/>
  <c r="AF8" i="45"/>
  <c r="X8" i="45"/>
  <c r="AM8" i="45" s="1"/>
  <c r="S8" i="45"/>
  <c r="U8" i="45" s="1"/>
  <c r="I8" i="45"/>
  <c r="H8" i="45"/>
  <c r="G8" i="45"/>
  <c r="F8" i="45"/>
  <c r="E8" i="45"/>
  <c r="D8" i="45"/>
  <c r="C8" i="45"/>
  <c r="B8" i="45"/>
  <c r="AO7" i="45"/>
  <c r="AL7" i="45"/>
  <c r="AK7" i="45"/>
  <c r="AM7" i="45" s="1"/>
  <c r="AF7" i="45"/>
  <c r="AH7" i="45" s="1"/>
  <c r="X7" i="45"/>
  <c r="S7" i="45"/>
  <c r="I7" i="45"/>
  <c r="H7" i="45"/>
  <c r="G7" i="45"/>
  <c r="F7" i="45"/>
  <c r="E7" i="45"/>
  <c r="D7" i="45"/>
  <c r="C7" i="45"/>
  <c r="B7" i="45"/>
  <c r="AO6" i="45"/>
  <c r="AL6" i="45"/>
  <c r="AK6" i="45"/>
  <c r="AF6" i="45"/>
  <c r="AH6" i="45" s="1"/>
  <c r="X6" i="45"/>
  <c r="S6" i="45"/>
  <c r="U6" i="45" s="1"/>
  <c r="I6" i="45"/>
  <c r="H6" i="45"/>
  <c r="G6" i="45"/>
  <c r="F6" i="45"/>
  <c r="E6" i="45"/>
  <c r="D6" i="45"/>
  <c r="C6" i="45"/>
  <c r="B6" i="45"/>
  <c r="H2" i="45"/>
  <c r="E2" i="45"/>
  <c r="C2" i="45"/>
  <c r="AG20" i="20"/>
  <c r="AG19" i="20"/>
  <c r="AG18" i="20"/>
  <c r="AP2" i="44"/>
  <c r="AP69" i="44" s="1"/>
  <c r="AB2" i="44"/>
  <c r="AB69" i="44" s="1"/>
  <c r="N2" i="44"/>
  <c r="D157" i="44" s="1"/>
  <c r="D18" i="20" s="1"/>
  <c r="J66" i="44"/>
  <c r="AG163" i="44" s="1"/>
  <c r="AG24" i="20" s="1"/>
  <c r="J65" i="44"/>
  <c r="AG162" i="44" s="1"/>
  <c r="AG23" i="20" s="1"/>
  <c r="J64" i="44"/>
  <c r="AG161" i="44" s="1"/>
  <c r="AG22" i="20" s="1"/>
  <c r="J63" i="44"/>
  <c r="AG160" i="44" s="1"/>
  <c r="AG21" i="20" s="1"/>
  <c r="AQ61" i="44"/>
  <c r="AJ61" i="44"/>
  <c r="AI61" i="44"/>
  <c r="AG61" i="44"/>
  <c r="AE61" i="44"/>
  <c r="AD61" i="44"/>
  <c r="AC61" i="44"/>
  <c r="AB61" i="44"/>
  <c r="AA61" i="44"/>
  <c r="Z61" i="44"/>
  <c r="Y61" i="44"/>
  <c r="W61" i="44"/>
  <c r="V61" i="44"/>
  <c r="T61" i="44"/>
  <c r="R61" i="44"/>
  <c r="Q61" i="44"/>
  <c r="P61" i="44"/>
  <c r="O61" i="44"/>
  <c r="N61" i="44"/>
  <c r="M61" i="44"/>
  <c r="L61" i="44"/>
  <c r="K61" i="44"/>
  <c r="AQ60" i="44"/>
  <c r="AJ60" i="44"/>
  <c r="AI60" i="44"/>
  <c r="AG60" i="44"/>
  <c r="AE60" i="44"/>
  <c r="AD60" i="44"/>
  <c r="AC60" i="44"/>
  <c r="AB60" i="44"/>
  <c r="AA60" i="44"/>
  <c r="Z60" i="44"/>
  <c r="Y60" i="44"/>
  <c r="W60" i="44"/>
  <c r="V60" i="44"/>
  <c r="T60" i="44"/>
  <c r="R60" i="44"/>
  <c r="Q60" i="44"/>
  <c r="P60" i="44"/>
  <c r="O60" i="44"/>
  <c r="N60" i="44"/>
  <c r="M60" i="44"/>
  <c r="L60" i="44"/>
  <c r="K60" i="44"/>
  <c r="AQ59" i="44"/>
  <c r="AJ59" i="44"/>
  <c r="AI59" i="44"/>
  <c r="AG59" i="44"/>
  <c r="AE59" i="44"/>
  <c r="AD59" i="44"/>
  <c r="AC59" i="44"/>
  <c r="AB59" i="44"/>
  <c r="AA59" i="44"/>
  <c r="Z59" i="44"/>
  <c r="Y59" i="44"/>
  <c r="W59" i="44"/>
  <c r="V59" i="44"/>
  <c r="T59" i="44"/>
  <c r="R59" i="44"/>
  <c r="Q59" i="44"/>
  <c r="P59" i="44"/>
  <c r="O59" i="44"/>
  <c r="N59" i="44"/>
  <c r="M59" i="44"/>
  <c r="L59" i="44"/>
  <c r="K59" i="44"/>
  <c r="AQ58" i="44"/>
  <c r="AJ58" i="44"/>
  <c r="AI58" i="44"/>
  <c r="AG58" i="44"/>
  <c r="AG62" i="44" s="1"/>
  <c r="AE58" i="44"/>
  <c r="AD58" i="44"/>
  <c r="AC58" i="44"/>
  <c r="AB58" i="44"/>
  <c r="AA58" i="44"/>
  <c r="Z58" i="44"/>
  <c r="Y58" i="44"/>
  <c r="W58" i="44"/>
  <c r="V58" i="44"/>
  <c r="V62" i="44" s="1"/>
  <c r="V63" i="44" s="1"/>
  <c r="P160" i="44" s="1"/>
  <c r="P21" i="20" s="1"/>
  <c r="T58" i="44"/>
  <c r="R58" i="44"/>
  <c r="Q58" i="44"/>
  <c r="P58" i="44"/>
  <c r="O58" i="44"/>
  <c r="N58" i="44"/>
  <c r="M58" i="44"/>
  <c r="L58" i="44"/>
  <c r="L62" i="44" s="1"/>
  <c r="L64" i="44" s="1"/>
  <c r="O161" i="44" s="1"/>
  <c r="O22" i="20" s="1"/>
  <c r="K58" i="44"/>
  <c r="AQ56" i="44"/>
  <c r="AF157" i="44" s="1"/>
  <c r="AF18" i="20" s="1"/>
  <c r="AJ56" i="44"/>
  <c r="W157" i="44" s="1"/>
  <c r="W18" i="20" s="1"/>
  <c r="AI56" i="44"/>
  <c r="V157" i="44" s="1"/>
  <c r="V18" i="20" s="1"/>
  <c r="AG56" i="44"/>
  <c r="Y157" i="44" s="1"/>
  <c r="Y18" i="20" s="1"/>
  <c r="AE56" i="44"/>
  <c r="AD56" i="44"/>
  <c r="AC56" i="44"/>
  <c r="AB56" i="44"/>
  <c r="AA56" i="44"/>
  <c r="Z56" i="44"/>
  <c r="Y56" i="44"/>
  <c r="U157" i="44" s="1"/>
  <c r="U18" i="20" s="1"/>
  <c r="W56" i="44"/>
  <c r="Q157" i="44" s="1"/>
  <c r="Q18" i="20" s="1"/>
  <c r="V56" i="44"/>
  <c r="P157" i="44" s="1"/>
  <c r="P18" i="20" s="1"/>
  <c r="T56" i="44"/>
  <c r="S157" i="44" s="1"/>
  <c r="S18" i="20" s="1"/>
  <c r="R56" i="44"/>
  <c r="Q56" i="44"/>
  <c r="P56" i="44"/>
  <c r="O56" i="44"/>
  <c r="N56" i="44"/>
  <c r="M56" i="44"/>
  <c r="L56" i="44"/>
  <c r="O157" i="44" s="1"/>
  <c r="O18" i="20" s="1"/>
  <c r="K56" i="44"/>
  <c r="N157" i="44" s="1"/>
  <c r="N18" i="20" s="1"/>
  <c r="AO55" i="44"/>
  <c r="AL55" i="44"/>
  <c r="AK55" i="44"/>
  <c r="AF55" i="44"/>
  <c r="AH55" i="44" s="1"/>
  <c r="X55" i="44"/>
  <c r="S55" i="44"/>
  <c r="I55" i="44"/>
  <c r="H55" i="44"/>
  <c r="G55" i="44"/>
  <c r="F55" i="44"/>
  <c r="E55" i="44"/>
  <c r="D55" i="44"/>
  <c r="C55" i="44"/>
  <c r="B55" i="44"/>
  <c r="AO54" i="44"/>
  <c r="AL54" i="44"/>
  <c r="AK54" i="44"/>
  <c r="AF54" i="44"/>
  <c r="AH54" i="44" s="1"/>
  <c r="X54" i="44"/>
  <c r="AM54" i="44" s="1"/>
  <c r="S54" i="44"/>
  <c r="U54" i="44" s="1"/>
  <c r="I54" i="44"/>
  <c r="H54" i="44"/>
  <c r="G54" i="44"/>
  <c r="F54" i="44"/>
  <c r="E54" i="44"/>
  <c r="D54" i="44"/>
  <c r="C54" i="44"/>
  <c r="B54" i="44"/>
  <c r="AO53" i="44"/>
  <c r="AL53" i="44"/>
  <c r="AK53" i="44"/>
  <c r="AF53" i="44"/>
  <c r="AH53" i="44" s="1"/>
  <c r="X53" i="44"/>
  <c r="AM53" i="44" s="1"/>
  <c r="U53" i="44"/>
  <c r="S53" i="44"/>
  <c r="I53" i="44"/>
  <c r="H53" i="44"/>
  <c r="G53" i="44"/>
  <c r="F53" i="44"/>
  <c r="E53" i="44"/>
  <c r="D53" i="44"/>
  <c r="C53" i="44"/>
  <c r="B53" i="44"/>
  <c r="AO52" i="44"/>
  <c r="AL52" i="44"/>
  <c r="AK52" i="44"/>
  <c r="AF52" i="44"/>
  <c r="AH52" i="44" s="1"/>
  <c r="X52" i="44"/>
  <c r="U52" i="44"/>
  <c r="S52" i="44"/>
  <c r="I52" i="44"/>
  <c r="H52" i="44"/>
  <c r="G52" i="44"/>
  <c r="F52" i="44"/>
  <c r="E52" i="44"/>
  <c r="D52" i="44"/>
  <c r="C52" i="44"/>
  <c r="B52" i="44"/>
  <c r="AO51" i="44"/>
  <c r="AL51" i="44"/>
  <c r="AK51" i="44"/>
  <c r="AF51" i="44"/>
  <c r="AH51" i="44" s="1"/>
  <c r="X51" i="44"/>
  <c r="U51" i="44"/>
  <c r="S51" i="44"/>
  <c r="I51" i="44"/>
  <c r="H51" i="44"/>
  <c r="G51" i="44"/>
  <c r="F51" i="44"/>
  <c r="E51" i="44"/>
  <c r="D51" i="44"/>
  <c r="C51" i="44"/>
  <c r="B51" i="44"/>
  <c r="AO50" i="44"/>
  <c r="AM50" i="44"/>
  <c r="AL50" i="44"/>
  <c r="AK50" i="44"/>
  <c r="AF50" i="44"/>
  <c r="X50" i="44"/>
  <c r="S50" i="44"/>
  <c r="U50" i="44" s="1"/>
  <c r="I50" i="44"/>
  <c r="H50" i="44"/>
  <c r="G50" i="44"/>
  <c r="F50" i="44"/>
  <c r="E50" i="44"/>
  <c r="D50" i="44"/>
  <c r="C50" i="44"/>
  <c r="B50" i="44"/>
  <c r="AO49" i="44"/>
  <c r="AL49" i="44"/>
  <c r="AK49" i="44"/>
  <c r="AF49" i="44"/>
  <c r="AH49" i="44" s="1"/>
  <c r="X49" i="44"/>
  <c r="AM49" i="44" s="1"/>
  <c r="S49" i="44"/>
  <c r="U49" i="44" s="1"/>
  <c r="I49" i="44"/>
  <c r="H49" i="44"/>
  <c r="G49" i="44"/>
  <c r="F49" i="44"/>
  <c r="E49" i="44"/>
  <c r="D49" i="44"/>
  <c r="C49" i="44"/>
  <c r="B49" i="44"/>
  <c r="AO48" i="44"/>
  <c r="AL48" i="44"/>
  <c r="AK48" i="44"/>
  <c r="AF48" i="44"/>
  <c r="AH48" i="44" s="1"/>
  <c r="X48" i="44"/>
  <c r="AM48" i="44" s="1"/>
  <c r="S48" i="44"/>
  <c r="U48" i="44" s="1"/>
  <c r="I48" i="44"/>
  <c r="H48" i="44"/>
  <c r="G48" i="44"/>
  <c r="F48" i="44"/>
  <c r="E48" i="44"/>
  <c r="D48" i="44"/>
  <c r="C48" i="44"/>
  <c r="B48" i="44"/>
  <c r="AO47" i="44"/>
  <c r="AL47" i="44"/>
  <c r="AK47" i="44"/>
  <c r="AF47" i="44"/>
  <c r="AH47" i="44" s="1"/>
  <c r="X47" i="44"/>
  <c r="S47" i="44"/>
  <c r="I47" i="44"/>
  <c r="H47" i="44"/>
  <c r="G47" i="44"/>
  <c r="F47" i="44"/>
  <c r="E47" i="44"/>
  <c r="D47" i="44"/>
  <c r="C47" i="44"/>
  <c r="B47" i="44"/>
  <c r="AO46" i="44"/>
  <c r="AL46" i="44"/>
  <c r="AK46" i="44"/>
  <c r="AM46" i="44" s="1"/>
  <c r="AF46" i="44"/>
  <c r="AH46" i="44" s="1"/>
  <c r="X46" i="44"/>
  <c r="S46" i="44"/>
  <c r="I46" i="44"/>
  <c r="H46" i="44"/>
  <c r="G46" i="44"/>
  <c r="F46" i="44"/>
  <c r="E46" i="44"/>
  <c r="D46" i="44"/>
  <c r="C46" i="44"/>
  <c r="B46" i="44"/>
  <c r="AO45" i="44"/>
  <c r="AL45" i="44"/>
  <c r="AK45" i="44"/>
  <c r="AF45" i="44"/>
  <c r="AH45" i="44" s="1"/>
  <c r="X45" i="44"/>
  <c r="S45" i="44"/>
  <c r="U45" i="44" s="1"/>
  <c r="I45" i="44"/>
  <c r="H45" i="44"/>
  <c r="G45" i="44"/>
  <c r="F45" i="44"/>
  <c r="E45" i="44"/>
  <c r="D45" i="44"/>
  <c r="C45" i="44"/>
  <c r="B45" i="44"/>
  <c r="AO44" i="44"/>
  <c r="AL44" i="44"/>
  <c r="AK44" i="44"/>
  <c r="AF44" i="44"/>
  <c r="AH44" i="44" s="1"/>
  <c r="X44" i="44"/>
  <c r="S44" i="44"/>
  <c r="I44" i="44"/>
  <c r="H44" i="44"/>
  <c r="G44" i="44"/>
  <c r="F44" i="44"/>
  <c r="E44" i="44"/>
  <c r="D44" i="44"/>
  <c r="C44" i="44"/>
  <c r="B44" i="44"/>
  <c r="AO43" i="44"/>
  <c r="AL43" i="44"/>
  <c r="AK43" i="44"/>
  <c r="AF43" i="44"/>
  <c r="AH43" i="44" s="1"/>
  <c r="X43" i="44"/>
  <c r="S43" i="44"/>
  <c r="U43" i="44" s="1"/>
  <c r="I43" i="44"/>
  <c r="H43" i="44"/>
  <c r="G43" i="44"/>
  <c r="F43" i="44"/>
  <c r="E43" i="44"/>
  <c r="D43" i="44"/>
  <c r="C43" i="44"/>
  <c r="B43" i="44"/>
  <c r="AO42" i="44"/>
  <c r="AL42" i="44"/>
  <c r="AK42" i="44"/>
  <c r="AH42" i="44"/>
  <c r="AF42" i="44"/>
  <c r="X42" i="44"/>
  <c r="AM42" i="44" s="1"/>
  <c r="S42" i="44"/>
  <c r="U42" i="44" s="1"/>
  <c r="I42" i="44"/>
  <c r="H42" i="44"/>
  <c r="G42" i="44"/>
  <c r="F42" i="44"/>
  <c r="E42" i="44"/>
  <c r="D42" i="44"/>
  <c r="C42" i="44"/>
  <c r="B42" i="44"/>
  <c r="AO41" i="44"/>
  <c r="AL41" i="44"/>
  <c r="AK41" i="44"/>
  <c r="AF41" i="44"/>
  <c r="AH41" i="44" s="1"/>
  <c r="X41" i="44"/>
  <c r="AM41" i="44" s="1"/>
  <c r="S41" i="44"/>
  <c r="I41" i="44"/>
  <c r="H41" i="44"/>
  <c r="G41" i="44"/>
  <c r="F41" i="44"/>
  <c r="E41" i="44"/>
  <c r="D41" i="44"/>
  <c r="C41" i="44"/>
  <c r="B41" i="44"/>
  <c r="AO40" i="44"/>
  <c r="AL40" i="44"/>
  <c r="AK40" i="44"/>
  <c r="AF40" i="44"/>
  <c r="AH40" i="44" s="1"/>
  <c r="X40" i="44"/>
  <c r="S40" i="44"/>
  <c r="U40" i="44" s="1"/>
  <c r="I40" i="44"/>
  <c r="H40" i="44"/>
  <c r="G40" i="44"/>
  <c r="F40" i="44"/>
  <c r="E40" i="44"/>
  <c r="D40" i="44"/>
  <c r="C40" i="44"/>
  <c r="B40" i="44"/>
  <c r="AO39" i="44"/>
  <c r="AL39" i="44"/>
  <c r="AK39" i="44"/>
  <c r="AF39" i="44"/>
  <c r="AH39" i="44" s="1"/>
  <c r="X39" i="44"/>
  <c r="U39" i="44"/>
  <c r="S39" i="44"/>
  <c r="I39" i="44"/>
  <c r="H39" i="44"/>
  <c r="G39" i="44"/>
  <c r="F39" i="44"/>
  <c r="E39" i="44"/>
  <c r="D39" i="44"/>
  <c r="C39" i="44"/>
  <c r="B39" i="44"/>
  <c r="AO38" i="44"/>
  <c r="AL38" i="44"/>
  <c r="AK38" i="44"/>
  <c r="AF38" i="44"/>
  <c r="AH38" i="44" s="1"/>
  <c r="X38" i="44"/>
  <c r="S38" i="44"/>
  <c r="U38" i="44" s="1"/>
  <c r="I38" i="44"/>
  <c r="H38" i="44"/>
  <c r="G38" i="44"/>
  <c r="F38" i="44"/>
  <c r="E38" i="44"/>
  <c r="D38" i="44"/>
  <c r="C38" i="44"/>
  <c r="B38" i="44"/>
  <c r="AO37" i="44"/>
  <c r="AL37" i="44"/>
  <c r="AK37" i="44"/>
  <c r="AF37" i="44"/>
  <c r="AH37" i="44" s="1"/>
  <c r="X37" i="44"/>
  <c r="AM37" i="44" s="1"/>
  <c r="S37" i="44"/>
  <c r="U37" i="44" s="1"/>
  <c r="I37" i="44"/>
  <c r="H37" i="44"/>
  <c r="G37" i="44"/>
  <c r="F37" i="44"/>
  <c r="E37" i="44"/>
  <c r="D37" i="44"/>
  <c r="C37" i="44"/>
  <c r="B37" i="44"/>
  <c r="AO36" i="44"/>
  <c r="AL36" i="44"/>
  <c r="AK36" i="44"/>
  <c r="AF36" i="44"/>
  <c r="AH36" i="44" s="1"/>
  <c r="X36" i="44"/>
  <c r="S36" i="44"/>
  <c r="U36" i="44" s="1"/>
  <c r="I36" i="44"/>
  <c r="H36" i="44"/>
  <c r="G36" i="44"/>
  <c r="F36" i="44"/>
  <c r="E36" i="44"/>
  <c r="D36" i="44"/>
  <c r="C36" i="44"/>
  <c r="B36" i="44"/>
  <c r="AO35" i="44"/>
  <c r="AL35" i="44"/>
  <c r="AK35" i="44"/>
  <c r="AF35" i="44"/>
  <c r="AH35" i="44" s="1"/>
  <c r="X35" i="44"/>
  <c r="S35" i="44"/>
  <c r="I35" i="44"/>
  <c r="H35" i="44"/>
  <c r="G35" i="44"/>
  <c r="F35" i="44"/>
  <c r="E35" i="44"/>
  <c r="D35" i="44"/>
  <c r="C35" i="44"/>
  <c r="B35" i="44"/>
  <c r="AO34" i="44"/>
  <c r="AL34" i="44"/>
  <c r="AK34" i="44"/>
  <c r="AF34" i="44"/>
  <c r="AH34" i="44" s="1"/>
  <c r="X34" i="44"/>
  <c r="AM34" i="44" s="1"/>
  <c r="S34" i="44"/>
  <c r="I34" i="44"/>
  <c r="H34" i="44"/>
  <c r="G34" i="44"/>
  <c r="F34" i="44"/>
  <c r="E34" i="44"/>
  <c r="D34" i="44"/>
  <c r="C34" i="44"/>
  <c r="B34" i="44"/>
  <c r="AO33" i="44"/>
  <c r="AL33" i="44"/>
  <c r="AK33" i="44"/>
  <c r="AF33" i="44"/>
  <c r="AH33" i="44" s="1"/>
  <c r="X33" i="44"/>
  <c r="S33" i="44"/>
  <c r="I33" i="44"/>
  <c r="H33" i="44"/>
  <c r="G33" i="44"/>
  <c r="F33" i="44"/>
  <c r="E33" i="44"/>
  <c r="D33" i="44"/>
  <c r="C33" i="44"/>
  <c r="B33" i="44"/>
  <c r="AO32" i="44"/>
  <c r="AL32" i="44"/>
  <c r="AK32" i="44"/>
  <c r="AF32" i="44"/>
  <c r="AH32" i="44" s="1"/>
  <c r="X32" i="44"/>
  <c r="AM32" i="44" s="1"/>
  <c r="S32" i="44"/>
  <c r="U32" i="44" s="1"/>
  <c r="I32" i="44"/>
  <c r="H32" i="44"/>
  <c r="G32" i="44"/>
  <c r="F32" i="44"/>
  <c r="E32" i="44"/>
  <c r="D32" i="44"/>
  <c r="C32" i="44"/>
  <c r="B32" i="44"/>
  <c r="AO31" i="44"/>
  <c r="AL31" i="44"/>
  <c r="AK31" i="44"/>
  <c r="AF31" i="44"/>
  <c r="AH31" i="44" s="1"/>
  <c r="X31" i="44"/>
  <c r="S31" i="44"/>
  <c r="I31" i="44"/>
  <c r="H31" i="44"/>
  <c r="G31" i="44"/>
  <c r="F31" i="44"/>
  <c r="E31" i="44"/>
  <c r="D31" i="44"/>
  <c r="C31" i="44"/>
  <c r="B31" i="44"/>
  <c r="AO30" i="44"/>
  <c r="AL30" i="44"/>
  <c r="AK30" i="44"/>
  <c r="AH30" i="44"/>
  <c r="AF30" i="44"/>
  <c r="X30" i="44"/>
  <c r="S30" i="44"/>
  <c r="U30" i="44" s="1"/>
  <c r="I30" i="44"/>
  <c r="H30" i="44"/>
  <c r="G30" i="44"/>
  <c r="F30" i="44"/>
  <c r="E30" i="44"/>
  <c r="D30" i="44"/>
  <c r="C30" i="44"/>
  <c r="B30" i="44"/>
  <c r="AO29" i="44"/>
  <c r="AL29" i="44"/>
  <c r="AK29" i="44"/>
  <c r="AF29" i="44"/>
  <c r="AH29" i="44" s="1"/>
  <c r="X29" i="44"/>
  <c r="AM29" i="44" s="1"/>
  <c r="S29" i="44"/>
  <c r="U29" i="44" s="1"/>
  <c r="I29" i="44"/>
  <c r="H29" i="44"/>
  <c r="G29" i="44"/>
  <c r="F29" i="44"/>
  <c r="E29" i="44"/>
  <c r="D29" i="44"/>
  <c r="C29" i="44"/>
  <c r="B29" i="44"/>
  <c r="AO28" i="44"/>
  <c r="AL28" i="44"/>
  <c r="AK28" i="44"/>
  <c r="AF28" i="44"/>
  <c r="AH28" i="44" s="1"/>
  <c r="X28" i="44"/>
  <c r="S28" i="44"/>
  <c r="U28" i="44" s="1"/>
  <c r="I28" i="44"/>
  <c r="H28" i="44"/>
  <c r="G28" i="44"/>
  <c r="F28" i="44"/>
  <c r="E28" i="44"/>
  <c r="D28" i="44"/>
  <c r="C28" i="44"/>
  <c r="B28" i="44"/>
  <c r="AO27" i="44"/>
  <c r="AL27" i="44"/>
  <c r="AK27" i="44"/>
  <c r="AM27" i="44" s="1"/>
  <c r="AF27" i="44"/>
  <c r="AH27" i="44" s="1"/>
  <c r="X27" i="44"/>
  <c r="S27" i="44"/>
  <c r="U27" i="44" s="1"/>
  <c r="I27" i="44"/>
  <c r="H27" i="44"/>
  <c r="G27" i="44"/>
  <c r="F27" i="44"/>
  <c r="E27" i="44"/>
  <c r="D27" i="44"/>
  <c r="C27" i="44"/>
  <c r="B27" i="44"/>
  <c r="AO26" i="44"/>
  <c r="AL26" i="44"/>
  <c r="AK26" i="44"/>
  <c r="AF26" i="44"/>
  <c r="AH26" i="44" s="1"/>
  <c r="X26" i="44"/>
  <c r="AM26" i="44" s="1"/>
  <c r="S26" i="44"/>
  <c r="I26" i="44"/>
  <c r="H26" i="44"/>
  <c r="G26" i="44"/>
  <c r="F26" i="44"/>
  <c r="E26" i="44"/>
  <c r="D26" i="44"/>
  <c r="C26" i="44"/>
  <c r="B26" i="44"/>
  <c r="AO25" i="44"/>
  <c r="AL25" i="44"/>
  <c r="AK25" i="44"/>
  <c r="AF25" i="44"/>
  <c r="AH25" i="44" s="1"/>
  <c r="X25" i="44"/>
  <c r="S25" i="44"/>
  <c r="I25" i="44"/>
  <c r="H25" i="44"/>
  <c r="G25" i="44"/>
  <c r="F25" i="44"/>
  <c r="E25" i="44"/>
  <c r="D25" i="44"/>
  <c r="C25" i="44"/>
  <c r="B25" i="44"/>
  <c r="AO24" i="44"/>
  <c r="AL24" i="44"/>
  <c r="AK24" i="44"/>
  <c r="AF24" i="44"/>
  <c r="AH24" i="44" s="1"/>
  <c r="X24" i="44"/>
  <c r="AM24" i="44" s="1"/>
  <c r="S24" i="44"/>
  <c r="U24" i="44" s="1"/>
  <c r="I24" i="44"/>
  <c r="H24" i="44"/>
  <c r="G24" i="44"/>
  <c r="F24" i="44"/>
  <c r="E24" i="44"/>
  <c r="D24" i="44"/>
  <c r="C24" i="44"/>
  <c r="B24" i="44"/>
  <c r="AO23" i="44"/>
  <c r="AL23" i="44"/>
  <c r="AK23" i="44"/>
  <c r="AF23" i="44"/>
  <c r="AH23" i="44" s="1"/>
  <c r="X23" i="44"/>
  <c r="S23" i="44"/>
  <c r="U23" i="44" s="1"/>
  <c r="I23" i="44"/>
  <c r="H23" i="44"/>
  <c r="G23" i="44"/>
  <c r="F23" i="44"/>
  <c r="E23" i="44"/>
  <c r="D23" i="44"/>
  <c r="C23" i="44"/>
  <c r="B23" i="44"/>
  <c r="AO22" i="44"/>
  <c r="AL22" i="44"/>
  <c r="AK22" i="44"/>
  <c r="AH22" i="44"/>
  <c r="AF22" i="44"/>
  <c r="X22" i="44"/>
  <c r="S22" i="44"/>
  <c r="U22" i="44" s="1"/>
  <c r="I22" i="44"/>
  <c r="H22" i="44"/>
  <c r="G22" i="44"/>
  <c r="F22" i="44"/>
  <c r="E22" i="44"/>
  <c r="D22" i="44"/>
  <c r="C22" i="44"/>
  <c r="B22" i="44"/>
  <c r="AO21" i="44"/>
  <c r="AL21" i="44"/>
  <c r="AK21" i="44"/>
  <c r="AF21" i="44"/>
  <c r="AH21" i="44" s="1"/>
  <c r="X21" i="44"/>
  <c r="AM21" i="44" s="1"/>
  <c r="S21" i="44"/>
  <c r="U21" i="44" s="1"/>
  <c r="I21" i="44"/>
  <c r="H21" i="44"/>
  <c r="G21" i="44"/>
  <c r="F21" i="44"/>
  <c r="E21" i="44"/>
  <c r="D21" i="44"/>
  <c r="C21" i="44"/>
  <c r="B21" i="44"/>
  <c r="AO20" i="44"/>
  <c r="AL20" i="44"/>
  <c r="AK20" i="44"/>
  <c r="AF20" i="44"/>
  <c r="AH20" i="44" s="1"/>
  <c r="X20" i="44"/>
  <c r="AM20" i="44" s="1"/>
  <c r="S20" i="44"/>
  <c r="AN20" i="44" s="1"/>
  <c r="I20" i="44"/>
  <c r="H20" i="44"/>
  <c r="G20" i="44"/>
  <c r="F20" i="44"/>
  <c r="E20" i="44"/>
  <c r="D20" i="44"/>
  <c r="C20" i="44"/>
  <c r="B20" i="44"/>
  <c r="AO19" i="44"/>
  <c r="AL19" i="44"/>
  <c r="AK19" i="44"/>
  <c r="AF19" i="44"/>
  <c r="AH19" i="44" s="1"/>
  <c r="X19" i="44"/>
  <c r="S19" i="44"/>
  <c r="I19" i="44"/>
  <c r="H19" i="44"/>
  <c r="G19" i="44"/>
  <c r="F19" i="44"/>
  <c r="E19" i="44"/>
  <c r="D19" i="44"/>
  <c r="C19" i="44"/>
  <c r="B19" i="44"/>
  <c r="AO18" i="44"/>
  <c r="AL18" i="44"/>
  <c r="AK18" i="44"/>
  <c r="AF18" i="44"/>
  <c r="AH18" i="44" s="1"/>
  <c r="X18" i="44"/>
  <c r="S18" i="44"/>
  <c r="U18" i="44" s="1"/>
  <c r="I18" i="44"/>
  <c r="H18" i="44"/>
  <c r="G18" i="44"/>
  <c r="F18" i="44"/>
  <c r="E18" i="44"/>
  <c r="D18" i="44"/>
  <c r="C18" i="44"/>
  <c r="B18" i="44"/>
  <c r="AO17" i="44"/>
  <c r="AL17" i="44"/>
  <c r="AK17" i="44"/>
  <c r="AF17" i="44"/>
  <c r="AH17" i="44" s="1"/>
  <c r="X17" i="44"/>
  <c r="AM17" i="44" s="1"/>
  <c r="S17" i="44"/>
  <c r="I17" i="44"/>
  <c r="H17" i="44"/>
  <c r="G17" i="44"/>
  <c r="F17" i="44"/>
  <c r="E17" i="44"/>
  <c r="D17" i="44"/>
  <c r="C17" i="44"/>
  <c r="B17" i="44"/>
  <c r="AO16" i="44"/>
  <c r="AL16" i="44"/>
  <c r="AK16" i="44"/>
  <c r="AF16" i="44"/>
  <c r="AH16" i="44" s="1"/>
  <c r="X16" i="44"/>
  <c r="S16" i="44"/>
  <c r="U16" i="44" s="1"/>
  <c r="I16" i="44"/>
  <c r="H16" i="44"/>
  <c r="G16" i="44"/>
  <c r="F16" i="44"/>
  <c r="E16" i="44"/>
  <c r="D16" i="44"/>
  <c r="C16" i="44"/>
  <c r="B16" i="44"/>
  <c r="AO15" i="44"/>
  <c r="AL15" i="44"/>
  <c r="AK15" i="44"/>
  <c r="AF15" i="44"/>
  <c r="AH15" i="44" s="1"/>
  <c r="X15" i="44"/>
  <c r="S15" i="44"/>
  <c r="U15" i="44" s="1"/>
  <c r="I15" i="44"/>
  <c r="H15" i="44"/>
  <c r="G15" i="44"/>
  <c r="F15" i="44"/>
  <c r="E15" i="44"/>
  <c r="D15" i="44"/>
  <c r="C15" i="44"/>
  <c r="B15" i="44"/>
  <c r="AO14" i="44"/>
  <c r="AL14" i="44"/>
  <c r="AK14" i="44"/>
  <c r="AF14" i="44"/>
  <c r="AH14" i="44" s="1"/>
  <c r="X14" i="44"/>
  <c r="S14" i="44"/>
  <c r="U14" i="44" s="1"/>
  <c r="I14" i="44"/>
  <c r="H14" i="44"/>
  <c r="G14" i="44"/>
  <c r="F14" i="44"/>
  <c r="E14" i="44"/>
  <c r="D14" i="44"/>
  <c r="C14" i="44"/>
  <c r="B14" i="44"/>
  <c r="AO13" i="44"/>
  <c r="AL13" i="44"/>
  <c r="AK13" i="44"/>
  <c r="AF13" i="44"/>
  <c r="AH13" i="44" s="1"/>
  <c r="X13" i="44"/>
  <c r="AM13" i="44" s="1"/>
  <c r="S13" i="44"/>
  <c r="U13" i="44" s="1"/>
  <c r="I13" i="44"/>
  <c r="H13" i="44"/>
  <c r="G13" i="44"/>
  <c r="F13" i="44"/>
  <c r="E13" i="44"/>
  <c r="D13" i="44"/>
  <c r="C13" i="44"/>
  <c r="B13" i="44"/>
  <c r="AO12" i="44"/>
  <c r="AL12" i="44"/>
  <c r="AK12" i="44"/>
  <c r="AF12" i="44"/>
  <c r="AH12" i="44" s="1"/>
  <c r="X12" i="44"/>
  <c r="S12" i="44"/>
  <c r="U12" i="44" s="1"/>
  <c r="I12" i="44"/>
  <c r="H12" i="44"/>
  <c r="G12" i="44"/>
  <c r="F12" i="44"/>
  <c r="E12" i="44"/>
  <c r="D12" i="44"/>
  <c r="C12" i="44"/>
  <c r="B12" i="44"/>
  <c r="AO11" i="44"/>
  <c r="AL11" i="44"/>
  <c r="AK11" i="44"/>
  <c r="AM11" i="44" s="1"/>
  <c r="AF11" i="44"/>
  <c r="AH11" i="44" s="1"/>
  <c r="X11" i="44"/>
  <c r="S11" i="44"/>
  <c r="U11" i="44" s="1"/>
  <c r="I11" i="44"/>
  <c r="H11" i="44"/>
  <c r="G11" i="44"/>
  <c r="F11" i="44"/>
  <c r="E11" i="44"/>
  <c r="D11" i="44"/>
  <c r="C11" i="44"/>
  <c r="B11" i="44"/>
  <c r="AO10" i="44"/>
  <c r="AL10" i="44"/>
  <c r="AK10" i="44"/>
  <c r="AH10" i="44"/>
  <c r="AF10" i="44"/>
  <c r="X10" i="44"/>
  <c r="AM10" i="44" s="1"/>
  <c r="S10" i="44"/>
  <c r="U10" i="44" s="1"/>
  <c r="I10" i="44"/>
  <c r="H10" i="44"/>
  <c r="G10" i="44"/>
  <c r="F10" i="44"/>
  <c r="E10" i="44"/>
  <c r="D10" i="44"/>
  <c r="C10" i="44"/>
  <c r="B10" i="44"/>
  <c r="AO9" i="44"/>
  <c r="AL9" i="44"/>
  <c r="AK9" i="44"/>
  <c r="AF9" i="44"/>
  <c r="AH9" i="44" s="1"/>
  <c r="X9" i="44"/>
  <c r="AM9" i="44" s="1"/>
  <c r="S9" i="44"/>
  <c r="I9" i="44"/>
  <c r="H9" i="44"/>
  <c r="G9" i="44"/>
  <c r="F9" i="44"/>
  <c r="E9" i="44"/>
  <c r="D9" i="44"/>
  <c r="C9" i="44"/>
  <c r="B9" i="44"/>
  <c r="AO8" i="44"/>
  <c r="AL8" i="44"/>
  <c r="AK8" i="44"/>
  <c r="AF8" i="44"/>
  <c r="AH8" i="44" s="1"/>
  <c r="X8" i="44"/>
  <c r="AM8" i="44" s="1"/>
  <c r="S8" i="44"/>
  <c r="U8" i="44" s="1"/>
  <c r="I8" i="44"/>
  <c r="H8" i="44"/>
  <c r="G8" i="44"/>
  <c r="F8" i="44"/>
  <c r="E8" i="44"/>
  <c r="D8" i="44"/>
  <c r="C8" i="44"/>
  <c r="B8" i="44"/>
  <c r="AO7" i="44"/>
  <c r="AL7" i="44"/>
  <c r="AK7" i="44"/>
  <c r="AF7" i="44"/>
  <c r="AH7" i="44" s="1"/>
  <c r="X7" i="44"/>
  <c r="S7" i="44"/>
  <c r="I7" i="44"/>
  <c r="H7" i="44"/>
  <c r="G7" i="44"/>
  <c r="F7" i="44"/>
  <c r="E7" i="44"/>
  <c r="D7" i="44"/>
  <c r="C7" i="44"/>
  <c r="B7" i="44"/>
  <c r="AO6" i="44"/>
  <c r="AL6" i="44"/>
  <c r="AK6" i="44"/>
  <c r="AF6" i="44"/>
  <c r="X6" i="44"/>
  <c r="S6" i="44"/>
  <c r="I6" i="44"/>
  <c r="H6" i="44"/>
  <c r="G6" i="44"/>
  <c r="F6" i="44"/>
  <c r="E6" i="44"/>
  <c r="D6" i="44"/>
  <c r="C6" i="44"/>
  <c r="B6" i="44"/>
  <c r="H2" i="44"/>
  <c r="E56" i="44" s="1"/>
  <c r="E2" i="44"/>
  <c r="D56" i="44" s="1"/>
  <c r="C2" i="44"/>
  <c r="C69" i="44" s="1"/>
  <c r="AG162" i="43"/>
  <c r="AG163" i="43"/>
  <c r="AG17" i="20" s="1"/>
  <c r="AP2" i="43"/>
  <c r="AP69" i="43" s="1"/>
  <c r="AB2" i="43"/>
  <c r="E157" i="43" s="1"/>
  <c r="E11" i="20" s="1"/>
  <c r="N2" i="43"/>
  <c r="AG12" i="20"/>
  <c r="AG13" i="20"/>
  <c r="AG16" i="20"/>
  <c r="AG11" i="20"/>
  <c r="J66" i="43"/>
  <c r="J65" i="43"/>
  <c r="J64" i="43"/>
  <c r="AG161" i="43" s="1"/>
  <c r="AG15" i="20" s="1"/>
  <c r="J63" i="43"/>
  <c r="AG160" i="43" s="1"/>
  <c r="AG14" i="20" s="1"/>
  <c r="AQ61" i="43"/>
  <c r="AJ61" i="43"/>
  <c r="AI61" i="43"/>
  <c r="AG61" i="43"/>
  <c r="AE61" i="43"/>
  <c r="AD61" i="43"/>
  <c r="AC61" i="43"/>
  <c r="AB61" i="43"/>
  <c r="AA61" i="43"/>
  <c r="Z61" i="43"/>
  <c r="Y61" i="43"/>
  <c r="W61" i="43"/>
  <c r="V61" i="43"/>
  <c r="T61" i="43"/>
  <c r="R61" i="43"/>
  <c r="Q61" i="43"/>
  <c r="P61" i="43"/>
  <c r="O61" i="43"/>
  <c r="N61" i="43"/>
  <c r="M61" i="43"/>
  <c r="L61" i="43"/>
  <c r="K61" i="43"/>
  <c r="AQ60" i="43"/>
  <c r="AJ60" i="43"/>
  <c r="AI60" i="43"/>
  <c r="AG60" i="43"/>
  <c r="AE60" i="43"/>
  <c r="AD60" i="43"/>
  <c r="AC60" i="43"/>
  <c r="AB60" i="43"/>
  <c r="AA60" i="43"/>
  <c r="Z60" i="43"/>
  <c r="Y60" i="43"/>
  <c r="W60" i="43"/>
  <c r="V60" i="43"/>
  <c r="T60" i="43"/>
  <c r="R60" i="43"/>
  <c r="Q60" i="43"/>
  <c r="P60" i="43"/>
  <c r="O60" i="43"/>
  <c r="N60" i="43"/>
  <c r="M60" i="43"/>
  <c r="L60" i="43"/>
  <c r="K60" i="43"/>
  <c r="AQ59" i="43"/>
  <c r="AJ59" i="43"/>
  <c r="AI59" i="43"/>
  <c r="AG59" i="43"/>
  <c r="AE59" i="43"/>
  <c r="AD59" i="43"/>
  <c r="AC59" i="43"/>
  <c r="AB59" i="43"/>
  <c r="AA59" i="43"/>
  <c r="Z59" i="43"/>
  <c r="Y59" i="43"/>
  <c r="W59" i="43"/>
  <c r="V59" i="43"/>
  <c r="T59" i="43"/>
  <c r="R59" i="43"/>
  <c r="Q59" i="43"/>
  <c r="P59" i="43"/>
  <c r="O59" i="43"/>
  <c r="N59" i="43"/>
  <c r="M59" i="43"/>
  <c r="L59" i="43"/>
  <c r="K59" i="43"/>
  <c r="AQ58" i="43"/>
  <c r="AJ58" i="43"/>
  <c r="AI58" i="43"/>
  <c r="AG58" i="43"/>
  <c r="AE58" i="43"/>
  <c r="AE62" i="43" s="1"/>
  <c r="AD58" i="43"/>
  <c r="AC58" i="43"/>
  <c r="AB58" i="43"/>
  <c r="AA58" i="43"/>
  <c r="Z58" i="43"/>
  <c r="Y58" i="43"/>
  <c r="W58" i="43"/>
  <c r="V58" i="43"/>
  <c r="T58" i="43"/>
  <c r="R58" i="43"/>
  <c r="Q58" i="43"/>
  <c r="Q62" i="43" s="1"/>
  <c r="Q66" i="43" s="1"/>
  <c r="P58" i="43"/>
  <c r="O58" i="43"/>
  <c r="N58" i="43"/>
  <c r="M58" i="43"/>
  <c r="L58" i="43"/>
  <c r="L62" i="43" s="1"/>
  <c r="K58" i="43"/>
  <c r="AQ56" i="43"/>
  <c r="AF157" i="43" s="1"/>
  <c r="AF11" i="20" s="1"/>
  <c r="AJ56" i="43"/>
  <c r="W157" i="43" s="1"/>
  <c r="W11" i="20" s="1"/>
  <c r="AI56" i="43"/>
  <c r="V157" i="43" s="1"/>
  <c r="V11" i="20" s="1"/>
  <c r="AG56" i="43"/>
  <c r="Y157" i="43" s="1"/>
  <c r="Y11" i="20" s="1"/>
  <c r="AE56" i="43"/>
  <c r="AD56" i="43"/>
  <c r="AC56" i="43"/>
  <c r="AB56" i="43"/>
  <c r="AA56" i="43"/>
  <c r="Z56" i="43"/>
  <c r="Y56" i="43"/>
  <c r="U157" i="43" s="1"/>
  <c r="U11" i="20" s="1"/>
  <c r="W56" i="43"/>
  <c r="Q157" i="43" s="1"/>
  <c r="Q11" i="20" s="1"/>
  <c r="V56" i="43"/>
  <c r="P157" i="43" s="1"/>
  <c r="P11" i="20" s="1"/>
  <c r="T56" i="43"/>
  <c r="S157" i="43" s="1"/>
  <c r="S11" i="20" s="1"/>
  <c r="R56" i="43"/>
  <c r="Q56" i="43"/>
  <c r="P56" i="43"/>
  <c r="O56" i="43"/>
  <c r="N56" i="43"/>
  <c r="M56" i="43"/>
  <c r="L56" i="43"/>
  <c r="O157" i="43" s="1"/>
  <c r="O11" i="20" s="1"/>
  <c r="K56" i="43"/>
  <c r="N157" i="43" s="1"/>
  <c r="N11" i="20" s="1"/>
  <c r="AO55" i="43"/>
  <c r="AL55" i="43"/>
  <c r="AK55" i="43"/>
  <c r="AH55" i="43"/>
  <c r="AF55" i="43"/>
  <c r="X55" i="43"/>
  <c r="U55" i="43"/>
  <c r="S55" i="43"/>
  <c r="AN55" i="43" s="1"/>
  <c r="I55" i="43"/>
  <c r="H55" i="43"/>
  <c r="G55" i="43"/>
  <c r="F55" i="43"/>
  <c r="E55" i="43"/>
  <c r="D55" i="43"/>
  <c r="C55" i="43"/>
  <c r="B55" i="43"/>
  <c r="AO54" i="43"/>
  <c r="AL54" i="43"/>
  <c r="AK54" i="43"/>
  <c r="AH54" i="43"/>
  <c r="AF54" i="43"/>
  <c r="X54" i="43"/>
  <c r="U54" i="43"/>
  <c r="S54" i="43"/>
  <c r="AN54" i="43" s="1"/>
  <c r="I54" i="43"/>
  <c r="H54" i="43"/>
  <c r="G54" i="43"/>
  <c r="F54" i="43"/>
  <c r="E54" i="43"/>
  <c r="D54" i="43"/>
  <c r="C54" i="43"/>
  <c r="B54" i="43"/>
  <c r="AO53" i="43"/>
  <c r="AL53" i="43"/>
  <c r="AK53" i="43"/>
  <c r="AH53" i="43"/>
  <c r="AF53" i="43"/>
  <c r="X53" i="43"/>
  <c r="U53" i="43"/>
  <c r="S53" i="43"/>
  <c r="AN53" i="43" s="1"/>
  <c r="I53" i="43"/>
  <c r="H53" i="43"/>
  <c r="G53" i="43"/>
  <c r="F53" i="43"/>
  <c r="E53" i="43"/>
  <c r="D53" i="43"/>
  <c r="C53" i="43"/>
  <c r="B53" i="43"/>
  <c r="AO52" i="43"/>
  <c r="AL52" i="43"/>
  <c r="AK52" i="43"/>
  <c r="AF52" i="43"/>
  <c r="AH52" i="43" s="1"/>
  <c r="X52" i="43"/>
  <c r="S52" i="43"/>
  <c r="U52" i="43" s="1"/>
  <c r="I52" i="43"/>
  <c r="H52" i="43"/>
  <c r="G52" i="43"/>
  <c r="F52" i="43"/>
  <c r="E52" i="43"/>
  <c r="D52" i="43"/>
  <c r="C52" i="43"/>
  <c r="B52" i="43"/>
  <c r="AO51" i="43"/>
  <c r="AL51" i="43"/>
  <c r="AK51" i="43"/>
  <c r="AF51" i="43"/>
  <c r="AH51" i="43" s="1"/>
  <c r="X51" i="43"/>
  <c r="S51" i="43"/>
  <c r="U51" i="43" s="1"/>
  <c r="I51" i="43"/>
  <c r="H51" i="43"/>
  <c r="G51" i="43"/>
  <c r="F51" i="43"/>
  <c r="E51" i="43"/>
  <c r="D51" i="43"/>
  <c r="C51" i="43"/>
  <c r="B51" i="43"/>
  <c r="AO50" i="43"/>
  <c r="AL50" i="43"/>
  <c r="AK50" i="43"/>
  <c r="AF50" i="43"/>
  <c r="AH50" i="43" s="1"/>
  <c r="X50" i="43"/>
  <c r="S50" i="43"/>
  <c r="U50" i="43" s="1"/>
  <c r="I50" i="43"/>
  <c r="H50" i="43"/>
  <c r="G50" i="43"/>
  <c r="F50" i="43"/>
  <c r="E50" i="43"/>
  <c r="D50" i="43"/>
  <c r="C50" i="43"/>
  <c r="B50" i="43"/>
  <c r="AO49" i="43"/>
  <c r="AL49" i="43"/>
  <c r="AK49" i="43"/>
  <c r="AF49" i="43"/>
  <c r="AH49" i="43" s="1"/>
  <c r="X49" i="43"/>
  <c r="S49" i="43"/>
  <c r="U49" i="43" s="1"/>
  <c r="I49" i="43"/>
  <c r="H49" i="43"/>
  <c r="G49" i="43"/>
  <c r="F49" i="43"/>
  <c r="E49" i="43"/>
  <c r="D49" i="43"/>
  <c r="C49" i="43"/>
  <c r="B49" i="43"/>
  <c r="AO48" i="43"/>
  <c r="AL48" i="43"/>
  <c r="AK48" i="43"/>
  <c r="AF48" i="43"/>
  <c r="AH48" i="43" s="1"/>
  <c r="X48" i="43"/>
  <c r="AM48" i="43" s="1"/>
  <c r="S48" i="43"/>
  <c r="U48" i="43" s="1"/>
  <c r="I48" i="43"/>
  <c r="H48" i="43"/>
  <c r="G48" i="43"/>
  <c r="F48" i="43"/>
  <c r="E48" i="43"/>
  <c r="D48" i="43"/>
  <c r="C48" i="43"/>
  <c r="B48" i="43"/>
  <c r="AO47" i="43"/>
  <c r="AL47" i="43"/>
  <c r="AK47" i="43"/>
  <c r="AF47" i="43"/>
  <c r="AH47" i="43" s="1"/>
  <c r="X47" i="43"/>
  <c r="AM47" i="43" s="1"/>
  <c r="S47" i="43"/>
  <c r="AN47" i="43" s="1"/>
  <c r="I47" i="43"/>
  <c r="H47" i="43"/>
  <c r="G47" i="43"/>
  <c r="F47" i="43"/>
  <c r="E47" i="43"/>
  <c r="D47" i="43"/>
  <c r="C47" i="43"/>
  <c r="B47" i="43"/>
  <c r="AO46" i="43"/>
  <c r="AL46" i="43"/>
  <c r="AK46" i="43"/>
  <c r="AH46" i="43"/>
  <c r="AF46" i="43"/>
  <c r="X46" i="43"/>
  <c r="S46" i="43"/>
  <c r="AN46" i="43" s="1"/>
  <c r="I46" i="43"/>
  <c r="H46" i="43"/>
  <c r="G46" i="43"/>
  <c r="F46" i="43"/>
  <c r="E46" i="43"/>
  <c r="D46" i="43"/>
  <c r="C46" i="43"/>
  <c r="B46" i="43"/>
  <c r="AO45" i="43"/>
  <c r="AL45" i="43"/>
  <c r="AK45" i="43"/>
  <c r="AH45" i="43"/>
  <c r="AF45" i="43"/>
  <c r="X45" i="43"/>
  <c r="S45" i="43"/>
  <c r="AN45" i="43" s="1"/>
  <c r="I45" i="43"/>
  <c r="H45" i="43"/>
  <c r="G45" i="43"/>
  <c r="F45" i="43"/>
  <c r="E45" i="43"/>
  <c r="D45" i="43"/>
  <c r="C45" i="43"/>
  <c r="B45" i="43"/>
  <c r="AO44" i="43"/>
  <c r="AL44" i="43"/>
  <c r="AK44" i="43"/>
  <c r="AF44" i="43"/>
  <c r="AH44" i="43" s="1"/>
  <c r="X44" i="43"/>
  <c r="S44" i="43"/>
  <c r="U44" i="43" s="1"/>
  <c r="I44" i="43"/>
  <c r="H44" i="43"/>
  <c r="G44" i="43"/>
  <c r="F44" i="43"/>
  <c r="E44" i="43"/>
  <c r="D44" i="43"/>
  <c r="C44" i="43"/>
  <c r="B44" i="43"/>
  <c r="AO43" i="43"/>
  <c r="AL43" i="43"/>
  <c r="AK43" i="43"/>
  <c r="AF43" i="43"/>
  <c r="AH43" i="43" s="1"/>
  <c r="X43" i="43"/>
  <c r="AM43" i="43" s="1"/>
  <c r="S43" i="43"/>
  <c r="U43" i="43" s="1"/>
  <c r="I43" i="43"/>
  <c r="H43" i="43"/>
  <c r="G43" i="43"/>
  <c r="F43" i="43"/>
  <c r="E43" i="43"/>
  <c r="D43" i="43"/>
  <c r="C43" i="43"/>
  <c r="B43" i="43"/>
  <c r="AO42" i="43"/>
  <c r="AL42" i="43"/>
  <c r="AK42" i="43"/>
  <c r="AF42" i="43"/>
  <c r="AH42" i="43" s="1"/>
  <c r="X42" i="43"/>
  <c r="S42" i="43"/>
  <c r="U42" i="43" s="1"/>
  <c r="I42" i="43"/>
  <c r="H42" i="43"/>
  <c r="G42" i="43"/>
  <c r="F42" i="43"/>
  <c r="E42" i="43"/>
  <c r="D42" i="43"/>
  <c r="C42" i="43"/>
  <c r="B42" i="43"/>
  <c r="AO41" i="43"/>
  <c r="AL41" i="43"/>
  <c r="AK41" i="43"/>
  <c r="AF41" i="43"/>
  <c r="AH41" i="43" s="1"/>
  <c r="X41" i="43"/>
  <c r="AM41" i="43" s="1"/>
  <c r="S41" i="43"/>
  <c r="U41" i="43" s="1"/>
  <c r="I41" i="43"/>
  <c r="H41" i="43"/>
  <c r="G41" i="43"/>
  <c r="F41" i="43"/>
  <c r="E41" i="43"/>
  <c r="D41" i="43"/>
  <c r="C41" i="43"/>
  <c r="B41" i="43"/>
  <c r="AO40" i="43"/>
  <c r="AL40" i="43"/>
  <c r="AK40" i="43"/>
  <c r="AF40" i="43"/>
  <c r="AH40" i="43" s="1"/>
  <c r="X40" i="43"/>
  <c r="S40" i="43"/>
  <c r="AN40" i="43" s="1"/>
  <c r="I40" i="43"/>
  <c r="H40" i="43"/>
  <c r="G40" i="43"/>
  <c r="F40" i="43"/>
  <c r="E40" i="43"/>
  <c r="D40" i="43"/>
  <c r="C40" i="43"/>
  <c r="B40" i="43"/>
  <c r="AO39" i="43"/>
  <c r="AL39" i="43"/>
  <c r="AK39" i="43"/>
  <c r="AF39" i="43"/>
  <c r="AH39" i="43" s="1"/>
  <c r="X39" i="43"/>
  <c r="AM39" i="43" s="1"/>
  <c r="U39" i="43"/>
  <c r="S39" i="43"/>
  <c r="I39" i="43"/>
  <c r="H39" i="43"/>
  <c r="G39" i="43"/>
  <c r="F39" i="43"/>
  <c r="E39" i="43"/>
  <c r="D39" i="43"/>
  <c r="C39" i="43"/>
  <c r="B39" i="43"/>
  <c r="AO38" i="43"/>
  <c r="AL38" i="43"/>
  <c r="AK38" i="43"/>
  <c r="AF38" i="43"/>
  <c r="AH38" i="43" s="1"/>
  <c r="X38" i="43"/>
  <c r="AM38" i="43" s="1"/>
  <c r="U38" i="43"/>
  <c r="S38" i="43"/>
  <c r="I38" i="43"/>
  <c r="H38" i="43"/>
  <c r="G38" i="43"/>
  <c r="F38" i="43"/>
  <c r="E38" i="43"/>
  <c r="D38" i="43"/>
  <c r="C38" i="43"/>
  <c r="B38" i="43"/>
  <c r="AO37" i="43"/>
  <c r="AL37" i="43"/>
  <c r="AK37" i="43"/>
  <c r="AF37" i="43"/>
  <c r="AH37" i="43" s="1"/>
  <c r="X37" i="43"/>
  <c r="AM37" i="43" s="1"/>
  <c r="S37" i="43"/>
  <c r="I37" i="43"/>
  <c r="H37" i="43"/>
  <c r="G37" i="43"/>
  <c r="F37" i="43"/>
  <c r="E37" i="43"/>
  <c r="D37" i="43"/>
  <c r="C37" i="43"/>
  <c r="B37" i="43"/>
  <c r="AO36" i="43"/>
  <c r="AL36" i="43"/>
  <c r="AK36" i="43"/>
  <c r="AF36" i="43"/>
  <c r="AH36" i="43" s="1"/>
  <c r="X36" i="43"/>
  <c r="AM36" i="43" s="1"/>
  <c r="S36" i="43"/>
  <c r="U36" i="43" s="1"/>
  <c r="I36" i="43"/>
  <c r="H36" i="43"/>
  <c r="G36" i="43"/>
  <c r="F36" i="43"/>
  <c r="E36" i="43"/>
  <c r="D36" i="43"/>
  <c r="C36" i="43"/>
  <c r="B36" i="43"/>
  <c r="AO35" i="43"/>
  <c r="AL35" i="43"/>
  <c r="AK35" i="43"/>
  <c r="AF35" i="43"/>
  <c r="AH35" i="43" s="1"/>
  <c r="X35" i="43"/>
  <c r="S35" i="43"/>
  <c r="U35" i="43" s="1"/>
  <c r="I35" i="43"/>
  <c r="H35" i="43"/>
  <c r="G35" i="43"/>
  <c r="F35" i="43"/>
  <c r="E35" i="43"/>
  <c r="D35" i="43"/>
  <c r="C35" i="43"/>
  <c r="B35" i="43"/>
  <c r="AO34" i="43"/>
  <c r="AL34" i="43"/>
  <c r="AK34" i="43"/>
  <c r="AF34" i="43"/>
  <c r="AH34" i="43" s="1"/>
  <c r="X34" i="43"/>
  <c r="S34" i="43"/>
  <c r="U34" i="43" s="1"/>
  <c r="I34" i="43"/>
  <c r="H34" i="43"/>
  <c r="G34" i="43"/>
  <c r="F34" i="43"/>
  <c r="E34" i="43"/>
  <c r="D34" i="43"/>
  <c r="C34" i="43"/>
  <c r="B34" i="43"/>
  <c r="AO33" i="43"/>
  <c r="AL33" i="43"/>
  <c r="AK33" i="43"/>
  <c r="AF33" i="43"/>
  <c r="AH33" i="43" s="1"/>
  <c r="X33" i="43"/>
  <c r="S33" i="43"/>
  <c r="U33" i="43" s="1"/>
  <c r="I33" i="43"/>
  <c r="H33" i="43"/>
  <c r="G33" i="43"/>
  <c r="F33" i="43"/>
  <c r="E33" i="43"/>
  <c r="D33" i="43"/>
  <c r="C33" i="43"/>
  <c r="B33" i="43"/>
  <c r="AO32" i="43"/>
  <c r="AL32" i="43"/>
  <c r="AK32" i="43"/>
  <c r="AF32" i="43"/>
  <c r="AH32" i="43" s="1"/>
  <c r="X32" i="43"/>
  <c r="AM32" i="43" s="1"/>
  <c r="S32" i="43"/>
  <c r="I32" i="43"/>
  <c r="H32" i="43"/>
  <c r="G32" i="43"/>
  <c r="F32" i="43"/>
  <c r="E32" i="43"/>
  <c r="D32" i="43"/>
  <c r="C32" i="43"/>
  <c r="B32" i="43"/>
  <c r="AO31" i="43"/>
  <c r="AL31" i="43"/>
  <c r="AK31" i="43"/>
  <c r="AF31" i="43"/>
  <c r="AH31" i="43" s="1"/>
  <c r="X31" i="43"/>
  <c r="AM31" i="43" s="1"/>
  <c r="S31" i="43"/>
  <c r="I31" i="43"/>
  <c r="H31" i="43"/>
  <c r="G31" i="43"/>
  <c r="F31" i="43"/>
  <c r="E31" i="43"/>
  <c r="D31" i="43"/>
  <c r="C31" i="43"/>
  <c r="B31" i="43"/>
  <c r="AO30" i="43"/>
  <c r="AM30" i="43"/>
  <c r="AL30" i="43"/>
  <c r="AK30" i="43"/>
  <c r="AH30" i="43"/>
  <c r="AF30" i="43"/>
  <c r="X30" i="43"/>
  <c r="S30" i="43"/>
  <c r="I30" i="43"/>
  <c r="H30" i="43"/>
  <c r="G30" i="43"/>
  <c r="F30" i="43"/>
  <c r="E30" i="43"/>
  <c r="D30" i="43"/>
  <c r="C30" i="43"/>
  <c r="B30" i="43"/>
  <c r="AO29" i="43"/>
  <c r="AL29" i="43"/>
  <c r="AK29" i="43"/>
  <c r="AF29" i="43"/>
  <c r="AH29" i="43" s="1"/>
  <c r="X29" i="43"/>
  <c r="S29" i="43"/>
  <c r="I29" i="43"/>
  <c r="H29" i="43"/>
  <c r="G29" i="43"/>
  <c r="F29" i="43"/>
  <c r="E29" i="43"/>
  <c r="D29" i="43"/>
  <c r="C29" i="43"/>
  <c r="B29" i="43"/>
  <c r="AO28" i="43"/>
  <c r="AL28" i="43"/>
  <c r="AK28" i="43"/>
  <c r="AF28" i="43"/>
  <c r="AH28" i="43" s="1"/>
  <c r="X28" i="43"/>
  <c r="AM28" i="43" s="1"/>
  <c r="S28" i="43"/>
  <c r="I28" i="43"/>
  <c r="H28" i="43"/>
  <c r="G28" i="43"/>
  <c r="F28" i="43"/>
  <c r="E28" i="43"/>
  <c r="D28" i="43"/>
  <c r="C28" i="43"/>
  <c r="B28" i="43"/>
  <c r="AO27" i="43"/>
  <c r="AL27" i="43"/>
  <c r="AK27" i="43"/>
  <c r="AF27" i="43"/>
  <c r="AH27" i="43" s="1"/>
  <c r="X27" i="43"/>
  <c r="AM27" i="43" s="1"/>
  <c r="S27" i="43"/>
  <c r="U27" i="43" s="1"/>
  <c r="I27" i="43"/>
  <c r="H27" i="43"/>
  <c r="G27" i="43"/>
  <c r="F27" i="43"/>
  <c r="E27" i="43"/>
  <c r="D27" i="43"/>
  <c r="C27" i="43"/>
  <c r="B27" i="43"/>
  <c r="AO26" i="43"/>
  <c r="AL26" i="43"/>
  <c r="AK26" i="43"/>
  <c r="AM26" i="43" s="1"/>
  <c r="AF26" i="43"/>
  <c r="AH26" i="43" s="1"/>
  <c r="X26" i="43"/>
  <c r="S26" i="43"/>
  <c r="U26" i="43" s="1"/>
  <c r="I26" i="43"/>
  <c r="H26" i="43"/>
  <c r="G26" i="43"/>
  <c r="F26" i="43"/>
  <c r="E26" i="43"/>
  <c r="D26" i="43"/>
  <c r="C26" i="43"/>
  <c r="B26" i="43"/>
  <c r="AO25" i="43"/>
  <c r="AL25" i="43"/>
  <c r="AK25" i="43"/>
  <c r="AF25" i="43"/>
  <c r="AH25" i="43" s="1"/>
  <c r="X25" i="43"/>
  <c r="AM25" i="43" s="1"/>
  <c r="S25" i="43"/>
  <c r="U25" i="43" s="1"/>
  <c r="I25" i="43"/>
  <c r="H25" i="43"/>
  <c r="G25" i="43"/>
  <c r="F25" i="43"/>
  <c r="E25" i="43"/>
  <c r="D25" i="43"/>
  <c r="C25" i="43"/>
  <c r="B25" i="43"/>
  <c r="AO24" i="43"/>
  <c r="AL24" i="43"/>
  <c r="AK24" i="43"/>
  <c r="AF24" i="43"/>
  <c r="AH24" i="43" s="1"/>
  <c r="X24" i="43"/>
  <c r="AM24" i="43" s="1"/>
  <c r="S24" i="43"/>
  <c r="AN24" i="43" s="1"/>
  <c r="I24" i="43"/>
  <c r="H24" i="43"/>
  <c r="G24" i="43"/>
  <c r="F24" i="43"/>
  <c r="E24" i="43"/>
  <c r="D24" i="43"/>
  <c r="C24" i="43"/>
  <c r="B24" i="43"/>
  <c r="AO23" i="43"/>
  <c r="AL23" i="43"/>
  <c r="AK23" i="43"/>
  <c r="AF23" i="43"/>
  <c r="AH23" i="43" s="1"/>
  <c r="X23" i="43"/>
  <c r="S23" i="43"/>
  <c r="I23" i="43"/>
  <c r="H23" i="43"/>
  <c r="G23" i="43"/>
  <c r="F23" i="43"/>
  <c r="E23" i="43"/>
  <c r="D23" i="43"/>
  <c r="C23" i="43"/>
  <c r="B23" i="43"/>
  <c r="AO22" i="43"/>
  <c r="AL22" i="43"/>
  <c r="AK22" i="43"/>
  <c r="AF22" i="43"/>
  <c r="AH22" i="43" s="1"/>
  <c r="X22" i="43"/>
  <c r="AM22" i="43" s="1"/>
  <c r="S22" i="43"/>
  <c r="U22" i="43" s="1"/>
  <c r="I22" i="43"/>
  <c r="H22" i="43"/>
  <c r="G22" i="43"/>
  <c r="F22" i="43"/>
  <c r="E22" i="43"/>
  <c r="D22" i="43"/>
  <c r="C22" i="43"/>
  <c r="B22" i="43"/>
  <c r="AO21" i="43"/>
  <c r="AL21" i="43"/>
  <c r="AK21" i="43"/>
  <c r="AF21" i="43"/>
  <c r="AH21" i="43" s="1"/>
  <c r="X21" i="43"/>
  <c r="AM21" i="43" s="1"/>
  <c r="S21" i="43"/>
  <c r="I21" i="43"/>
  <c r="H21" i="43"/>
  <c r="G21" i="43"/>
  <c r="F21" i="43"/>
  <c r="E21" i="43"/>
  <c r="D21" i="43"/>
  <c r="C21" i="43"/>
  <c r="B21" i="43"/>
  <c r="AO20" i="43"/>
  <c r="AL20" i="43"/>
  <c r="AK20" i="43"/>
  <c r="AF20" i="43"/>
  <c r="AH20" i="43" s="1"/>
  <c r="X20" i="43"/>
  <c r="S20" i="43"/>
  <c r="I20" i="43"/>
  <c r="H20" i="43"/>
  <c r="G20" i="43"/>
  <c r="F20" i="43"/>
  <c r="E20" i="43"/>
  <c r="D20" i="43"/>
  <c r="C20" i="43"/>
  <c r="B20" i="43"/>
  <c r="AO19" i="43"/>
  <c r="AL19" i="43"/>
  <c r="AK19" i="43"/>
  <c r="AF19" i="43"/>
  <c r="AH19" i="43" s="1"/>
  <c r="X19" i="43"/>
  <c r="AM19" i="43" s="1"/>
  <c r="S19" i="43"/>
  <c r="U19" i="43" s="1"/>
  <c r="I19" i="43"/>
  <c r="H19" i="43"/>
  <c r="G19" i="43"/>
  <c r="F19" i="43"/>
  <c r="E19" i="43"/>
  <c r="D19" i="43"/>
  <c r="C19" i="43"/>
  <c r="B19" i="43"/>
  <c r="AO18" i="43"/>
  <c r="AL18" i="43"/>
  <c r="AK18" i="43"/>
  <c r="AF18" i="43"/>
  <c r="AH18" i="43" s="1"/>
  <c r="X18" i="43"/>
  <c r="S18" i="43"/>
  <c r="I18" i="43"/>
  <c r="H18" i="43"/>
  <c r="G18" i="43"/>
  <c r="F18" i="43"/>
  <c r="E18" i="43"/>
  <c r="D18" i="43"/>
  <c r="C18" i="43"/>
  <c r="B18" i="43"/>
  <c r="AO17" i="43"/>
  <c r="AL17" i="43"/>
  <c r="AK17" i="43"/>
  <c r="AF17" i="43"/>
  <c r="AH17" i="43" s="1"/>
  <c r="X17" i="43"/>
  <c r="S17" i="43"/>
  <c r="U17" i="43" s="1"/>
  <c r="I17" i="43"/>
  <c r="H17" i="43"/>
  <c r="G17" i="43"/>
  <c r="F17" i="43"/>
  <c r="E17" i="43"/>
  <c r="D17" i="43"/>
  <c r="C17" i="43"/>
  <c r="B17" i="43"/>
  <c r="AO16" i="43"/>
  <c r="AL16" i="43"/>
  <c r="AK16" i="43"/>
  <c r="AF16" i="43"/>
  <c r="AH16" i="43" s="1"/>
  <c r="X16" i="43"/>
  <c r="AM16" i="43" s="1"/>
  <c r="S16" i="43"/>
  <c r="I16" i="43"/>
  <c r="H16" i="43"/>
  <c r="G16" i="43"/>
  <c r="F16" i="43"/>
  <c r="E16" i="43"/>
  <c r="D16" i="43"/>
  <c r="C16" i="43"/>
  <c r="B16" i="43"/>
  <c r="AO15" i="43"/>
  <c r="AL15" i="43"/>
  <c r="AK15" i="43"/>
  <c r="AH15" i="43"/>
  <c r="AF15" i="43"/>
  <c r="X15" i="43"/>
  <c r="S15" i="43"/>
  <c r="AN15" i="43" s="1"/>
  <c r="AP15" i="43" s="1"/>
  <c r="I15" i="43"/>
  <c r="H15" i="43"/>
  <c r="G15" i="43"/>
  <c r="F15" i="43"/>
  <c r="E15" i="43"/>
  <c r="D15" i="43"/>
  <c r="C15" i="43"/>
  <c r="B15" i="43"/>
  <c r="AO14" i="43"/>
  <c r="AL14" i="43"/>
  <c r="AK14" i="43"/>
  <c r="AF14" i="43"/>
  <c r="AH14" i="43" s="1"/>
  <c r="X14" i="43"/>
  <c r="S14" i="43"/>
  <c r="I14" i="43"/>
  <c r="H14" i="43"/>
  <c r="G14" i="43"/>
  <c r="F14" i="43"/>
  <c r="E14" i="43"/>
  <c r="D14" i="43"/>
  <c r="C14" i="43"/>
  <c r="B14" i="43"/>
  <c r="AO13" i="43"/>
  <c r="AL13" i="43"/>
  <c r="AK13" i="43"/>
  <c r="AF13" i="43"/>
  <c r="AH13" i="43" s="1"/>
  <c r="X13" i="43"/>
  <c r="S13" i="43"/>
  <c r="AN13" i="43" s="1"/>
  <c r="AP13" i="43" s="1"/>
  <c r="I13" i="43"/>
  <c r="H13" i="43"/>
  <c r="G13" i="43"/>
  <c r="F13" i="43"/>
  <c r="E13" i="43"/>
  <c r="D13" i="43"/>
  <c r="C13" i="43"/>
  <c r="B13" i="43"/>
  <c r="AO12" i="43"/>
  <c r="AL12" i="43"/>
  <c r="AK12" i="43"/>
  <c r="AF12" i="43"/>
  <c r="AH12" i="43" s="1"/>
  <c r="X12" i="43"/>
  <c r="AM12" i="43" s="1"/>
  <c r="S12" i="43"/>
  <c r="U12" i="43" s="1"/>
  <c r="I12" i="43"/>
  <c r="H12" i="43"/>
  <c r="G12" i="43"/>
  <c r="F12" i="43"/>
  <c r="E12" i="43"/>
  <c r="D12" i="43"/>
  <c r="C12" i="43"/>
  <c r="B12" i="43"/>
  <c r="AO11" i="43"/>
  <c r="AL11" i="43"/>
  <c r="AK11" i="43"/>
  <c r="AF11" i="43"/>
  <c r="AH11" i="43" s="1"/>
  <c r="X11" i="43"/>
  <c r="AM11" i="43" s="1"/>
  <c r="S11" i="43"/>
  <c r="U11" i="43" s="1"/>
  <c r="I11" i="43"/>
  <c r="H11" i="43"/>
  <c r="G11" i="43"/>
  <c r="F11" i="43"/>
  <c r="E11" i="43"/>
  <c r="D11" i="43"/>
  <c r="C11" i="43"/>
  <c r="B11" i="43"/>
  <c r="AO10" i="43"/>
  <c r="AL10" i="43"/>
  <c r="AK10" i="43"/>
  <c r="AM10" i="43" s="1"/>
  <c r="AF10" i="43"/>
  <c r="AH10" i="43" s="1"/>
  <c r="X10" i="43"/>
  <c r="S10" i="43"/>
  <c r="I10" i="43"/>
  <c r="H10" i="43"/>
  <c r="G10" i="43"/>
  <c r="F10" i="43"/>
  <c r="E10" i="43"/>
  <c r="D10" i="43"/>
  <c r="C10" i="43"/>
  <c r="B10" i="43"/>
  <c r="AO9" i="43"/>
  <c r="AL9" i="43"/>
  <c r="AK9" i="43"/>
  <c r="AF9" i="43"/>
  <c r="AH9" i="43" s="1"/>
  <c r="X9" i="43"/>
  <c r="AM9" i="43" s="1"/>
  <c r="S9" i="43"/>
  <c r="U9" i="43" s="1"/>
  <c r="I9" i="43"/>
  <c r="H9" i="43"/>
  <c r="G9" i="43"/>
  <c r="F9" i="43"/>
  <c r="E9" i="43"/>
  <c r="D9" i="43"/>
  <c r="C9" i="43"/>
  <c r="B9" i="43"/>
  <c r="AO8" i="43"/>
  <c r="AL8" i="43"/>
  <c r="AK8" i="43"/>
  <c r="AF8" i="43"/>
  <c r="X8" i="43"/>
  <c r="AM8" i="43" s="1"/>
  <c r="U8" i="43"/>
  <c r="S8" i="43"/>
  <c r="I8" i="43"/>
  <c r="H8" i="43"/>
  <c r="G8" i="43"/>
  <c r="F8" i="43"/>
  <c r="E8" i="43"/>
  <c r="D8" i="43"/>
  <c r="C8" i="43"/>
  <c r="B8" i="43"/>
  <c r="AO7" i="43"/>
  <c r="AL7" i="43"/>
  <c r="AK7" i="43"/>
  <c r="AF7" i="43"/>
  <c r="AH7" i="43" s="1"/>
  <c r="X7" i="43"/>
  <c r="S7" i="43"/>
  <c r="U7" i="43" s="1"/>
  <c r="I7" i="43"/>
  <c r="H7" i="43"/>
  <c r="G7" i="43"/>
  <c r="F7" i="43"/>
  <c r="E7" i="43"/>
  <c r="D7" i="43"/>
  <c r="C7" i="43"/>
  <c r="B7" i="43"/>
  <c r="AO6" i="43"/>
  <c r="AL6" i="43"/>
  <c r="AK6" i="43"/>
  <c r="AF6" i="43"/>
  <c r="X6" i="43"/>
  <c r="S6" i="43"/>
  <c r="U6" i="43" s="1"/>
  <c r="I6" i="43"/>
  <c r="H6" i="43"/>
  <c r="G6" i="43"/>
  <c r="F6" i="43"/>
  <c r="E6" i="43"/>
  <c r="D6" i="43"/>
  <c r="C6" i="43"/>
  <c r="B6" i="43"/>
  <c r="D157" i="43"/>
  <c r="D11" i="20" s="1"/>
  <c r="H2" i="43"/>
  <c r="E2" i="43"/>
  <c r="C2" i="43"/>
  <c r="U65" i="59" l="1"/>
  <c r="T162" i="59" s="1"/>
  <c r="T114" i="20" s="1"/>
  <c r="U64" i="59"/>
  <c r="T161" i="59" s="1"/>
  <c r="T113" i="20" s="1"/>
  <c r="U66" i="59"/>
  <c r="T163" i="59" s="1"/>
  <c r="T115" i="20" s="1"/>
  <c r="S65" i="58"/>
  <c r="R162" i="58" s="1"/>
  <c r="R107" i="20" s="1"/>
  <c r="S66" i="58"/>
  <c r="R163" i="58" s="1"/>
  <c r="R108" i="20" s="1"/>
  <c r="U66" i="61"/>
  <c r="T163" i="61" s="1"/>
  <c r="T129" i="20" s="1"/>
  <c r="U65" i="61"/>
  <c r="T162" i="61" s="1"/>
  <c r="T128" i="20" s="1"/>
  <c r="AN25" i="45"/>
  <c r="U62" i="57"/>
  <c r="U64" i="57" s="1"/>
  <c r="T161" i="57" s="1"/>
  <c r="T99" i="20" s="1"/>
  <c r="U62" i="56"/>
  <c r="U63" i="56" s="1"/>
  <c r="T160" i="56" s="1"/>
  <c r="T91" i="20" s="1"/>
  <c r="AE158" i="54"/>
  <c r="AE75" i="20" s="1"/>
  <c r="T158" i="50"/>
  <c r="T61" i="20" s="1"/>
  <c r="O64" i="50"/>
  <c r="O65" i="50"/>
  <c r="O66" i="50"/>
  <c r="AC159" i="50"/>
  <c r="AC62" i="20" s="1"/>
  <c r="O63" i="49"/>
  <c r="N66" i="49"/>
  <c r="T158" i="48"/>
  <c r="T47" i="20" s="1"/>
  <c r="AC159" i="48"/>
  <c r="AC48" i="20" s="1"/>
  <c r="AC158" i="48"/>
  <c r="AC47" i="20" s="1"/>
  <c r="M63" i="48"/>
  <c r="T158" i="47"/>
  <c r="T40" i="20" s="1"/>
  <c r="P63" i="47"/>
  <c r="P65" i="47"/>
  <c r="U34" i="44"/>
  <c r="AN34" i="44"/>
  <c r="U46" i="44"/>
  <c r="AN46" i="44"/>
  <c r="S7" i="41"/>
  <c r="AN30" i="43"/>
  <c r="U30" i="43"/>
  <c r="U40" i="43"/>
  <c r="AM55" i="43"/>
  <c r="M8" i="41"/>
  <c r="AP20" i="44"/>
  <c r="AM44" i="43"/>
  <c r="X61" i="44"/>
  <c r="AN31" i="44"/>
  <c r="U31" i="44"/>
  <c r="AP43" i="44"/>
  <c r="AN47" i="44"/>
  <c r="U47" i="44"/>
  <c r="AM40" i="43"/>
  <c r="AM52" i="43"/>
  <c r="AE63" i="43"/>
  <c r="AK61" i="44"/>
  <c r="AM25" i="44"/>
  <c r="AP27" i="44"/>
  <c r="U46" i="43"/>
  <c r="U47" i="43"/>
  <c r="U26" i="44"/>
  <c r="AN26" i="44"/>
  <c r="AP26" i="44" s="1"/>
  <c r="AM33" i="44"/>
  <c r="AM45" i="44"/>
  <c r="AN50" i="44"/>
  <c r="AH50" i="44"/>
  <c r="AQ63" i="48"/>
  <c r="AF160" i="48" s="1"/>
  <c r="AF49" i="20" s="1"/>
  <c r="AN35" i="44"/>
  <c r="AP35" i="44" s="1"/>
  <c r="AM38" i="44"/>
  <c r="AN41" i="44"/>
  <c r="AP41" i="44" s="1"/>
  <c r="AN44" i="44"/>
  <c r="AP44" i="44" s="1"/>
  <c r="AM52" i="44"/>
  <c r="AP25" i="45"/>
  <c r="AN27" i="45"/>
  <c r="AP27" i="45" s="1"/>
  <c r="U29" i="45"/>
  <c r="AP34" i="46"/>
  <c r="AA65" i="49"/>
  <c r="AM13" i="43"/>
  <c r="AN23" i="43"/>
  <c r="AN29" i="43"/>
  <c r="AP29" i="43" s="1"/>
  <c r="AN31" i="43"/>
  <c r="AN32" i="43"/>
  <c r="AM45" i="43"/>
  <c r="AM53" i="43"/>
  <c r="Y62" i="43"/>
  <c r="Y66" i="43" s="1"/>
  <c r="U163" i="43" s="1"/>
  <c r="U17" i="20" s="1"/>
  <c r="AN7" i="44"/>
  <c r="AM12" i="44"/>
  <c r="AM22" i="44"/>
  <c r="AM30" i="44"/>
  <c r="AM31" i="44"/>
  <c r="U35" i="44"/>
  <c r="U41" i="44"/>
  <c r="U44" i="44"/>
  <c r="AP47" i="44"/>
  <c r="AN55" i="44"/>
  <c r="AM55" i="44"/>
  <c r="F157" i="45"/>
  <c r="F25" i="20" s="1"/>
  <c r="AM15" i="45"/>
  <c r="AN22" i="45"/>
  <c r="AM24" i="45"/>
  <c r="AM25" i="45"/>
  <c r="U27" i="45"/>
  <c r="U30" i="45"/>
  <c r="U31" i="45"/>
  <c r="AN37" i="45"/>
  <c r="U43" i="45"/>
  <c r="U46" i="45"/>
  <c r="AM47" i="45"/>
  <c r="AN51" i="45"/>
  <c r="AP51" i="45" s="1"/>
  <c r="U53" i="45"/>
  <c r="U54" i="45"/>
  <c r="AM15" i="46"/>
  <c r="AM25" i="46"/>
  <c r="U26" i="46"/>
  <c r="U27" i="46"/>
  <c r="AN30" i="46"/>
  <c r="AP30" i="46" s="1"/>
  <c r="AN31" i="46"/>
  <c r="AP31" i="46" s="1"/>
  <c r="AN33" i="46"/>
  <c r="AP33" i="46" s="1"/>
  <c r="AN34" i="46"/>
  <c r="U41" i="46"/>
  <c r="AN42" i="46"/>
  <c r="U43" i="46"/>
  <c r="AN46" i="46"/>
  <c r="AP46" i="46" s="1"/>
  <c r="AN47" i="46"/>
  <c r="AP47" i="46" s="1"/>
  <c r="U50" i="46"/>
  <c r="AM54" i="46"/>
  <c r="Y62" i="46"/>
  <c r="R62" i="46"/>
  <c r="Y63" i="50"/>
  <c r="U160" i="50" s="1"/>
  <c r="U63" i="20" s="1"/>
  <c r="S63" i="57"/>
  <c r="R160" i="57" s="1"/>
  <c r="R98" i="20" s="1"/>
  <c r="AN65" i="62"/>
  <c r="AC162" i="62" s="1"/>
  <c r="AC135" i="20" s="1"/>
  <c r="AN64" i="62"/>
  <c r="AC161" i="62" s="1"/>
  <c r="AC134" i="20" s="1"/>
  <c r="U60" i="49"/>
  <c r="AN27" i="44"/>
  <c r="AN28" i="44"/>
  <c r="AP28" i="44" s="1"/>
  <c r="AN29" i="44"/>
  <c r="AN36" i="44"/>
  <c r="AP36" i="44" s="1"/>
  <c r="AN43" i="44"/>
  <c r="AK61" i="43"/>
  <c r="AM7" i="43"/>
  <c r="AN10" i="43"/>
  <c r="AM14" i="43"/>
  <c r="AM15" i="43"/>
  <c r="AN18" i="43"/>
  <c r="AP18" i="43" s="1"/>
  <c r="AN20" i="43"/>
  <c r="AN28" i="43"/>
  <c r="AP28" i="43" s="1"/>
  <c r="AM46" i="43"/>
  <c r="AM54" i="43"/>
  <c r="AM20" i="43"/>
  <c r="AM23" i="43"/>
  <c r="U28" i="43"/>
  <c r="AM29" i="43"/>
  <c r="U31" i="43"/>
  <c r="U32" i="43"/>
  <c r="AM33" i="43"/>
  <c r="AM34" i="43"/>
  <c r="AM35" i="43"/>
  <c r="AN37" i="43"/>
  <c r="AP37" i="43" s="1"/>
  <c r="AN38" i="43"/>
  <c r="AP38" i="43" s="1"/>
  <c r="AN39" i="43"/>
  <c r="AM42" i="43"/>
  <c r="AM49" i="43"/>
  <c r="AM50" i="43"/>
  <c r="AM51" i="43"/>
  <c r="AM7" i="44"/>
  <c r="AM14" i="44"/>
  <c r="AM18" i="44"/>
  <c r="AM28" i="44"/>
  <c r="AM35" i="44"/>
  <c r="AM36" i="44"/>
  <c r="AN39" i="44"/>
  <c r="AM39" i="44"/>
  <c r="AM40" i="44"/>
  <c r="AM44" i="44"/>
  <c r="AN51" i="44"/>
  <c r="AN52" i="44"/>
  <c r="AP52" i="44" s="1"/>
  <c r="U55" i="44"/>
  <c r="T62" i="44"/>
  <c r="T66" i="44" s="1"/>
  <c r="S163" i="44" s="1"/>
  <c r="S24" i="20" s="1"/>
  <c r="AD62" i="44"/>
  <c r="AD63" i="44" s="1"/>
  <c r="AM14" i="45"/>
  <c r="U22" i="45"/>
  <c r="AN23" i="45"/>
  <c r="AM26" i="45"/>
  <c r="AM27" i="45"/>
  <c r="AM30" i="45"/>
  <c r="AM31" i="45"/>
  <c r="AP31" i="45"/>
  <c r="AN33" i="45"/>
  <c r="U37" i="45"/>
  <c r="AN38" i="45"/>
  <c r="AP38" i="45" s="1"/>
  <c r="AN39" i="45"/>
  <c r="AM40" i="45"/>
  <c r="AM41" i="45"/>
  <c r="AM43" i="45"/>
  <c r="U51" i="45"/>
  <c r="AM53" i="45"/>
  <c r="AM54" i="45"/>
  <c r="AP54" i="45"/>
  <c r="AE62" i="45"/>
  <c r="AE63" i="45" s="1"/>
  <c r="AN9" i="46"/>
  <c r="AP9" i="46" s="1"/>
  <c r="AM9" i="46"/>
  <c r="AN15" i="46"/>
  <c r="AP15" i="46" s="1"/>
  <c r="AN20" i="46"/>
  <c r="AP20" i="46" s="1"/>
  <c r="AM26" i="46"/>
  <c r="AM27" i="46"/>
  <c r="AM29" i="46"/>
  <c r="U30" i="46"/>
  <c r="U31" i="46"/>
  <c r="U33" i="46"/>
  <c r="AM33" i="46"/>
  <c r="U34" i="46"/>
  <c r="AN38" i="46"/>
  <c r="AP38" i="46" s="1"/>
  <c r="AN39" i="46"/>
  <c r="AP39" i="46" s="1"/>
  <c r="U42" i="46"/>
  <c r="AM43" i="46"/>
  <c r="AM45" i="46"/>
  <c r="U46" i="46"/>
  <c r="U47" i="46"/>
  <c r="AN48" i="46"/>
  <c r="AM50" i="46"/>
  <c r="N66" i="48"/>
  <c r="M64" i="49"/>
  <c r="X65" i="54"/>
  <c r="AF64" i="54"/>
  <c r="X161" i="54" s="1"/>
  <c r="X78" i="20" s="1"/>
  <c r="U62" i="54"/>
  <c r="U65" i="54" s="1"/>
  <c r="T162" i="54" s="1"/>
  <c r="T79" i="20" s="1"/>
  <c r="S64" i="57"/>
  <c r="R161" i="57" s="1"/>
  <c r="R99" i="20" s="1"/>
  <c r="AK64" i="58"/>
  <c r="AN66" i="62"/>
  <c r="AC163" i="62" s="1"/>
  <c r="AC136" i="20" s="1"/>
  <c r="P66" i="47"/>
  <c r="AP23" i="45"/>
  <c r="AP30" i="45"/>
  <c r="AM38" i="45"/>
  <c r="AP26" i="46"/>
  <c r="AM37" i="46"/>
  <c r="AP42" i="46"/>
  <c r="R66" i="46"/>
  <c r="AQ65" i="48"/>
  <c r="AF162" i="48" s="1"/>
  <c r="AF51" i="20" s="1"/>
  <c r="N65" i="48"/>
  <c r="X64" i="54"/>
  <c r="X66" i="54"/>
  <c r="AF65" i="54"/>
  <c r="X162" i="54" s="1"/>
  <c r="X79" i="20" s="1"/>
  <c r="Z65" i="49"/>
  <c r="AN65" i="63"/>
  <c r="AC162" i="63" s="1"/>
  <c r="AC142" i="20" s="1"/>
  <c r="AN63" i="63"/>
  <c r="AC160" i="63" s="1"/>
  <c r="AC140" i="20" s="1"/>
  <c r="AE157" i="63"/>
  <c r="AE137" i="20" s="1"/>
  <c r="AL25" i="41"/>
  <c r="AN64" i="63"/>
  <c r="AC161" i="63" s="1"/>
  <c r="AC141" i="20" s="1"/>
  <c r="AM64" i="62"/>
  <c r="AB161" i="62" s="1"/>
  <c r="AB134" i="20" s="1"/>
  <c r="AM63" i="62"/>
  <c r="AB160" i="62" s="1"/>
  <c r="AB133" i="20" s="1"/>
  <c r="AE157" i="62"/>
  <c r="AE130" i="20" s="1"/>
  <c r="AL24" i="41"/>
  <c r="AE157" i="61"/>
  <c r="AE123" i="20" s="1"/>
  <c r="AL23" i="41"/>
  <c r="AH63" i="60"/>
  <c r="Z160" i="60" s="1"/>
  <c r="Z119" i="20" s="1"/>
  <c r="AH66" i="60"/>
  <c r="Z163" i="60" s="1"/>
  <c r="Z122" i="20" s="1"/>
  <c r="AH65" i="60"/>
  <c r="Z162" i="60" s="1"/>
  <c r="Z121" i="20" s="1"/>
  <c r="U64" i="60"/>
  <c r="T161" i="60" s="1"/>
  <c r="T120" i="20" s="1"/>
  <c r="AE157" i="60"/>
  <c r="AE116" i="20" s="1"/>
  <c r="AL22" i="41"/>
  <c r="AM66" i="59"/>
  <c r="AB163" i="59" s="1"/>
  <c r="AB115" i="20" s="1"/>
  <c r="AM65" i="59"/>
  <c r="AB162" i="59" s="1"/>
  <c r="AB114" i="20" s="1"/>
  <c r="AE157" i="59"/>
  <c r="AE109" i="20" s="1"/>
  <c r="AL21" i="41"/>
  <c r="AN63" i="59"/>
  <c r="AC160" i="59" s="1"/>
  <c r="AC112" i="20" s="1"/>
  <c r="AN66" i="59"/>
  <c r="AC163" i="59" s="1"/>
  <c r="AC115" i="20" s="1"/>
  <c r="AK65" i="58"/>
  <c r="AH65" i="58"/>
  <c r="Z162" i="58" s="1"/>
  <c r="Z107" i="20" s="1"/>
  <c r="AO66" i="58"/>
  <c r="AD163" i="58" s="1"/>
  <c r="AD108" i="20" s="1"/>
  <c r="AO64" i="58"/>
  <c r="AD161" i="58" s="1"/>
  <c r="AD106" i="20" s="1"/>
  <c r="AL64" i="58"/>
  <c r="AA161" i="58" s="1"/>
  <c r="AA106" i="20" s="1"/>
  <c r="AL66" i="58"/>
  <c r="AA163" i="58" s="1"/>
  <c r="AA108" i="20" s="1"/>
  <c r="X66" i="58"/>
  <c r="X63" i="58"/>
  <c r="AB157" i="58"/>
  <c r="AB102" i="20" s="1"/>
  <c r="AI20" i="41"/>
  <c r="AC157" i="58"/>
  <c r="AC102" i="20" s="1"/>
  <c r="AJ20" i="41"/>
  <c r="AB157" i="57"/>
  <c r="AB95" i="20" s="1"/>
  <c r="AI19" i="41"/>
  <c r="S65" i="57"/>
  <c r="R162" i="57" s="1"/>
  <c r="R100" i="20" s="1"/>
  <c r="AL65" i="57"/>
  <c r="AA162" i="57" s="1"/>
  <c r="AA100" i="20" s="1"/>
  <c r="AL64" i="57"/>
  <c r="AA161" i="57" s="1"/>
  <c r="AA99" i="20" s="1"/>
  <c r="AC157" i="57"/>
  <c r="AC95" i="20" s="1"/>
  <c r="AJ19" i="41"/>
  <c r="AH63" i="56"/>
  <c r="Z160" i="56" s="1"/>
  <c r="Z91" i="20" s="1"/>
  <c r="AH65" i="56"/>
  <c r="Z162" i="56" s="1"/>
  <c r="Z93" i="20" s="1"/>
  <c r="AF64" i="56"/>
  <c r="X161" i="56" s="1"/>
  <c r="X92" i="20" s="1"/>
  <c r="AF66" i="56"/>
  <c r="X163" i="56" s="1"/>
  <c r="X94" i="20" s="1"/>
  <c r="AF65" i="56"/>
  <c r="X162" i="56" s="1"/>
  <c r="X93" i="20" s="1"/>
  <c r="AH64" i="56"/>
  <c r="Z161" i="56" s="1"/>
  <c r="Z92" i="20" s="1"/>
  <c r="AB157" i="56"/>
  <c r="AB88" i="20" s="1"/>
  <c r="AI18" i="41"/>
  <c r="AO63" i="56"/>
  <c r="AD160" i="56" s="1"/>
  <c r="AD91" i="20" s="1"/>
  <c r="AC157" i="56"/>
  <c r="AC88" i="20" s="1"/>
  <c r="AJ18" i="41"/>
  <c r="AO66" i="55"/>
  <c r="AD163" i="55" s="1"/>
  <c r="AD87" i="20" s="1"/>
  <c r="AH64" i="55"/>
  <c r="Z161" i="55" s="1"/>
  <c r="Z85" i="20" s="1"/>
  <c r="X64" i="55"/>
  <c r="AB157" i="55"/>
  <c r="AB81" i="20" s="1"/>
  <c r="AI17" i="41"/>
  <c r="AO63" i="55"/>
  <c r="AD160" i="55" s="1"/>
  <c r="AD84" i="20" s="1"/>
  <c r="AL66" i="55"/>
  <c r="AA163" i="55" s="1"/>
  <c r="AA87" i="20" s="1"/>
  <c r="AL65" i="55"/>
  <c r="AA162" i="55" s="1"/>
  <c r="AA86" i="20" s="1"/>
  <c r="AC157" i="55"/>
  <c r="AC81" i="20" s="1"/>
  <c r="AJ17" i="41"/>
  <c r="T157" i="55"/>
  <c r="T81" i="20" s="1"/>
  <c r="Q17" i="41"/>
  <c r="Z157" i="54"/>
  <c r="Z74" i="20" s="1"/>
  <c r="AD16" i="41"/>
  <c r="AB157" i="54"/>
  <c r="AB74" i="20" s="1"/>
  <c r="AI16" i="41"/>
  <c r="AO63" i="54"/>
  <c r="AD160" i="54" s="1"/>
  <c r="AD77" i="20" s="1"/>
  <c r="AO64" i="54"/>
  <c r="AD161" i="54" s="1"/>
  <c r="AD78" i="20" s="1"/>
  <c r="AO65" i="54"/>
  <c r="AD162" i="54" s="1"/>
  <c r="AD79" i="20" s="1"/>
  <c r="AC157" i="54"/>
  <c r="AC74" i="20" s="1"/>
  <c r="AJ16" i="41"/>
  <c r="AB157" i="53"/>
  <c r="AB67" i="20" s="1"/>
  <c r="AI15" i="41"/>
  <c r="AO65" i="53"/>
  <c r="AD162" i="53" s="1"/>
  <c r="AD72" i="20" s="1"/>
  <c r="AD14" i="41"/>
  <c r="AK14" i="41"/>
  <c r="AB14" i="41"/>
  <c r="O14" i="41"/>
  <c r="Q65" i="50"/>
  <c r="AL62" i="50"/>
  <c r="AL63" i="50" s="1"/>
  <c r="AA160" i="50" s="1"/>
  <c r="AA63" i="20" s="1"/>
  <c r="AH14" i="41"/>
  <c r="AJ65" i="49"/>
  <c r="W162" i="49" s="1"/>
  <c r="W58" i="20" s="1"/>
  <c r="AI64" i="49"/>
  <c r="V161" i="49" s="1"/>
  <c r="V57" i="20" s="1"/>
  <c r="AI63" i="49"/>
  <c r="V160" i="49" s="1"/>
  <c r="V56" i="20" s="1"/>
  <c r="AJ66" i="49"/>
  <c r="W163" i="49" s="1"/>
  <c r="W59" i="20" s="1"/>
  <c r="AD13" i="41"/>
  <c r="AB13" i="41"/>
  <c r="Z63" i="49"/>
  <c r="Z64" i="49"/>
  <c r="V63" i="49"/>
  <c r="P160" i="49" s="1"/>
  <c r="P56" i="20" s="1"/>
  <c r="T64" i="49"/>
  <c r="S161" i="49" s="1"/>
  <c r="S57" i="20" s="1"/>
  <c r="AK13" i="41"/>
  <c r="M63" i="49"/>
  <c r="U56" i="49"/>
  <c r="U58" i="49"/>
  <c r="U59" i="49"/>
  <c r="AH13" i="41"/>
  <c r="U61" i="49"/>
  <c r="Z63" i="48"/>
  <c r="AB12" i="41"/>
  <c r="AE66" i="48"/>
  <c r="Z64" i="48"/>
  <c r="Z65" i="48"/>
  <c r="AK12" i="41"/>
  <c r="P65" i="48"/>
  <c r="O12" i="41"/>
  <c r="N63" i="48"/>
  <c r="AH12" i="41"/>
  <c r="P64" i="48"/>
  <c r="AI63" i="47"/>
  <c r="V160" i="47" s="1"/>
  <c r="V42" i="20" s="1"/>
  <c r="AE65" i="47"/>
  <c r="Y65" i="47"/>
  <c r="U162" i="47" s="1"/>
  <c r="U44" i="20" s="1"/>
  <c r="AC65" i="47"/>
  <c r="AB11" i="41"/>
  <c r="AB66" i="47"/>
  <c r="AB64" i="47"/>
  <c r="Y63" i="47"/>
  <c r="U160" i="47" s="1"/>
  <c r="U42" i="20" s="1"/>
  <c r="AK11" i="41"/>
  <c r="L63" i="47"/>
  <c r="O160" i="47" s="1"/>
  <c r="O42" i="20" s="1"/>
  <c r="O65" i="47"/>
  <c r="M66" i="47"/>
  <c r="K66" i="47"/>
  <c r="N163" i="47" s="1"/>
  <c r="N45" i="20" s="1"/>
  <c r="M63" i="47"/>
  <c r="L64" i="47"/>
  <c r="O161" i="47" s="1"/>
  <c r="O43" i="20" s="1"/>
  <c r="O11" i="41"/>
  <c r="AM11" i="46"/>
  <c r="AM19" i="46"/>
  <c r="AM10" i="46"/>
  <c r="AM18" i="46"/>
  <c r="AM14" i="46"/>
  <c r="AG65" i="46"/>
  <c r="Y162" i="46" s="1"/>
  <c r="Y37" i="20" s="1"/>
  <c r="AN17" i="46"/>
  <c r="AP17" i="46" s="1"/>
  <c r="AN18" i="46"/>
  <c r="AP18" i="46" s="1"/>
  <c r="AN12" i="46"/>
  <c r="AP12" i="46" s="1"/>
  <c r="AN14" i="46"/>
  <c r="AP14" i="46" s="1"/>
  <c r="AN11" i="46"/>
  <c r="AP11" i="46" s="1"/>
  <c r="Z62" i="46"/>
  <c r="Z66" i="46" s="1"/>
  <c r="AN10" i="46"/>
  <c r="AP10" i="46" s="1"/>
  <c r="AN22" i="46"/>
  <c r="AP22" i="46" s="1"/>
  <c r="AN23" i="46"/>
  <c r="AP23" i="46" s="1"/>
  <c r="AN25" i="46"/>
  <c r="AP25" i="46" s="1"/>
  <c r="AP7" i="46"/>
  <c r="AL58" i="46"/>
  <c r="U14" i="46"/>
  <c r="U15" i="46"/>
  <c r="P62" i="46"/>
  <c r="P63" i="46" s="1"/>
  <c r="Q62" i="46"/>
  <c r="Q66" i="46" s="1"/>
  <c r="U7" i="46"/>
  <c r="U9" i="46"/>
  <c r="U10" i="46"/>
  <c r="T158" i="46" s="1"/>
  <c r="T33" i="20" s="1"/>
  <c r="R63" i="46"/>
  <c r="AK56" i="45"/>
  <c r="AG9" i="41" s="1"/>
  <c r="AK58" i="45"/>
  <c r="AM19" i="45"/>
  <c r="AG63" i="45"/>
  <c r="Y160" i="45" s="1"/>
  <c r="Y28" i="20" s="1"/>
  <c r="Y65" i="45"/>
  <c r="U162" i="45" s="1"/>
  <c r="U30" i="20" s="1"/>
  <c r="Y64" i="45"/>
  <c r="U161" i="45" s="1"/>
  <c r="U29" i="20" s="1"/>
  <c r="AN7" i="45"/>
  <c r="AP7" i="45" s="1"/>
  <c r="AN13" i="45"/>
  <c r="AN11" i="45"/>
  <c r="AP11" i="45" s="1"/>
  <c r="AN14" i="45"/>
  <c r="AN15" i="45"/>
  <c r="AN20" i="45"/>
  <c r="AP20" i="45" s="1"/>
  <c r="Y63" i="45"/>
  <c r="U160" i="45" s="1"/>
  <c r="U28" i="20" s="1"/>
  <c r="AN21" i="45"/>
  <c r="AN19" i="45"/>
  <c r="AP19" i="45" s="1"/>
  <c r="AE65" i="45"/>
  <c r="U19" i="45"/>
  <c r="U21" i="45"/>
  <c r="O62" i="45"/>
  <c r="O63" i="45" s="1"/>
  <c r="U23" i="45"/>
  <c r="P62" i="45"/>
  <c r="P66" i="45" s="1"/>
  <c r="AM16" i="44"/>
  <c r="AN23" i="44"/>
  <c r="Y64" i="44"/>
  <c r="U161" i="44" s="1"/>
  <c r="U22" i="20" s="1"/>
  <c r="AN15" i="44"/>
  <c r="AP15" i="44" s="1"/>
  <c r="Y62" i="44"/>
  <c r="Z62" i="44"/>
  <c r="Z63" i="44" s="1"/>
  <c r="AD65" i="44"/>
  <c r="AN11" i="44"/>
  <c r="AN12" i="44"/>
  <c r="AP12" i="44" s="1"/>
  <c r="AF58" i="44"/>
  <c r="AH6" i="44"/>
  <c r="AN9" i="44"/>
  <c r="AP9" i="44" s="1"/>
  <c r="AN19" i="44"/>
  <c r="AN17" i="44"/>
  <c r="AP17" i="44" s="1"/>
  <c r="AM19" i="44"/>
  <c r="V66" i="44"/>
  <c r="P163" i="44" s="1"/>
  <c r="P24" i="20" s="1"/>
  <c r="V65" i="44"/>
  <c r="P162" i="44" s="1"/>
  <c r="P23" i="20" s="1"/>
  <c r="V64" i="44"/>
  <c r="P161" i="44" s="1"/>
  <c r="P22" i="20" s="1"/>
  <c r="T64" i="44"/>
  <c r="S161" i="44" s="1"/>
  <c r="S22" i="20" s="1"/>
  <c r="L66" i="44"/>
  <c r="O163" i="44" s="1"/>
  <c r="O24" i="20" s="1"/>
  <c r="AP7" i="44"/>
  <c r="N62" i="44"/>
  <c r="N63" i="44" s="1"/>
  <c r="U19" i="44"/>
  <c r="U20" i="44"/>
  <c r="S59" i="44"/>
  <c r="U7" i="44"/>
  <c r="AN14" i="44"/>
  <c r="Q62" i="44"/>
  <c r="Q64" i="44" s="1"/>
  <c r="R62" i="44"/>
  <c r="R65" i="44" s="1"/>
  <c r="N65" i="44"/>
  <c r="AL60" i="44"/>
  <c r="AP11" i="44"/>
  <c r="AM17" i="43"/>
  <c r="AG62" i="43"/>
  <c r="AG66" i="43" s="1"/>
  <c r="Y163" i="43" s="1"/>
  <c r="Y17" i="20" s="1"/>
  <c r="AE65" i="43"/>
  <c r="AN22" i="43"/>
  <c r="AL56" i="43"/>
  <c r="AA157" i="43" s="1"/>
  <c r="AA11" i="20" s="1"/>
  <c r="AN16" i="43"/>
  <c r="AN21" i="43"/>
  <c r="AP21" i="43" s="1"/>
  <c r="AF59" i="43"/>
  <c r="Y64" i="43"/>
  <c r="U161" i="43" s="1"/>
  <c r="U15" i="20" s="1"/>
  <c r="AN14" i="43"/>
  <c r="AH7" i="41"/>
  <c r="Y63" i="43"/>
  <c r="U160" i="43" s="1"/>
  <c r="U14" i="20" s="1"/>
  <c r="AM18" i="43"/>
  <c r="W62" i="43"/>
  <c r="W63" i="43" s="1"/>
  <c r="Q160" i="43" s="1"/>
  <c r="Q14" i="20" s="1"/>
  <c r="U15" i="43"/>
  <c r="U16" i="43"/>
  <c r="U18" i="43"/>
  <c r="U14" i="43"/>
  <c r="Q65" i="43"/>
  <c r="O62" i="43"/>
  <c r="O63" i="43" s="1"/>
  <c r="Q64" i="43"/>
  <c r="AN17" i="43"/>
  <c r="AP17" i="43" s="1"/>
  <c r="U20" i="43"/>
  <c r="U23" i="43"/>
  <c r="U24" i="43"/>
  <c r="T158" i="43" s="1"/>
  <c r="T12" i="20" s="1"/>
  <c r="Q63" i="43"/>
  <c r="U10" i="43"/>
  <c r="E69" i="45"/>
  <c r="D56" i="45"/>
  <c r="E69" i="43"/>
  <c r="D56" i="43"/>
  <c r="E69" i="46"/>
  <c r="D56" i="46"/>
  <c r="C69" i="45"/>
  <c r="C56" i="45"/>
  <c r="C69" i="46"/>
  <c r="C56" i="46"/>
  <c r="C69" i="43"/>
  <c r="C56" i="43"/>
  <c r="B157" i="44"/>
  <c r="B18" i="20" s="1"/>
  <c r="C56" i="44"/>
  <c r="N9" i="41"/>
  <c r="N10" i="41"/>
  <c r="L7" i="41"/>
  <c r="F8" i="41"/>
  <c r="N8" i="41"/>
  <c r="V8" i="41"/>
  <c r="G9" i="41"/>
  <c r="O9" i="41"/>
  <c r="W9" i="41"/>
  <c r="AE9" i="41"/>
  <c r="AM9" i="41"/>
  <c r="G10" i="41"/>
  <c r="W10" i="41"/>
  <c r="AE10" i="41"/>
  <c r="AM10" i="41"/>
  <c r="V9" i="41"/>
  <c r="M7" i="41"/>
  <c r="U7" i="41"/>
  <c r="AC7" i="41"/>
  <c r="G8" i="41"/>
  <c r="W8" i="41"/>
  <c r="AE8" i="41"/>
  <c r="AM8" i="41"/>
  <c r="AA158" i="45"/>
  <c r="AA26" i="20" s="1"/>
  <c r="H9" i="41"/>
  <c r="P9" i="41"/>
  <c r="X9" i="41"/>
  <c r="AF9" i="41"/>
  <c r="H10" i="41"/>
  <c r="P10" i="41"/>
  <c r="X10" i="41"/>
  <c r="AF10" i="41"/>
  <c r="M157" i="55"/>
  <c r="M81" i="20" s="1"/>
  <c r="M82" i="20"/>
  <c r="K7" i="41"/>
  <c r="U8" i="41"/>
  <c r="F9" i="41"/>
  <c r="V10" i="41"/>
  <c r="F7" i="41"/>
  <c r="N7" i="41"/>
  <c r="V7" i="41"/>
  <c r="H8" i="41"/>
  <c r="P8" i="41"/>
  <c r="X8" i="41"/>
  <c r="AF8" i="41"/>
  <c r="I9" i="41"/>
  <c r="Y9" i="41"/>
  <c r="I10" i="41"/>
  <c r="Y10" i="41"/>
  <c r="AC8" i="41"/>
  <c r="G7" i="41"/>
  <c r="W7" i="41"/>
  <c r="AE7" i="41"/>
  <c r="AM7" i="41"/>
  <c r="V158" i="44"/>
  <c r="V19" i="20" s="1"/>
  <c r="I8" i="41"/>
  <c r="Y8" i="41"/>
  <c r="J9" i="41"/>
  <c r="R9" i="41"/>
  <c r="Z9" i="41"/>
  <c r="J10" i="41"/>
  <c r="R10" i="41"/>
  <c r="Z10" i="41"/>
  <c r="AA7" i="41"/>
  <c r="F10" i="41"/>
  <c r="H7" i="41"/>
  <c r="P7" i="41"/>
  <c r="X7" i="41"/>
  <c r="AF7" i="41"/>
  <c r="J8" i="41"/>
  <c r="R8" i="41"/>
  <c r="Z8" i="41"/>
  <c r="K9" i="41"/>
  <c r="S9" i="41"/>
  <c r="AA9" i="41"/>
  <c r="K10" i="41"/>
  <c r="S10" i="41"/>
  <c r="AA10" i="41"/>
  <c r="M157" i="56"/>
  <c r="M88" i="20" s="1"/>
  <c r="M89" i="20"/>
  <c r="M157" i="57"/>
  <c r="M95" i="20" s="1"/>
  <c r="M96" i="20"/>
  <c r="I7" i="41"/>
  <c r="Y7" i="41"/>
  <c r="K8" i="41"/>
  <c r="S8" i="41"/>
  <c r="AA8" i="41"/>
  <c r="L9" i="41"/>
  <c r="L10" i="41"/>
  <c r="J157" i="49"/>
  <c r="J53" i="20" s="1"/>
  <c r="H53" i="20"/>
  <c r="M157" i="54"/>
  <c r="M74" i="20" s="1"/>
  <c r="M75" i="20"/>
  <c r="M157" i="58"/>
  <c r="M102" i="20" s="1"/>
  <c r="M103" i="20"/>
  <c r="J7" i="41"/>
  <c r="R7" i="41"/>
  <c r="Z7" i="41"/>
  <c r="Z158" i="44"/>
  <c r="Z19" i="20" s="1"/>
  <c r="L8" i="41"/>
  <c r="M9" i="41"/>
  <c r="U9" i="41"/>
  <c r="AC9" i="41"/>
  <c r="M10" i="41"/>
  <c r="U10" i="41"/>
  <c r="AC10" i="41"/>
  <c r="J157" i="50"/>
  <c r="J60" i="20" s="1"/>
  <c r="H60" i="20"/>
  <c r="AJ15" i="41"/>
  <c r="S65" i="53"/>
  <c r="R162" i="53" s="1"/>
  <c r="R72" i="20" s="1"/>
  <c r="S64" i="53"/>
  <c r="R161" i="53" s="1"/>
  <c r="R71" i="20" s="1"/>
  <c r="S63" i="53"/>
  <c r="R160" i="53" s="1"/>
  <c r="R70" i="20" s="1"/>
  <c r="Q15" i="41"/>
  <c r="G157" i="43"/>
  <c r="G11" i="20" s="1"/>
  <c r="E56" i="43"/>
  <c r="G157" i="45"/>
  <c r="G25" i="20" s="1"/>
  <c r="E56" i="45"/>
  <c r="G157" i="46"/>
  <c r="G32" i="20" s="1"/>
  <c r="E56" i="46"/>
  <c r="E157" i="44"/>
  <c r="E18" i="20" s="1"/>
  <c r="AM63" i="63"/>
  <c r="AB160" i="63" s="1"/>
  <c r="AB140" i="20" s="1"/>
  <c r="AM65" i="63"/>
  <c r="AB162" i="63" s="1"/>
  <c r="AB142" i="20" s="1"/>
  <c r="AM66" i="63"/>
  <c r="AB163" i="63" s="1"/>
  <c r="AB143" i="20" s="1"/>
  <c r="AP62" i="63"/>
  <c r="AP66" i="63" s="1"/>
  <c r="AE163" i="63" s="1"/>
  <c r="AE143" i="20" s="1"/>
  <c r="AH63" i="62"/>
  <c r="Z160" i="62" s="1"/>
  <c r="Z133" i="20" s="1"/>
  <c r="AH66" i="62"/>
  <c r="Z163" i="62" s="1"/>
  <c r="Z136" i="20" s="1"/>
  <c r="AP62" i="62"/>
  <c r="AP64" i="62" s="1"/>
  <c r="AE161" i="62" s="1"/>
  <c r="AE134" i="20" s="1"/>
  <c r="AH65" i="62"/>
  <c r="Z162" i="62" s="1"/>
  <c r="Z135" i="20" s="1"/>
  <c r="AM66" i="62"/>
  <c r="AB163" i="62" s="1"/>
  <c r="AB136" i="20" s="1"/>
  <c r="AP62" i="61"/>
  <c r="AP64" i="61" s="1"/>
  <c r="AE161" i="61" s="1"/>
  <c r="AE127" i="20" s="1"/>
  <c r="AM66" i="61"/>
  <c r="AB163" i="61" s="1"/>
  <c r="AB129" i="20" s="1"/>
  <c r="AN65" i="61"/>
  <c r="AC162" i="61" s="1"/>
  <c r="AC128" i="20" s="1"/>
  <c r="AN64" i="61"/>
  <c r="AC161" i="61" s="1"/>
  <c r="AC127" i="20" s="1"/>
  <c r="AM65" i="61"/>
  <c r="AB162" i="61" s="1"/>
  <c r="AB128" i="20" s="1"/>
  <c r="AM64" i="61"/>
  <c r="AB161" i="61" s="1"/>
  <c r="AB127" i="20" s="1"/>
  <c r="AN66" i="61"/>
  <c r="AC163" i="61" s="1"/>
  <c r="AC129" i="20" s="1"/>
  <c r="AP62" i="60"/>
  <c r="AP64" i="60" s="1"/>
  <c r="AE161" i="60" s="1"/>
  <c r="AE120" i="20" s="1"/>
  <c r="AN65" i="60"/>
  <c r="AC162" i="60" s="1"/>
  <c r="AC121" i="20" s="1"/>
  <c r="AM66" i="60"/>
  <c r="AB163" i="60" s="1"/>
  <c r="AB122" i="20" s="1"/>
  <c r="AN64" i="60"/>
  <c r="AC161" i="60" s="1"/>
  <c r="AC120" i="20" s="1"/>
  <c r="AN66" i="60"/>
  <c r="AC163" i="60" s="1"/>
  <c r="AC122" i="20" s="1"/>
  <c r="U66" i="60"/>
  <c r="T163" i="60" s="1"/>
  <c r="T122" i="20" s="1"/>
  <c r="U63" i="60"/>
  <c r="T160" i="60" s="1"/>
  <c r="T119" i="20" s="1"/>
  <c r="AM65" i="60"/>
  <c r="AB162" i="60" s="1"/>
  <c r="AB121" i="20" s="1"/>
  <c r="AM63" i="60"/>
  <c r="AB160" i="60" s="1"/>
  <c r="AB119" i="20" s="1"/>
  <c r="AN65" i="59"/>
  <c r="AC162" i="59" s="1"/>
  <c r="AC114" i="20" s="1"/>
  <c r="AP62" i="59"/>
  <c r="AP64" i="59" s="1"/>
  <c r="AE161" i="59" s="1"/>
  <c r="AE113" i="20" s="1"/>
  <c r="AF65" i="58"/>
  <c r="X162" i="58" s="1"/>
  <c r="X107" i="20" s="1"/>
  <c r="AF64" i="58"/>
  <c r="X161" i="58" s="1"/>
  <c r="X106" i="20" s="1"/>
  <c r="AH66" i="58"/>
  <c r="Z163" i="58" s="1"/>
  <c r="Z108" i="20" s="1"/>
  <c r="S63" i="58"/>
  <c r="R160" i="58" s="1"/>
  <c r="R105" i="20" s="1"/>
  <c r="AO63" i="58"/>
  <c r="AD160" i="58" s="1"/>
  <c r="AD105" i="20" s="1"/>
  <c r="AF66" i="58"/>
  <c r="X163" i="58" s="1"/>
  <c r="X108" i="20" s="1"/>
  <c r="AP61" i="58"/>
  <c r="AP60" i="58"/>
  <c r="AP59" i="58"/>
  <c r="AP58" i="58"/>
  <c r="AP56" i="58"/>
  <c r="AE159" i="58"/>
  <c r="AE104" i="20" s="1"/>
  <c r="AM62" i="58"/>
  <c r="AM66" i="58" s="1"/>
  <c r="AB163" i="58" s="1"/>
  <c r="AB108" i="20" s="1"/>
  <c r="U62" i="58"/>
  <c r="AN62" i="58"/>
  <c r="AN66" i="58" s="1"/>
  <c r="AC163" i="58" s="1"/>
  <c r="AC108" i="20" s="1"/>
  <c r="U65" i="57"/>
  <c r="T162" i="57" s="1"/>
  <c r="T100" i="20" s="1"/>
  <c r="AH66" i="57"/>
  <c r="Z163" i="57" s="1"/>
  <c r="Z101" i="20" s="1"/>
  <c r="U66" i="57"/>
  <c r="T163" i="57" s="1"/>
  <c r="T101" i="20" s="1"/>
  <c r="AO64" i="57"/>
  <c r="AD161" i="57" s="1"/>
  <c r="AD99" i="20" s="1"/>
  <c r="AK65" i="57"/>
  <c r="AF64" i="57"/>
  <c r="X161" i="57" s="1"/>
  <c r="X99" i="20" s="1"/>
  <c r="AP61" i="57"/>
  <c r="AP60" i="57"/>
  <c r="AP59" i="57"/>
  <c r="AP58" i="57"/>
  <c r="AP56" i="57"/>
  <c r="AE159" i="57"/>
  <c r="AE97" i="20" s="1"/>
  <c r="AO63" i="57"/>
  <c r="AD160" i="57" s="1"/>
  <c r="AD98" i="20" s="1"/>
  <c r="AH65" i="57"/>
  <c r="Z162" i="57" s="1"/>
  <c r="Z100" i="20" s="1"/>
  <c r="AF66" i="57"/>
  <c r="X163" i="57" s="1"/>
  <c r="X101" i="20" s="1"/>
  <c r="AN62" i="57"/>
  <c r="AN63" i="57" s="1"/>
  <c r="AC160" i="57" s="1"/>
  <c r="AC98" i="20" s="1"/>
  <c r="AF65" i="57"/>
  <c r="X162" i="57" s="1"/>
  <c r="X100" i="20" s="1"/>
  <c r="AM62" i="57"/>
  <c r="AM63" i="57" s="1"/>
  <c r="AB160" i="57" s="1"/>
  <c r="AB98" i="20" s="1"/>
  <c r="AK64" i="57"/>
  <c r="AK63" i="57"/>
  <c r="AO65" i="57"/>
  <c r="AD162" i="57" s="1"/>
  <c r="AD100" i="20" s="1"/>
  <c r="S63" i="56"/>
  <c r="R160" i="56" s="1"/>
  <c r="R91" i="20" s="1"/>
  <c r="AO65" i="56"/>
  <c r="AD162" i="56" s="1"/>
  <c r="AD93" i="20" s="1"/>
  <c r="AN62" i="56"/>
  <c r="AN64" i="56" s="1"/>
  <c r="AC161" i="56" s="1"/>
  <c r="AC92" i="20" s="1"/>
  <c r="AK64" i="56"/>
  <c r="S66" i="56"/>
  <c r="R163" i="56" s="1"/>
  <c r="R94" i="20" s="1"/>
  <c r="AP61" i="56"/>
  <c r="AP60" i="56"/>
  <c r="AP59" i="56"/>
  <c r="AP58" i="56"/>
  <c r="AP56" i="56"/>
  <c r="AE159" i="56"/>
  <c r="AE90" i="20" s="1"/>
  <c r="X65" i="56"/>
  <c r="AK65" i="56"/>
  <c r="X64" i="56"/>
  <c r="AL65" i="56"/>
  <c r="AA162" i="56" s="1"/>
  <c r="AA93" i="20" s="1"/>
  <c r="AK66" i="56"/>
  <c r="X66" i="56"/>
  <c r="AL63" i="56"/>
  <c r="AA160" i="56" s="1"/>
  <c r="AA91" i="20" s="1"/>
  <c r="AL64" i="56"/>
  <c r="AA161" i="56" s="1"/>
  <c r="AA92" i="20" s="1"/>
  <c r="S64" i="56"/>
  <c r="R161" i="56" s="1"/>
  <c r="R92" i="20" s="1"/>
  <c r="AO64" i="56"/>
  <c r="AD161" i="56" s="1"/>
  <c r="AD92" i="20" s="1"/>
  <c r="AM62" i="56"/>
  <c r="AM65" i="56" s="1"/>
  <c r="AB162" i="56" s="1"/>
  <c r="AB93" i="20" s="1"/>
  <c r="AK66" i="55"/>
  <c r="AN62" i="55"/>
  <c r="AN65" i="55" s="1"/>
  <c r="AC162" i="55" s="1"/>
  <c r="AC86" i="20" s="1"/>
  <c r="U62" i="55"/>
  <c r="U66" i="55" s="1"/>
  <c r="T163" i="55" s="1"/>
  <c r="T87" i="20" s="1"/>
  <c r="S63" i="55"/>
  <c r="R160" i="55" s="1"/>
  <c r="R84" i="20" s="1"/>
  <c r="S66" i="55"/>
  <c r="R163" i="55" s="1"/>
  <c r="R87" i="20" s="1"/>
  <c r="AK65" i="55"/>
  <c r="AH65" i="55"/>
  <c r="Z162" i="55" s="1"/>
  <c r="Z86" i="20" s="1"/>
  <c r="AK64" i="55"/>
  <c r="AH63" i="55"/>
  <c r="Z160" i="55" s="1"/>
  <c r="Z84" i="20" s="1"/>
  <c r="AL64" i="55"/>
  <c r="AA161" i="55" s="1"/>
  <c r="AA85" i="20" s="1"/>
  <c r="AO65" i="55"/>
  <c r="AD162" i="55" s="1"/>
  <c r="AD86" i="20" s="1"/>
  <c r="S64" i="55"/>
  <c r="R161" i="55" s="1"/>
  <c r="R85" i="20" s="1"/>
  <c r="AM62" i="55"/>
  <c r="AM65" i="55" s="1"/>
  <c r="AB162" i="55" s="1"/>
  <c r="AB86" i="20" s="1"/>
  <c r="AP61" i="55"/>
  <c r="AP60" i="55"/>
  <c r="AP59" i="55"/>
  <c r="AP58" i="55"/>
  <c r="AP56" i="55"/>
  <c r="AE159" i="55"/>
  <c r="AE83" i="20" s="1"/>
  <c r="AK66" i="54"/>
  <c r="AK64" i="54"/>
  <c r="AN62" i="54"/>
  <c r="AN64" i="54" s="1"/>
  <c r="AC161" i="54" s="1"/>
  <c r="AC78" i="20" s="1"/>
  <c r="AH62" i="54"/>
  <c r="AH64" i="54" s="1"/>
  <c r="Z161" i="54" s="1"/>
  <c r="Z78" i="20" s="1"/>
  <c r="S66" i="54"/>
  <c r="R163" i="54" s="1"/>
  <c r="R80" i="20" s="1"/>
  <c r="AP61" i="54"/>
  <c r="AP60" i="54"/>
  <c r="AP59" i="54"/>
  <c r="AP58" i="54"/>
  <c r="AP56" i="54"/>
  <c r="AE159" i="54"/>
  <c r="AE76" i="20" s="1"/>
  <c r="S63" i="54"/>
  <c r="R160" i="54" s="1"/>
  <c r="R77" i="20" s="1"/>
  <c r="AL66" i="54"/>
  <c r="AA163" i="54" s="1"/>
  <c r="AA80" i="20" s="1"/>
  <c r="S65" i="54"/>
  <c r="R162" i="54" s="1"/>
  <c r="R79" i="20" s="1"/>
  <c r="AL65" i="54"/>
  <c r="AA162" i="54" s="1"/>
  <c r="AA79" i="20" s="1"/>
  <c r="AL63" i="54"/>
  <c r="AA160" i="54" s="1"/>
  <c r="AA77" i="20" s="1"/>
  <c r="AM62" i="54"/>
  <c r="AM65" i="54" s="1"/>
  <c r="AB162" i="54" s="1"/>
  <c r="AB79" i="20" s="1"/>
  <c r="M157" i="53"/>
  <c r="M67" i="20" s="1"/>
  <c r="M68" i="20"/>
  <c r="AO63" i="53"/>
  <c r="AD160" i="53" s="1"/>
  <c r="AD70" i="20" s="1"/>
  <c r="AH65" i="53"/>
  <c r="Z162" i="53" s="1"/>
  <c r="Z72" i="20" s="1"/>
  <c r="AP61" i="53"/>
  <c r="AP60" i="53"/>
  <c r="AP59" i="53"/>
  <c r="AP58" i="53"/>
  <c r="AP56" i="53"/>
  <c r="AE157" i="53" s="1"/>
  <c r="AE67" i="20" s="1"/>
  <c r="AE159" i="53"/>
  <c r="AE69" i="20" s="1"/>
  <c r="U62" i="53"/>
  <c r="U64" i="53" s="1"/>
  <c r="T161" i="53" s="1"/>
  <c r="T71" i="20" s="1"/>
  <c r="AL63" i="53"/>
  <c r="AA160" i="53" s="1"/>
  <c r="AA70" i="20" s="1"/>
  <c r="AL64" i="53"/>
  <c r="AA161" i="53" s="1"/>
  <c r="AA71" i="20" s="1"/>
  <c r="AF66" i="53"/>
  <c r="X163" i="53" s="1"/>
  <c r="X73" i="20" s="1"/>
  <c r="AM62" i="53"/>
  <c r="AM66" i="53" s="1"/>
  <c r="AB163" i="53" s="1"/>
  <c r="AB73" i="20" s="1"/>
  <c r="AN62" i="53"/>
  <c r="AN64" i="53" s="1"/>
  <c r="AC161" i="53" s="1"/>
  <c r="AC71" i="20" s="1"/>
  <c r="AO64" i="53"/>
  <c r="AD161" i="53" s="1"/>
  <c r="AD71" i="20" s="1"/>
  <c r="X63" i="53"/>
  <c r="AF63" i="53"/>
  <c r="X160" i="53" s="1"/>
  <c r="X70" i="20" s="1"/>
  <c r="AL65" i="53"/>
  <c r="AA162" i="53" s="1"/>
  <c r="AA72" i="20" s="1"/>
  <c r="AI63" i="50"/>
  <c r="V160" i="50" s="1"/>
  <c r="V63" i="20" s="1"/>
  <c r="Q66" i="50"/>
  <c r="AQ66" i="50"/>
  <c r="AF163" i="50" s="1"/>
  <c r="AF66" i="20" s="1"/>
  <c r="AG63" i="50"/>
  <c r="Y160" i="50" s="1"/>
  <c r="Y63" i="20" s="1"/>
  <c r="AL65" i="50"/>
  <c r="AA162" i="50" s="1"/>
  <c r="AA65" i="20" s="1"/>
  <c r="M65" i="50"/>
  <c r="AD66" i="50"/>
  <c r="AD64" i="50"/>
  <c r="AD65" i="50"/>
  <c r="S62" i="50"/>
  <c r="S63" i="50" s="1"/>
  <c r="R160" i="50" s="1"/>
  <c r="R63" i="20" s="1"/>
  <c r="Q63" i="50"/>
  <c r="U61" i="50"/>
  <c r="U60" i="50"/>
  <c r="U58" i="50"/>
  <c r="U56" i="50"/>
  <c r="U59" i="50"/>
  <c r="Z64" i="50"/>
  <c r="Z66" i="50"/>
  <c r="N66" i="50"/>
  <c r="N64" i="50"/>
  <c r="AC158" i="50"/>
  <c r="AC61" i="20" s="1"/>
  <c r="AA66" i="50"/>
  <c r="M63" i="50"/>
  <c r="AL66" i="50"/>
  <c r="AA163" i="50" s="1"/>
  <c r="AA66" i="20" s="1"/>
  <c r="AI66" i="50"/>
  <c r="V163" i="50" s="1"/>
  <c r="V66" i="20" s="1"/>
  <c r="K63" i="50"/>
  <c r="N160" i="50" s="1"/>
  <c r="N63" i="20" s="1"/>
  <c r="AC66" i="50"/>
  <c r="Y66" i="50"/>
  <c r="U163" i="50" s="1"/>
  <c r="U66" i="20" s="1"/>
  <c r="K65" i="50"/>
  <c r="N162" i="50" s="1"/>
  <c r="N65" i="20" s="1"/>
  <c r="AA63" i="50"/>
  <c r="AQ65" i="50"/>
  <c r="AF162" i="50" s="1"/>
  <c r="AF65" i="20" s="1"/>
  <c r="AM61" i="50"/>
  <c r="AM60" i="50"/>
  <c r="AM59" i="50"/>
  <c r="AM58" i="50"/>
  <c r="AM56" i="50"/>
  <c r="L157" i="50"/>
  <c r="L60" i="20" s="1"/>
  <c r="AI65" i="50"/>
  <c r="V162" i="50" s="1"/>
  <c r="V65" i="20" s="1"/>
  <c r="V66" i="50"/>
  <c r="P163" i="50" s="1"/>
  <c r="P66" i="20" s="1"/>
  <c r="V64" i="50"/>
  <c r="P161" i="50" s="1"/>
  <c r="P64" i="20" s="1"/>
  <c r="V65" i="50"/>
  <c r="P162" i="50" s="1"/>
  <c r="P65" i="20" s="1"/>
  <c r="AC65" i="50"/>
  <c r="AA65" i="50"/>
  <c r="AG64" i="50"/>
  <c r="Y161" i="50" s="1"/>
  <c r="Y64" i="20" s="1"/>
  <c r="T159" i="50"/>
  <c r="T62" i="20" s="1"/>
  <c r="AC64" i="50"/>
  <c r="AQ63" i="50"/>
  <c r="AF160" i="50" s="1"/>
  <c r="AF63" i="20" s="1"/>
  <c r="X62" i="50"/>
  <c r="X63" i="50" s="1"/>
  <c r="M158" i="50"/>
  <c r="K157" i="50"/>
  <c r="K60" i="20" s="1"/>
  <c r="AB159" i="50"/>
  <c r="AB62" i="20" s="1"/>
  <c r="N65" i="50"/>
  <c r="AG66" i="50"/>
  <c r="Y163" i="50" s="1"/>
  <c r="Y66" i="20" s="1"/>
  <c r="S64" i="50"/>
  <c r="R161" i="50" s="1"/>
  <c r="R64" i="20" s="1"/>
  <c r="K66" i="50"/>
  <c r="N163" i="50" s="1"/>
  <c r="N66" i="20" s="1"/>
  <c r="AO62" i="50"/>
  <c r="AO65" i="50" s="1"/>
  <c r="AD162" i="50" s="1"/>
  <c r="AD65" i="20" s="1"/>
  <c r="AN61" i="50"/>
  <c r="AN60" i="50"/>
  <c r="AN59" i="50"/>
  <c r="AN58" i="50"/>
  <c r="AN56" i="50"/>
  <c r="AP6" i="50"/>
  <c r="AE158" i="50" s="1"/>
  <c r="AE61" i="20" s="1"/>
  <c r="AH62" i="50"/>
  <c r="AH64" i="50" s="1"/>
  <c r="Z161" i="50" s="1"/>
  <c r="Z64" i="20" s="1"/>
  <c r="R64" i="50"/>
  <c r="R66" i="50"/>
  <c r="S65" i="50"/>
  <c r="R162" i="50" s="1"/>
  <c r="R65" i="20" s="1"/>
  <c r="M64" i="50"/>
  <c r="AL64" i="50"/>
  <c r="AA161" i="50" s="1"/>
  <c r="AA64" i="20" s="1"/>
  <c r="AK62" i="50"/>
  <c r="AK64" i="50" s="1"/>
  <c r="R63" i="50"/>
  <c r="AF62" i="50"/>
  <c r="AF65" i="50" s="1"/>
  <c r="X162" i="50" s="1"/>
  <c r="X65" i="20" s="1"/>
  <c r="M158" i="49"/>
  <c r="K157" i="49"/>
  <c r="K53" i="20" s="1"/>
  <c r="AN61" i="49"/>
  <c r="AN60" i="49"/>
  <c r="AN59" i="49"/>
  <c r="AN58" i="49"/>
  <c r="AN56" i="49"/>
  <c r="AP6" i="49"/>
  <c r="AE158" i="49" s="1"/>
  <c r="AE54" i="20" s="1"/>
  <c r="AC159" i="49"/>
  <c r="AC55" i="20" s="1"/>
  <c r="O65" i="49"/>
  <c r="AE63" i="49"/>
  <c r="AD63" i="49"/>
  <c r="AE66" i="49"/>
  <c r="K64" i="49"/>
  <c r="N161" i="49" s="1"/>
  <c r="N57" i="20" s="1"/>
  <c r="AQ64" i="49"/>
  <c r="AF161" i="49" s="1"/>
  <c r="AF57" i="20" s="1"/>
  <c r="AC66" i="49"/>
  <c r="AH62" i="49"/>
  <c r="AH66" i="49" s="1"/>
  <c r="Z163" i="49" s="1"/>
  <c r="Z59" i="20" s="1"/>
  <c r="AI65" i="49"/>
  <c r="V162" i="49" s="1"/>
  <c r="V58" i="20" s="1"/>
  <c r="W66" i="49"/>
  <c r="Q163" i="49" s="1"/>
  <c r="Q59" i="20" s="1"/>
  <c r="T63" i="49"/>
  <c r="S160" i="49" s="1"/>
  <c r="S56" i="20" s="1"/>
  <c r="V66" i="49"/>
  <c r="P163" i="49" s="1"/>
  <c r="P59" i="20" s="1"/>
  <c r="AC63" i="49"/>
  <c r="L157" i="49"/>
  <c r="L53" i="20" s="1"/>
  <c r="AB64" i="49"/>
  <c r="AF62" i="49"/>
  <c r="AF65" i="49" s="1"/>
  <c r="X162" i="49" s="1"/>
  <c r="X58" i="20" s="1"/>
  <c r="X62" i="49"/>
  <c r="X63" i="49" s="1"/>
  <c r="K63" i="49"/>
  <c r="N160" i="49" s="1"/>
  <c r="N56" i="20" s="1"/>
  <c r="M66" i="49"/>
  <c r="K66" i="49"/>
  <c r="N163" i="49" s="1"/>
  <c r="N59" i="20" s="1"/>
  <c r="S62" i="49"/>
  <c r="S66" i="49" s="1"/>
  <c r="R163" i="49" s="1"/>
  <c r="R59" i="20" s="1"/>
  <c r="O64" i="49"/>
  <c r="N65" i="49"/>
  <c r="L63" i="49"/>
  <c r="O160" i="49" s="1"/>
  <c r="O56" i="20" s="1"/>
  <c r="AE65" i="49"/>
  <c r="AD65" i="49"/>
  <c r="AD66" i="49"/>
  <c r="AQ63" i="49"/>
  <c r="AF160" i="49" s="1"/>
  <c r="AF56" i="20" s="1"/>
  <c r="AB65" i="49"/>
  <c r="AJ63" i="49"/>
  <c r="W160" i="49" s="1"/>
  <c r="W56" i="20" s="1"/>
  <c r="AK62" i="49"/>
  <c r="AK63" i="49" s="1"/>
  <c r="AF64" i="49"/>
  <c r="X161" i="49" s="1"/>
  <c r="X57" i="20" s="1"/>
  <c r="W65" i="49"/>
  <c r="Q162" i="49" s="1"/>
  <c r="Q58" i="20" s="1"/>
  <c r="V65" i="49"/>
  <c r="P162" i="49" s="1"/>
  <c r="P58" i="20" s="1"/>
  <c r="T65" i="49"/>
  <c r="S162" i="49" s="1"/>
  <c r="S58" i="20" s="1"/>
  <c r="AB63" i="49"/>
  <c r="AO62" i="49"/>
  <c r="AO66" i="49" s="1"/>
  <c r="AD163" i="49" s="1"/>
  <c r="AD59" i="20" s="1"/>
  <c r="AQ66" i="49"/>
  <c r="AF163" i="49" s="1"/>
  <c r="AF59" i="20" s="1"/>
  <c r="W64" i="49"/>
  <c r="Q161" i="49" s="1"/>
  <c r="Q57" i="20" s="1"/>
  <c r="AF66" i="49"/>
  <c r="X163" i="49" s="1"/>
  <c r="X59" i="20" s="1"/>
  <c r="AM61" i="49"/>
  <c r="AM60" i="49"/>
  <c r="AM59" i="49"/>
  <c r="AM58" i="49"/>
  <c r="AM56" i="49"/>
  <c r="L65" i="49"/>
  <c r="O162" i="49" s="1"/>
  <c r="O58" i="20" s="1"/>
  <c r="L66" i="49"/>
  <c r="O163" i="49" s="1"/>
  <c r="O59" i="20" s="1"/>
  <c r="AA64" i="49"/>
  <c r="AL62" i="49"/>
  <c r="AL63" i="49" s="1"/>
  <c r="AA160" i="49" s="1"/>
  <c r="AA56" i="20" s="1"/>
  <c r="AC158" i="49"/>
  <c r="AC54" i="20" s="1"/>
  <c r="AA66" i="49"/>
  <c r="N63" i="49"/>
  <c r="AC64" i="49"/>
  <c r="AD66" i="48"/>
  <c r="AD63" i="48"/>
  <c r="V66" i="48"/>
  <c r="P163" i="48" s="1"/>
  <c r="P52" i="20" s="1"/>
  <c r="T66" i="48"/>
  <c r="S163" i="48" s="1"/>
  <c r="S52" i="20" s="1"/>
  <c r="AB63" i="48"/>
  <c r="AA65" i="48"/>
  <c r="O65" i="48"/>
  <c r="AI66" i="48"/>
  <c r="V163" i="48" s="1"/>
  <c r="V52" i="20" s="1"/>
  <c r="V63" i="48"/>
  <c r="P160" i="48" s="1"/>
  <c r="P49" i="20" s="1"/>
  <c r="AF62" i="48"/>
  <c r="AF65" i="48" s="1"/>
  <c r="X162" i="48" s="1"/>
  <c r="X51" i="20" s="1"/>
  <c r="T63" i="48"/>
  <c r="S160" i="48" s="1"/>
  <c r="S49" i="20" s="1"/>
  <c r="M66" i="48"/>
  <c r="L66" i="48"/>
  <c r="O163" i="48" s="1"/>
  <c r="O52" i="20" s="1"/>
  <c r="AC66" i="48"/>
  <c r="AJ64" i="48"/>
  <c r="W161" i="48" s="1"/>
  <c r="W50" i="20" s="1"/>
  <c r="AI64" i="48"/>
  <c r="V161" i="48" s="1"/>
  <c r="V50" i="20" s="1"/>
  <c r="AI65" i="48"/>
  <c r="V162" i="48" s="1"/>
  <c r="V51" i="20" s="1"/>
  <c r="O66" i="48"/>
  <c r="L63" i="48"/>
  <c r="O160" i="48" s="1"/>
  <c r="O49" i="20" s="1"/>
  <c r="W66" i="48"/>
  <c r="Q163" i="48" s="1"/>
  <c r="Q52" i="20" s="1"/>
  <c r="K63" i="48"/>
  <c r="N160" i="48" s="1"/>
  <c r="N49" i="20" s="1"/>
  <c r="X62" i="48"/>
  <c r="X63" i="48" s="1"/>
  <c r="AD65" i="48"/>
  <c r="AC65" i="48"/>
  <c r="W65" i="48"/>
  <c r="Q162" i="48" s="1"/>
  <c r="Q51" i="20" s="1"/>
  <c r="AK62" i="48"/>
  <c r="AK64" i="48" s="1"/>
  <c r="M158" i="48"/>
  <c r="M47" i="20" s="1"/>
  <c r="K157" i="48"/>
  <c r="K46" i="20" s="1"/>
  <c r="J157" i="48"/>
  <c r="J46" i="20" s="1"/>
  <c r="AH61" i="48"/>
  <c r="AH60" i="48"/>
  <c r="AH59" i="48"/>
  <c r="AH58" i="48"/>
  <c r="AH56" i="48"/>
  <c r="K65" i="48"/>
  <c r="N162" i="48" s="1"/>
  <c r="N51" i="20" s="1"/>
  <c r="K66" i="48"/>
  <c r="N163" i="48" s="1"/>
  <c r="N52" i="20" s="1"/>
  <c r="O63" i="48"/>
  <c r="M65" i="48"/>
  <c r="AN61" i="48"/>
  <c r="AN60" i="48"/>
  <c r="AN59" i="48"/>
  <c r="AN58" i="48"/>
  <c r="AN56" i="48"/>
  <c r="AP6" i="48"/>
  <c r="AE158" i="48" s="1"/>
  <c r="AE47" i="20" s="1"/>
  <c r="AE65" i="48"/>
  <c r="AQ64" i="48"/>
  <c r="AF161" i="48" s="1"/>
  <c r="AF50" i="20" s="1"/>
  <c r="AB65" i="48"/>
  <c r="AE64" i="48"/>
  <c r="U58" i="48"/>
  <c r="U56" i="48"/>
  <c r="U61" i="48"/>
  <c r="U60" i="48"/>
  <c r="U59" i="48"/>
  <c r="T159" i="48"/>
  <c r="T48" i="20" s="1"/>
  <c r="AF64" i="48"/>
  <c r="X161" i="48" s="1"/>
  <c r="X50" i="20" s="1"/>
  <c r="V65" i="48"/>
  <c r="P162" i="48" s="1"/>
  <c r="P51" i="20" s="1"/>
  <c r="AM61" i="48"/>
  <c r="AM60" i="48"/>
  <c r="AM59" i="48"/>
  <c r="AM58" i="48"/>
  <c r="AM56" i="48"/>
  <c r="T64" i="48"/>
  <c r="S161" i="48" s="1"/>
  <c r="S50" i="20" s="1"/>
  <c r="AB64" i="48"/>
  <c r="L157" i="48"/>
  <c r="L46" i="20" s="1"/>
  <c r="AA64" i="48"/>
  <c r="W64" i="48"/>
  <c r="Q161" i="48" s="1"/>
  <c r="Q50" i="20" s="1"/>
  <c r="AL62" i="48"/>
  <c r="AL63" i="48" s="1"/>
  <c r="AA160" i="48" s="1"/>
  <c r="AA49" i="20" s="1"/>
  <c r="S62" i="48"/>
  <c r="S65" i="48" s="1"/>
  <c r="R162" i="48" s="1"/>
  <c r="R51" i="20" s="1"/>
  <c r="AO62" i="48"/>
  <c r="AO66" i="48" s="1"/>
  <c r="AD163" i="48" s="1"/>
  <c r="AD52" i="20" s="1"/>
  <c r="L64" i="48"/>
  <c r="O161" i="48" s="1"/>
  <c r="O50" i="20" s="1"/>
  <c r="X66" i="48"/>
  <c r="AA63" i="48"/>
  <c r="AP61" i="47"/>
  <c r="AP60" i="47"/>
  <c r="AP59" i="47"/>
  <c r="AP58" i="47"/>
  <c r="AP56" i="47"/>
  <c r="AE159" i="47"/>
  <c r="AE41" i="20" s="1"/>
  <c r="AE158" i="47"/>
  <c r="AE40" i="20" s="1"/>
  <c r="M158" i="47"/>
  <c r="M40" i="20" s="1"/>
  <c r="K157" i="47"/>
  <c r="K39" i="20" s="1"/>
  <c r="J157" i="47"/>
  <c r="J39" i="20" s="1"/>
  <c r="AH61" i="47"/>
  <c r="AH60" i="47"/>
  <c r="AH59" i="47"/>
  <c r="AH58" i="47"/>
  <c r="AH56" i="47"/>
  <c r="R65" i="47"/>
  <c r="N64" i="47"/>
  <c r="T63" i="47"/>
  <c r="S160" i="47" s="1"/>
  <c r="S42" i="20" s="1"/>
  <c r="AQ66" i="47"/>
  <c r="AF163" i="47" s="1"/>
  <c r="AF45" i="20" s="1"/>
  <c r="AC63" i="47"/>
  <c r="AI66" i="47"/>
  <c r="V163" i="47" s="1"/>
  <c r="V45" i="20" s="1"/>
  <c r="AQ63" i="47"/>
  <c r="AF160" i="47" s="1"/>
  <c r="AF42" i="20" s="1"/>
  <c r="AD66" i="47"/>
  <c r="AO62" i="47"/>
  <c r="AO66" i="47" s="1"/>
  <c r="AD163" i="47" s="1"/>
  <c r="AD45" i="20" s="1"/>
  <c r="AC158" i="47"/>
  <c r="AC40" i="20" s="1"/>
  <c r="AQ64" i="47"/>
  <c r="AF161" i="47" s="1"/>
  <c r="AF43" i="20" s="1"/>
  <c r="T66" i="47"/>
  <c r="S163" i="47" s="1"/>
  <c r="S45" i="20" s="1"/>
  <c r="AC66" i="47"/>
  <c r="AE63" i="47"/>
  <c r="AJ65" i="47"/>
  <c r="W162" i="47" s="1"/>
  <c r="W44" i="20" s="1"/>
  <c r="K63" i="47"/>
  <c r="N160" i="47" s="1"/>
  <c r="N42" i="20" s="1"/>
  <c r="AA66" i="47"/>
  <c r="R63" i="47"/>
  <c r="W65" i="47"/>
  <c r="Q162" i="47" s="1"/>
  <c r="Q44" i="20" s="1"/>
  <c r="AA63" i="47"/>
  <c r="AJ63" i="47"/>
  <c r="W160" i="47" s="1"/>
  <c r="W42" i="20" s="1"/>
  <c r="AN61" i="47"/>
  <c r="AN60" i="47"/>
  <c r="AN59" i="47"/>
  <c r="AN58" i="47"/>
  <c r="AN56" i="47"/>
  <c r="S62" i="47"/>
  <c r="S65" i="47" s="1"/>
  <c r="R162" i="47" s="1"/>
  <c r="R44" i="20" s="1"/>
  <c r="AL62" i="47"/>
  <c r="AL63" i="47" s="1"/>
  <c r="AA160" i="47" s="1"/>
  <c r="AA42" i="20" s="1"/>
  <c r="U58" i="47"/>
  <c r="U56" i="47"/>
  <c r="U61" i="47"/>
  <c r="U60" i="47"/>
  <c r="U59" i="47"/>
  <c r="AA64" i="47"/>
  <c r="AB65" i="47"/>
  <c r="R66" i="47"/>
  <c r="V63" i="47"/>
  <c r="P160" i="47" s="1"/>
  <c r="P42" i="20" s="1"/>
  <c r="AK62" i="47"/>
  <c r="AK63" i="47" s="1"/>
  <c r="Z65" i="47"/>
  <c r="AI65" i="47"/>
  <c r="V162" i="47" s="1"/>
  <c r="V44" i="20" s="1"/>
  <c r="M65" i="47"/>
  <c r="N66" i="47"/>
  <c r="W66" i="47"/>
  <c r="Q163" i="47" s="1"/>
  <c r="Q45" i="20" s="1"/>
  <c r="Z63" i="47"/>
  <c r="AM61" i="47"/>
  <c r="AM60" i="47"/>
  <c r="AM59" i="47"/>
  <c r="AM58" i="47"/>
  <c r="AM56" i="47"/>
  <c r="L157" i="47"/>
  <c r="L39" i="20" s="1"/>
  <c r="AJ64" i="47"/>
  <c r="W161" i="47" s="1"/>
  <c r="W43" i="20" s="1"/>
  <c r="AD64" i="47"/>
  <c r="O63" i="47"/>
  <c r="AC159" i="47"/>
  <c r="AC41" i="20" s="1"/>
  <c r="AE66" i="47"/>
  <c r="N63" i="47"/>
  <c r="Z64" i="47"/>
  <c r="T64" i="47"/>
  <c r="S161" i="47" s="1"/>
  <c r="S43" i="20" s="1"/>
  <c r="V65" i="47"/>
  <c r="P162" i="47" s="1"/>
  <c r="P44" i="20" s="1"/>
  <c r="AD65" i="47"/>
  <c r="AF62" i="47"/>
  <c r="AF66" i="47" s="1"/>
  <c r="X163" i="47" s="1"/>
  <c r="X45" i="20" s="1"/>
  <c r="V66" i="47"/>
  <c r="P163" i="47" s="1"/>
  <c r="P45" i="20" s="1"/>
  <c r="O64" i="47"/>
  <c r="W64" i="47"/>
  <c r="Q161" i="47" s="1"/>
  <c r="Q43" i="20" s="1"/>
  <c r="K64" i="47"/>
  <c r="N161" i="47" s="1"/>
  <c r="N43" i="20" s="1"/>
  <c r="L65" i="47"/>
  <c r="O162" i="47" s="1"/>
  <c r="O44" i="20" s="1"/>
  <c r="AB159" i="47"/>
  <c r="AB41" i="20" s="1"/>
  <c r="X62" i="47"/>
  <c r="X66" i="47" s="1"/>
  <c r="AF64" i="47"/>
  <c r="X161" i="47" s="1"/>
  <c r="X43" i="20" s="1"/>
  <c r="AO61" i="46"/>
  <c r="AB158" i="46"/>
  <c r="AB33" i="20" s="1"/>
  <c r="AP41" i="46"/>
  <c r="AP48" i="46"/>
  <c r="AP50" i="46"/>
  <c r="V62" i="46"/>
  <c r="V64" i="46" s="1"/>
  <c r="P161" i="46" s="1"/>
  <c r="P36" i="20" s="1"/>
  <c r="S60" i="46"/>
  <c r="AN19" i="46"/>
  <c r="AP19" i="46" s="1"/>
  <c r="AP49" i="46"/>
  <c r="AG66" i="46"/>
  <c r="Y163" i="46" s="1"/>
  <c r="Y38" i="20" s="1"/>
  <c r="AG64" i="46"/>
  <c r="Y161" i="46" s="1"/>
  <c r="Y36" i="20" s="1"/>
  <c r="Y65" i="46"/>
  <c r="U162" i="46" s="1"/>
  <c r="U37" i="20" s="1"/>
  <c r="P66" i="46"/>
  <c r="N62" i="46"/>
  <c r="N64" i="46" s="1"/>
  <c r="Y66" i="46"/>
  <c r="U163" i="46" s="1"/>
  <c r="U38" i="20" s="1"/>
  <c r="Y64" i="46"/>
  <c r="U161" i="46" s="1"/>
  <c r="U36" i="20" s="1"/>
  <c r="X61" i="46"/>
  <c r="AM6" i="46"/>
  <c r="AB159" i="46" s="1"/>
  <c r="AB34" i="20" s="1"/>
  <c r="X60" i="46"/>
  <c r="X59" i="46"/>
  <c r="X58" i="46"/>
  <c r="X56" i="46"/>
  <c r="T10" i="41" s="1"/>
  <c r="P64" i="46"/>
  <c r="P65" i="46"/>
  <c r="B157" i="46"/>
  <c r="B32" i="20" s="1"/>
  <c r="AF61" i="46"/>
  <c r="AN36" i="46"/>
  <c r="AP36" i="46" s="1"/>
  <c r="AA63" i="46"/>
  <c r="AK59" i="46"/>
  <c r="S61" i="46"/>
  <c r="AF159" i="46"/>
  <c r="AF34" i="20" s="1"/>
  <c r="AH61" i="46"/>
  <c r="AN28" i="46"/>
  <c r="AP28" i="46" s="1"/>
  <c r="AN44" i="46"/>
  <c r="AP44" i="46" s="1"/>
  <c r="AN52" i="46"/>
  <c r="AP52" i="46" s="1"/>
  <c r="AB63" i="46"/>
  <c r="R64" i="46"/>
  <c r="R65" i="46"/>
  <c r="Q159" i="46"/>
  <c r="Q34" i="20" s="1"/>
  <c r="Y159" i="46"/>
  <c r="Y34" i="20" s="1"/>
  <c r="V66" i="46"/>
  <c r="P163" i="46" s="1"/>
  <c r="P38" i="20" s="1"/>
  <c r="AL56" i="46"/>
  <c r="AA157" i="46" s="1"/>
  <c r="AA32" i="20" s="1"/>
  <c r="AN35" i="46"/>
  <c r="AP35" i="46" s="1"/>
  <c r="AP40" i="46"/>
  <c r="AD63" i="46"/>
  <c r="AD62" i="46"/>
  <c r="AD64" i="46" s="1"/>
  <c r="V65" i="46"/>
  <c r="P162" i="46" s="1"/>
  <c r="P37" i="20" s="1"/>
  <c r="L158" i="46"/>
  <c r="L33" i="20" s="1"/>
  <c r="AF56" i="46"/>
  <c r="X157" i="46" s="1"/>
  <c r="X32" i="20" s="1"/>
  <c r="AL59" i="46"/>
  <c r="AK60" i="46"/>
  <c r="K62" i="46"/>
  <c r="K64" i="46" s="1"/>
  <c r="N161" i="46" s="1"/>
  <c r="N36" i="20" s="1"/>
  <c r="AA62" i="46"/>
  <c r="AA64" i="46" s="1"/>
  <c r="AI62" i="46"/>
  <c r="AI65" i="46" s="1"/>
  <c r="V162" i="46" s="1"/>
  <c r="V37" i="20" s="1"/>
  <c r="AQ62" i="46"/>
  <c r="AQ65" i="46" s="1"/>
  <c r="AF162" i="46" s="1"/>
  <c r="AF37" i="20" s="1"/>
  <c r="Y63" i="46"/>
  <c r="U160" i="46" s="1"/>
  <c r="U35" i="20" s="1"/>
  <c r="AG63" i="46"/>
  <c r="Y160" i="46" s="1"/>
  <c r="Y35" i="20" s="1"/>
  <c r="C157" i="46"/>
  <c r="C32" i="20" s="1"/>
  <c r="U158" i="46"/>
  <c r="U33" i="20" s="1"/>
  <c r="R159" i="46"/>
  <c r="R34" i="20" s="1"/>
  <c r="Z159" i="46"/>
  <c r="Z34" i="20" s="1"/>
  <c r="AO56" i="46"/>
  <c r="AD157" i="46" s="1"/>
  <c r="AD32" i="20" s="1"/>
  <c r="AF58" i="46"/>
  <c r="AL60" i="46"/>
  <c r="AK61" i="46"/>
  <c r="L62" i="46"/>
  <c r="T62" i="46"/>
  <c r="T66" i="46" s="1"/>
  <c r="S163" i="46" s="1"/>
  <c r="S38" i="20" s="1"/>
  <c r="AB62" i="46"/>
  <c r="AB66" i="46" s="1"/>
  <c r="AJ62" i="46"/>
  <c r="AJ66" i="46" s="1"/>
  <c r="W163" i="46" s="1"/>
  <c r="W38" i="20" s="1"/>
  <c r="D157" i="46"/>
  <c r="D32" i="20" s="1"/>
  <c r="N158" i="46"/>
  <c r="N33" i="20" s="1"/>
  <c r="V158" i="46"/>
  <c r="V33" i="20" s="1"/>
  <c r="AD158" i="46"/>
  <c r="AD33" i="20" s="1"/>
  <c r="S159" i="46"/>
  <c r="S34" i="20" s="1"/>
  <c r="AA159" i="46"/>
  <c r="AA34" i="20" s="1"/>
  <c r="AN13" i="46"/>
  <c r="AP13" i="46" s="1"/>
  <c r="AN21" i="46"/>
  <c r="AP21" i="46" s="1"/>
  <c r="AN29" i="46"/>
  <c r="AP29" i="46" s="1"/>
  <c r="AN37" i="46"/>
  <c r="AP37" i="46" s="1"/>
  <c r="AN45" i="46"/>
  <c r="AP45" i="46" s="1"/>
  <c r="AN53" i="46"/>
  <c r="AP53" i="46" s="1"/>
  <c r="AH56" i="46"/>
  <c r="Z157" i="46" s="1"/>
  <c r="Z32" i="20" s="1"/>
  <c r="AO58" i="46"/>
  <c r="AF59" i="46"/>
  <c r="AL61" i="46"/>
  <c r="M62" i="46"/>
  <c r="M65" i="46" s="1"/>
  <c r="AC62" i="46"/>
  <c r="AC63" i="46" s="1"/>
  <c r="E157" i="46"/>
  <c r="E32" i="20" s="1"/>
  <c r="O158" i="46"/>
  <c r="O33" i="20" s="1"/>
  <c r="W158" i="46"/>
  <c r="W33" i="20" s="1"/>
  <c r="T159" i="46"/>
  <c r="T34" i="20" s="1"/>
  <c r="AN8" i="46"/>
  <c r="AP8" i="46" s="1"/>
  <c r="AN16" i="46"/>
  <c r="AP16" i="46" s="1"/>
  <c r="AN24" i="46"/>
  <c r="AP24" i="46" s="1"/>
  <c r="AN32" i="46"/>
  <c r="AP32" i="46" s="1"/>
  <c r="S56" i="46"/>
  <c r="R157" i="46" s="1"/>
  <c r="R32" i="20" s="1"/>
  <c r="AH58" i="46"/>
  <c r="AO59" i="46"/>
  <c r="AF60" i="46"/>
  <c r="H69" i="46"/>
  <c r="F157" i="46"/>
  <c r="F32" i="20" s="1"/>
  <c r="P158" i="46"/>
  <c r="P33" i="20" s="1"/>
  <c r="X158" i="46"/>
  <c r="X33" i="20" s="1"/>
  <c r="AF158" i="46"/>
  <c r="AF33" i="20" s="1"/>
  <c r="U159" i="46"/>
  <c r="U34" i="20" s="1"/>
  <c r="AN51" i="46"/>
  <c r="AP51" i="46" s="1"/>
  <c r="S58" i="46"/>
  <c r="AH59" i="46"/>
  <c r="AO60" i="46"/>
  <c r="O62" i="46"/>
  <c r="O64" i="46" s="1"/>
  <c r="W62" i="46"/>
  <c r="W65" i="46" s="1"/>
  <c r="Q162" i="46" s="1"/>
  <c r="Q37" i="20" s="1"/>
  <c r="AE62" i="46"/>
  <c r="AE64" i="46" s="1"/>
  <c r="Q158" i="46"/>
  <c r="Q33" i="20" s="1"/>
  <c r="Y158" i="46"/>
  <c r="Y33" i="20" s="1"/>
  <c r="N159" i="46"/>
  <c r="N34" i="20" s="1"/>
  <c r="V159" i="46"/>
  <c r="V34" i="20" s="1"/>
  <c r="AD159" i="46"/>
  <c r="AD34" i="20" s="1"/>
  <c r="AN6" i="46"/>
  <c r="AK56" i="46"/>
  <c r="AG10" i="41" s="1"/>
  <c r="S59" i="46"/>
  <c r="AH60" i="46"/>
  <c r="H157" i="46"/>
  <c r="H32" i="20" s="1"/>
  <c r="R158" i="46"/>
  <c r="R33" i="20" s="1"/>
  <c r="Z158" i="46"/>
  <c r="Z33" i="20" s="1"/>
  <c r="O159" i="46"/>
  <c r="O34" i="20" s="1"/>
  <c r="W159" i="46"/>
  <c r="W34" i="20" s="1"/>
  <c r="I157" i="46"/>
  <c r="I32" i="20" s="1"/>
  <c r="K158" i="46"/>
  <c r="K33" i="20" s="1"/>
  <c r="S158" i="46"/>
  <c r="S33" i="20" s="1"/>
  <c r="AA158" i="46"/>
  <c r="AA33" i="20" s="1"/>
  <c r="P159" i="46"/>
  <c r="P34" i="20" s="1"/>
  <c r="X159" i="46"/>
  <c r="X34" i="20" s="1"/>
  <c r="U7" i="45"/>
  <c r="Q62" i="45"/>
  <c r="Q66" i="45" s="1"/>
  <c r="AL61" i="45"/>
  <c r="AN17" i="45"/>
  <c r="AP17" i="45" s="1"/>
  <c r="AM42" i="45"/>
  <c r="AN49" i="45"/>
  <c r="AP49" i="45" s="1"/>
  <c r="AP53" i="45"/>
  <c r="AE64" i="45"/>
  <c r="W65" i="45"/>
  <c r="Q162" i="45" s="1"/>
  <c r="Q30" i="20" s="1"/>
  <c r="AG65" i="45"/>
  <c r="Y162" i="45" s="1"/>
  <c r="Y30" i="20" s="1"/>
  <c r="AP29" i="45"/>
  <c r="AC62" i="45"/>
  <c r="AC64" i="45" s="1"/>
  <c r="AO61" i="45"/>
  <c r="AO60" i="45"/>
  <c r="AO59" i="45"/>
  <c r="AO58" i="45"/>
  <c r="AO56" i="45"/>
  <c r="AD157" i="45" s="1"/>
  <c r="AD25" i="20" s="1"/>
  <c r="P159" i="45"/>
  <c r="P27" i="20" s="1"/>
  <c r="K158" i="45"/>
  <c r="K26" i="20" s="1"/>
  <c r="I157" i="45"/>
  <c r="I25" i="20" s="1"/>
  <c r="AF159" i="45"/>
  <c r="AF27" i="20" s="1"/>
  <c r="S158" i="45"/>
  <c r="S26" i="20" s="1"/>
  <c r="AP39" i="45"/>
  <c r="M62" i="45"/>
  <c r="M64" i="45" s="1"/>
  <c r="W64" i="45"/>
  <c r="Q161" i="45" s="1"/>
  <c r="Q29" i="20" s="1"/>
  <c r="AG64" i="45"/>
  <c r="Y161" i="45" s="1"/>
  <c r="Y29" i="20" s="1"/>
  <c r="AP21" i="45"/>
  <c r="AP37" i="45"/>
  <c r="X159" i="45"/>
  <c r="X27" i="20" s="1"/>
  <c r="AH8" i="45"/>
  <c r="AH61" i="45" s="1"/>
  <c r="AM18" i="45"/>
  <c r="AP22" i="45"/>
  <c r="AP33" i="45"/>
  <c r="AM50" i="45"/>
  <c r="AC66" i="45"/>
  <c r="S59" i="45"/>
  <c r="X61" i="45"/>
  <c r="AN9" i="45"/>
  <c r="AP9" i="45" s="1"/>
  <c r="AP15" i="45"/>
  <c r="AP47" i="45"/>
  <c r="Z63" i="45"/>
  <c r="P64" i="45"/>
  <c r="AA64" i="45"/>
  <c r="AF61" i="45"/>
  <c r="AP13" i="45"/>
  <c r="AP14" i="45"/>
  <c r="AM34" i="45"/>
  <c r="AN41" i="45"/>
  <c r="AP42" i="45"/>
  <c r="AP46" i="45"/>
  <c r="AL56" i="45"/>
  <c r="AA157" i="45" s="1"/>
  <c r="AA25" i="20" s="1"/>
  <c r="S60" i="45"/>
  <c r="AC65" i="45"/>
  <c r="L66" i="45"/>
  <c r="O163" i="45" s="1"/>
  <c r="O31" i="20" s="1"/>
  <c r="AE66" i="45"/>
  <c r="AP41" i="45"/>
  <c r="AP45" i="45"/>
  <c r="L65" i="45"/>
  <c r="O162" i="45" s="1"/>
  <c r="O30" i="20" s="1"/>
  <c r="W66" i="45"/>
  <c r="Q163" i="45" s="1"/>
  <c r="Q31" i="20" s="1"/>
  <c r="AN12" i="45"/>
  <c r="AP12" i="45" s="1"/>
  <c r="AN28" i="45"/>
  <c r="AP28" i="45" s="1"/>
  <c r="AN36" i="45"/>
  <c r="AP36" i="45" s="1"/>
  <c r="AN44" i="45"/>
  <c r="AP44" i="45" s="1"/>
  <c r="AN52" i="45"/>
  <c r="AP52" i="45" s="1"/>
  <c r="AL58" i="45"/>
  <c r="AK59" i="45"/>
  <c r="S61" i="45"/>
  <c r="R62" i="45"/>
  <c r="R65" i="45" s="1"/>
  <c r="Z62" i="45"/>
  <c r="Z64" i="45" s="1"/>
  <c r="P63" i="45"/>
  <c r="B157" i="45"/>
  <c r="B25" i="20" s="1"/>
  <c r="L158" i="45"/>
  <c r="AB158" i="45"/>
  <c r="AB26" i="20" s="1"/>
  <c r="Q159" i="45"/>
  <c r="Q27" i="20" s="1"/>
  <c r="Y159" i="45"/>
  <c r="Y27" i="20" s="1"/>
  <c r="AN55" i="45"/>
  <c r="AP55" i="45" s="1"/>
  <c r="X56" i="45"/>
  <c r="T9" i="41" s="1"/>
  <c r="AF56" i="45"/>
  <c r="X157" i="45" s="1"/>
  <c r="X25" i="20" s="1"/>
  <c r="AL59" i="45"/>
  <c r="AK60" i="45"/>
  <c r="K62" i="45"/>
  <c r="K65" i="45" s="1"/>
  <c r="N162" i="45" s="1"/>
  <c r="N30" i="20" s="1"/>
  <c r="AA62" i="45"/>
  <c r="AA66" i="45" s="1"/>
  <c r="AI62" i="45"/>
  <c r="AI65" i="45" s="1"/>
  <c r="V162" i="45" s="1"/>
  <c r="V30" i="20" s="1"/>
  <c r="AQ62" i="45"/>
  <c r="AQ64" i="45" s="1"/>
  <c r="AF161" i="45" s="1"/>
  <c r="AF29" i="20" s="1"/>
  <c r="C157" i="45"/>
  <c r="C25" i="20" s="1"/>
  <c r="U158" i="45"/>
  <c r="U26" i="20" s="1"/>
  <c r="R159" i="45"/>
  <c r="R27" i="20" s="1"/>
  <c r="Z159" i="45"/>
  <c r="Z27" i="20" s="1"/>
  <c r="AN10" i="45"/>
  <c r="AP10" i="45" s="1"/>
  <c r="AN18" i="45"/>
  <c r="AP18" i="45" s="1"/>
  <c r="AN26" i="45"/>
  <c r="AP26" i="45" s="1"/>
  <c r="AN34" i="45"/>
  <c r="AP34" i="45" s="1"/>
  <c r="AN42" i="45"/>
  <c r="AN50" i="45"/>
  <c r="AP50" i="45" s="1"/>
  <c r="X58" i="45"/>
  <c r="AF58" i="45"/>
  <c r="AL60" i="45"/>
  <c r="AK61" i="45"/>
  <c r="L62" i="45"/>
  <c r="L63" i="45" s="1"/>
  <c r="O160" i="45" s="1"/>
  <c r="O28" i="20" s="1"/>
  <c r="T62" i="45"/>
  <c r="T65" i="45" s="1"/>
  <c r="S162" i="45" s="1"/>
  <c r="S30" i="20" s="1"/>
  <c r="AB62" i="45"/>
  <c r="AB64" i="45" s="1"/>
  <c r="AJ62" i="45"/>
  <c r="AJ64" i="45" s="1"/>
  <c r="W161" i="45" s="1"/>
  <c r="W29" i="20" s="1"/>
  <c r="D157" i="45"/>
  <c r="D25" i="20" s="1"/>
  <c r="N158" i="45"/>
  <c r="N26" i="20" s="1"/>
  <c r="V158" i="45"/>
  <c r="V26" i="20" s="1"/>
  <c r="AD158" i="45"/>
  <c r="AD26" i="20" s="1"/>
  <c r="S159" i="45"/>
  <c r="S27" i="20" s="1"/>
  <c r="AA159" i="45"/>
  <c r="AA27" i="20" s="1"/>
  <c r="X59" i="45"/>
  <c r="AF59" i="45"/>
  <c r="E157" i="45"/>
  <c r="E25" i="20" s="1"/>
  <c r="O158" i="45"/>
  <c r="O26" i="20" s="1"/>
  <c r="W158" i="45"/>
  <c r="W26" i="20" s="1"/>
  <c r="T159" i="45"/>
  <c r="T27" i="20" s="1"/>
  <c r="AB159" i="45"/>
  <c r="AB27" i="20" s="1"/>
  <c r="AN8" i="45"/>
  <c r="AP8" i="45" s="1"/>
  <c r="AN16" i="45"/>
  <c r="AP16" i="45" s="1"/>
  <c r="AN24" i="45"/>
  <c r="AP24" i="45" s="1"/>
  <c r="AN32" i="45"/>
  <c r="AP32" i="45" s="1"/>
  <c r="AN40" i="45"/>
  <c r="AP40" i="45" s="1"/>
  <c r="AN48" i="45"/>
  <c r="AP48" i="45" s="1"/>
  <c r="S56" i="45"/>
  <c r="R157" i="45" s="1"/>
  <c r="R25" i="20" s="1"/>
  <c r="X60" i="45"/>
  <c r="AF60" i="45"/>
  <c r="N62" i="45"/>
  <c r="N65" i="45" s="1"/>
  <c r="V62" i="45"/>
  <c r="V65" i="45" s="1"/>
  <c r="P162" i="45" s="1"/>
  <c r="P30" i="20" s="1"/>
  <c r="AD62" i="45"/>
  <c r="AD64" i="45" s="1"/>
  <c r="H69" i="45"/>
  <c r="P158" i="45"/>
  <c r="P26" i="20" s="1"/>
  <c r="X158" i="45"/>
  <c r="X26" i="20" s="1"/>
  <c r="AF158" i="45"/>
  <c r="AF26" i="20" s="1"/>
  <c r="U159" i="45"/>
  <c r="U27" i="20" s="1"/>
  <c r="AM6" i="45"/>
  <c r="AN35" i="45"/>
  <c r="AP35" i="45" s="1"/>
  <c r="S58" i="45"/>
  <c r="Q158" i="45"/>
  <c r="Q26" i="20" s="1"/>
  <c r="Y158" i="45"/>
  <c r="Y26" i="20" s="1"/>
  <c r="N159" i="45"/>
  <c r="N27" i="20" s="1"/>
  <c r="V159" i="45"/>
  <c r="V27" i="20" s="1"/>
  <c r="AD159" i="45"/>
  <c r="AD27" i="20" s="1"/>
  <c r="AN6" i="45"/>
  <c r="H157" i="45"/>
  <c r="R158" i="45"/>
  <c r="R26" i="20" s="1"/>
  <c r="Z158" i="45"/>
  <c r="Z26" i="20" s="1"/>
  <c r="O159" i="45"/>
  <c r="O27" i="20" s="1"/>
  <c r="W159" i="45"/>
  <c r="W27" i="20" s="1"/>
  <c r="N69" i="44"/>
  <c r="AH61" i="44"/>
  <c r="AH59" i="44"/>
  <c r="AH58" i="44"/>
  <c r="AH56" i="44"/>
  <c r="Z157" i="44" s="1"/>
  <c r="Z18" i="20" s="1"/>
  <c r="AK56" i="44"/>
  <c r="AG8" i="41" s="1"/>
  <c r="N66" i="44"/>
  <c r="AG66" i="44"/>
  <c r="Y163" i="44" s="1"/>
  <c r="Y24" i="20" s="1"/>
  <c r="R63" i="44"/>
  <c r="G157" i="44"/>
  <c r="G18" i="20" s="1"/>
  <c r="H69" i="44"/>
  <c r="AF159" i="44"/>
  <c r="AF20" i="20" s="1"/>
  <c r="X159" i="44"/>
  <c r="X20" i="20" s="1"/>
  <c r="P159" i="44"/>
  <c r="P20" i="20" s="1"/>
  <c r="AA158" i="44"/>
  <c r="AA19" i="20" s="1"/>
  <c r="S158" i="44"/>
  <c r="S19" i="20" s="1"/>
  <c r="K158" i="44"/>
  <c r="K19" i="20" s="1"/>
  <c r="I157" i="44"/>
  <c r="I18" i="20" s="1"/>
  <c r="W159" i="44"/>
  <c r="W20" i="20" s="1"/>
  <c r="AD159" i="44"/>
  <c r="AD20" i="20" s="1"/>
  <c r="V159" i="44"/>
  <c r="V20" i="20" s="1"/>
  <c r="N159" i="44"/>
  <c r="N20" i="20" s="1"/>
  <c r="Y158" i="44"/>
  <c r="Y19" i="20" s="1"/>
  <c r="Q158" i="44"/>
  <c r="Q19" i="20" s="1"/>
  <c r="AA159" i="44"/>
  <c r="AA20" i="20" s="1"/>
  <c r="U159" i="44"/>
  <c r="U20" i="20" s="1"/>
  <c r="AF158" i="44"/>
  <c r="AF19" i="20" s="1"/>
  <c r="X158" i="44"/>
  <c r="X19" i="20" s="1"/>
  <c r="P158" i="44"/>
  <c r="P19" i="20" s="1"/>
  <c r="AD158" i="44"/>
  <c r="AD19" i="20" s="1"/>
  <c r="W158" i="44"/>
  <c r="W19" i="20" s="1"/>
  <c r="O158" i="44"/>
  <c r="O19" i="20" s="1"/>
  <c r="S159" i="44"/>
  <c r="S20" i="20" s="1"/>
  <c r="Z159" i="44"/>
  <c r="Z20" i="20" s="1"/>
  <c r="R159" i="44"/>
  <c r="R20" i="20" s="1"/>
  <c r="AC158" i="44"/>
  <c r="AC19" i="20" s="1"/>
  <c r="U158" i="44"/>
  <c r="U19" i="20" s="1"/>
  <c r="Y159" i="44"/>
  <c r="Y20" i="20" s="1"/>
  <c r="Q159" i="44"/>
  <c r="Q20" i="20" s="1"/>
  <c r="AB158" i="44"/>
  <c r="AB19" i="20" s="1"/>
  <c r="L158" i="44"/>
  <c r="L19" i="20" s="1"/>
  <c r="O159" i="44"/>
  <c r="O20" i="20" s="1"/>
  <c r="AK58" i="44"/>
  <c r="AN10" i="44"/>
  <c r="AP10" i="44" s="1"/>
  <c r="AP14" i="44"/>
  <c r="AE158" i="44" s="1"/>
  <c r="AE19" i="20" s="1"/>
  <c r="AM23" i="44"/>
  <c r="AN38" i="44"/>
  <c r="AP38" i="44" s="1"/>
  <c r="AP39" i="44"/>
  <c r="AN42" i="44"/>
  <c r="AP42" i="44" s="1"/>
  <c r="AP46" i="44"/>
  <c r="AN49" i="44"/>
  <c r="AP49" i="44" s="1"/>
  <c r="AP50" i="44"/>
  <c r="AP51" i="44"/>
  <c r="AN54" i="44"/>
  <c r="AP54" i="44" s="1"/>
  <c r="AP55" i="44"/>
  <c r="AO56" i="44"/>
  <c r="AD157" i="44" s="1"/>
  <c r="AD18" i="20" s="1"/>
  <c r="AJ63" i="44"/>
  <c r="W160" i="44" s="1"/>
  <c r="W21" i="20" s="1"/>
  <c r="Z64" i="44"/>
  <c r="Y66" i="44"/>
  <c r="U163" i="44" s="1"/>
  <c r="U24" i="20" s="1"/>
  <c r="AP34" i="44"/>
  <c r="AN53" i="44"/>
  <c r="AP53" i="44" s="1"/>
  <c r="T63" i="44"/>
  <c r="S160" i="44" s="1"/>
  <c r="S21" i="20" s="1"/>
  <c r="R64" i="44"/>
  <c r="AC65" i="44"/>
  <c r="Q66" i="44"/>
  <c r="E69" i="44"/>
  <c r="C157" i="44"/>
  <c r="C18" i="20" s="1"/>
  <c r="AL56" i="44"/>
  <c r="AA157" i="44" s="1"/>
  <c r="AA18" i="20" s="1"/>
  <c r="Z66" i="44"/>
  <c r="AB62" i="44"/>
  <c r="AB63" i="44" s="1"/>
  <c r="AN6" i="44"/>
  <c r="AP6" i="44" s="1"/>
  <c r="AO60" i="44"/>
  <c r="AM15" i="44"/>
  <c r="AN30" i="44"/>
  <c r="AP30" i="44" s="1"/>
  <c r="AP31" i="44"/>
  <c r="AN33" i="44"/>
  <c r="AP33" i="44" s="1"/>
  <c r="AM47" i="44"/>
  <c r="AM51" i="44"/>
  <c r="L63" i="44"/>
  <c r="O160" i="44" s="1"/>
  <c r="O21" i="20" s="1"/>
  <c r="T65" i="44"/>
  <c r="S162" i="44" s="1"/>
  <c r="S23" i="20" s="1"/>
  <c r="R66" i="44"/>
  <c r="AO61" i="44"/>
  <c r="AJ62" i="44"/>
  <c r="N158" i="44"/>
  <c r="N19" i="20" s="1"/>
  <c r="S60" i="44"/>
  <c r="U6" i="44"/>
  <c r="T159" i="44" s="1"/>
  <c r="T20" i="20" s="1"/>
  <c r="S58" i="44"/>
  <c r="S56" i="44"/>
  <c r="R157" i="44" s="1"/>
  <c r="R18" i="20" s="1"/>
  <c r="S61" i="44"/>
  <c r="AN22" i="44"/>
  <c r="AP23" i="44"/>
  <c r="AN25" i="44"/>
  <c r="AP25" i="44" s="1"/>
  <c r="AP29" i="44"/>
  <c r="AM43" i="44"/>
  <c r="AD64" i="44"/>
  <c r="L65" i="44"/>
  <c r="O162" i="44" s="1"/>
  <c r="O23" i="20" s="1"/>
  <c r="H157" i="44"/>
  <c r="H18" i="20" s="1"/>
  <c r="R158" i="44"/>
  <c r="R19" i="20" s="1"/>
  <c r="AN18" i="44"/>
  <c r="AP18" i="44" s="1"/>
  <c r="AP22" i="44"/>
  <c r="X58" i="44"/>
  <c r="AG65" i="44"/>
  <c r="Y162" i="44" s="1"/>
  <c r="Y23" i="20" s="1"/>
  <c r="AF61" i="44"/>
  <c r="AF60" i="44"/>
  <c r="AF59" i="44"/>
  <c r="AF56" i="44"/>
  <c r="X157" i="44" s="1"/>
  <c r="X18" i="20" s="1"/>
  <c r="AP19" i="44"/>
  <c r="N64" i="44"/>
  <c r="AG64" i="44"/>
  <c r="Y161" i="44" s="1"/>
  <c r="Y22" i="20" s="1"/>
  <c r="Y65" i="44"/>
  <c r="U162" i="44" s="1"/>
  <c r="U23" i="20" s="1"/>
  <c r="AH60" i="44"/>
  <c r="P62" i="44"/>
  <c r="P65" i="44" s="1"/>
  <c r="U9" i="44"/>
  <c r="T158" i="44" s="1"/>
  <c r="T19" i="20" s="1"/>
  <c r="U17" i="44"/>
  <c r="U25" i="44"/>
  <c r="U33" i="44"/>
  <c r="AL58" i="44"/>
  <c r="AK59" i="44"/>
  <c r="X56" i="44"/>
  <c r="T8" i="41" s="1"/>
  <c r="AL59" i="44"/>
  <c r="AK60" i="44"/>
  <c r="K62" i="44"/>
  <c r="K66" i="44" s="1"/>
  <c r="N163" i="44" s="1"/>
  <c r="N24" i="20" s="1"/>
  <c r="AA62" i="44"/>
  <c r="AA65" i="44" s="1"/>
  <c r="AI62" i="44"/>
  <c r="AI65" i="44" s="1"/>
  <c r="V162" i="44" s="1"/>
  <c r="V23" i="20" s="1"/>
  <c r="AQ62" i="44"/>
  <c r="AQ66" i="44" s="1"/>
  <c r="AF163" i="44" s="1"/>
  <c r="AF24" i="20" s="1"/>
  <c r="Q63" i="44"/>
  <c r="Y63" i="44"/>
  <c r="U160" i="44" s="1"/>
  <c r="U21" i="20" s="1"/>
  <c r="AG63" i="44"/>
  <c r="Y160" i="44" s="1"/>
  <c r="Y21" i="20" s="1"/>
  <c r="AN13" i="44"/>
  <c r="AP13" i="44" s="1"/>
  <c r="AN21" i="44"/>
  <c r="AP21" i="44" s="1"/>
  <c r="AN37" i="44"/>
  <c r="AP37" i="44" s="1"/>
  <c r="AN45" i="44"/>
  <c r="AP45" i="44" s="1"/>
  <c r="AO58" i="44"/>
  <c r="X59" i="44"/>
  <c r="AL61" i="44"/>
  <c r="M62" i="44"/>
  <c r="M63" i="44" s="1"/>
  <c r="AC62" i="44"/>
  <c r="AC66" i="44" s="1"/>
  <c r="AN8" i="44"/>
  <c r="AP8" i="44" s="1"/>
  <c r="AN16" i="44"/>
  <c r="AP16" i="44" s="1"/>
  <c r="AN24" i="44"/>
  <c r="AP24" i="44" s="1"/>
  <c r="AN32" i="44"/>
  <c r="AP32" i="44" s="1"/>
  <c r="AN40" i="44"/>
  <c r="AP40" i="44" s="1"/>
  <c r="AN48" i="44"/>
  <c r="AP48" i="44" s="1"/>
  <c r="AO59" i="44"/>
  <c r="X60" i="44"/>
  <c r="F157" i="44"/>
  <c r="F18" i="20" s="1"/>
  <c r="AM6" i="44"/>
  <c r="AB159" i="44" s="1"/>
  <c r="AB20" i="20" s="1"/>
  <c r="O62" i="44"/>
  <c r="O66" i="44" s="1"/>
  <c r="W62" i="44"/>
  <c r="W66" i="44" s="1"/>
  <c r="Q163" i="44" s="1"/>
  <c r="Q24" i="20" s="1"/>
  <c r="AE62" i="44"/>
  <c r="AE66" i="44" s="1"/>
  <c r="F157" i="43"/>
  <c r="F11" i="20" s="1"/>
  <c r="AL61" i="43"/>
  <c r="M62" i="43"/>
  <c r="M64" i="43" s="1"/>
  <c r="O65" i="43"/>
  <c r="AC62" i="43"/>
  <c r="AC64" i="43" s="1"/>
  <c r="AO58" i="43"/>
  <c r="AO56" i="43"/>
  <c r="AD157" i="43" s="1"/>
  <c r="AD11" i="20" s="1"/>
  <c r="AO61" i="43"/>
  <c r="AO60" i="43"/>
  <c r="AO59" i="43"/>
  <c r="AN8" i="43"/>
  <c r="AP8" i="43" s="1"/>
  <c r="AP20" i="43"/>
  <c r="AP22" i="43"/>
  <c r="AP23" i="43"/>
  <c r="AP24" i="43"/>
  <c r="AP39" i="43"/>
  <c r="AP40" i="43"/>
  <c r="AB66" i="43"/>
  <c r="S61" i="43"/>
  <c r="AP14" i="43"/>
  <c r="AP16" i="43"/>
  <c r="AN33" i="43"/>
  <c r="AP45" i="43"/>
  <c r="AP46" i="43"/>
  <c r="AP47" i="43"/>
  <c r="AJ62" i="43"/>
  <c r="AJ66" i="43" s="1"/>
  <c r="W163" i="43" s="1"/>
  <c r="W17" i="20" s="1"/>
  <c r="K158" i="43"/>
  <c r="K12" i="20" s="1"/>
  <c r="AF159" i="43"/>
  <c r="AF13" i="20" s="1"/>
  <c r="I157" i="43"/>
  <c r="I11" i="20" s="1"/>
  <c r="P159" i="43"/>
  <c r="P13" i="20" s="1"/>
  <c r="S158" i="43"/>
  <c r="S12" i="20" s="1"/>
  <c r="O64" i="43"/>
  <c r="AP33" i="43"/>
  <c r="AK58" i="43"/>
  <c r="S60" i="43"/>
  <c r="AC65" i="43"/>
  <c r="L66" i="43"/>
  <c r="O163" i="43" s="1"/>
  <c r="O17" i="20" s="1"/>
  <c r="AE66" i="43"/>
  <c r="X159" i="43"/>
  <c r="X13" i="20" s="1"/>
  <c r="AH8" i="43"/>
  <c r="X59" i="43"/>
  <c r="AP30" i="43"/>
  <c r="AP31" i="43"/>
  <c r="AP32" i="43"/>
  <c r="AP53" i="43"/>
  <c r="AP54" i="43"/>
  <c r="AB62" i="43"/>
  <c r="AB65" i="43" s="1"/>
  <c r="L65" i="43"/>
  <c r="O162" i="43" s="1"/>
  <c r="O16" i="20" s="1"/>
  <c r="W66" i="43"/>
  <c r="Q163" i="43" s="1"/>
  <c r="Q17" i="20" s="1"/>
  <c r="AP55" i="43"/>
  <c r="T62" i="43"/>
  <c r="T64" i="43" s="1"/>
  <c r="S161" i="43" s="1"/>
  <c r="S15" i="20" s="1"/>
  <c r="AA158" i="43"/>
  <c r="AA12" i="20" s="1"/>
  <c r="AN9" i="43"/>
  <c r="AP9" i="43" s="1"/>
  <c r="AP10" i="43"/>
  <c r="AN25" i="43"/>
  <c r="AP25" i="43" s="1"/>
  <c r="AN41" i="43"/>
  <c r="AP41" i="43" s="1"/>
  <c r="AN49" i="43"/>
  <c r="AP49" i="43" s="1"/>
  <c r="L64" i="43"/>
  <c r="O161" i="43" s="1"/>
  <c r="O15" i="20" s="1"/>
  <c r="AE64" i="43"/>
  <c r="W65" i="43"/>
  <c r="Q162" i="43" s="1"/>
  <c r="Q16" i="20" s="1"/>
  <c r="O66" i="43"/>
  <c r="U13" i="43"/>
  <c r="U21" i="43"/>
  <c r="U29" i="43"/>
  <c r="U37" i="43"/>
  <c r="U45" i="43"/>
  <c r="AN48" i="43"/>
  <c r="AP48" i="43" s="1"/>
  <c r="S56" i="43"/>
  <c r="R157" i="43" s="1"/>
  <c r="R11" i="20" s="1"/>
  <c r="X60" i="43"/>
  <c r="AF60" i="43"/>
  <c r="N62" i="43"/>
  <c r="N64" i="43" s="1"/>
  <c r="V62" i="43"/>
  <c r="V65" i="43" s="1"/>
  <c r="P162" i="43" s="1"/>
  <c r="P16" i="20" s="1"/>
  <c r="AD62" i="43"/>
  <c r="AD66" i="43" s="1"/>
  <c r="L63" i="43"/>
  <c r="O160" i="43" s="1"/>
  <c r="O14" i="20" s="1"/>
  <c r="AB63" i="43"/>
  <c r="AJ63" i="43"/>
  <c r="W160" i="43" s="1"/>
  <c r="W14" i="20" s="1"/>
  <c r="H69" i="43"/>
  <c r="P158" i="43"/>
  <c r="P12" i="20" s="1"/>
  <c r="X158" i="43"/>
  <c r="X12" i="20" s="1"/>
  <c r="AF158" i="43"/>
  <c r="AF12" i="20" s="1"/>
  <c r="U159" i="43"/>
  <c r="U13" i="20" s="1"/>
  <c r="AM6" i="43"/>
  <c r="AN11" i="43"/>
  <c r="AP11" i="43" s="1"/>
  <c r="AN19" i="43"/>
  <c r="AP19" i="43" s="1"/>
  <c r="AN27" i="43"/>
  <c r="AP27" i="43" s="1"/>
  <c r="AN35" i="43"/>
  <c r="AP35" i="43" s="1"/>
  <c r="AN43" i="43"/>
  <c r="AP43" i="43" s="1"/>
  <c r="AN51" i="43"/>
  <c r="AP51" i="43" s="1"/>
  <c r="S58" i="43"/>
  <c r="X61" i="43"/>
  <c r="AF61" i="43"/>
  <c r="N69" i="43"/>
  <c r="Q158" i="43"/>
  <c r="Q12" i="20" s="1"/>
  <c r="Y158" i="43"/>
  <c r="Y12" i="20" s="1"/>
  <c r="N159" i="43"/>
  <c r="N13" i="20" s="1"/>
  <c r="V159" i="43"/>
  <c r="V13" i="20" s="1"/>
  <c r="AD159" i="43"/>
  <c r="AD13" i="20" s="1"/>
  <c r="AN6" i="43"/>
  <c r="AK56" i="43"/>
  <c r="AG7" i="41" s="1"/>
  <c r="S59" i="43"/>
  <c r="P62" i="43"/>
  <c r="P66" i="43" s="1"/>
  <c r="AB69" i="43"/>
  <c r="H157" i="43"/>
  <c r="R158" i="43"/>
  <c r="R12" i="20" s="1"/>
  <c r="Z158" i="43"/>
  <c r="Z12" i="20" s="1"/>
  <c r="O159" i="43"/>
  <c r="O13" i="20" s="1"/>
  <c r="W159" i="43"/>
  <c r="W13" i="20" s="1"/>
  <c r="AN12" i="43"/>
  <c r="AP12" i="43" s="1"/>
  <c r="AN36" i="43"/>
  <c r="AP36" i="43" s="1"/>
  <c r="AN44" i="43"/>
  <c r="AP44" i="43" s="1"/>
  <c r="AN52" i="43"/>
  <c r="AP52" i="43" s="1"/>
  <c r="AL58" i="43"/>
  <c r="AK59" i="43"/>
  <c r="R62" i="43"/>
  <c r="R65" i="43" s="1"/>
  <c r="Z62" i="43"/>
  <c r="Z65" i="43" s="1"/>
  <c r="B157" i="43"/>
  <c r="B11" i="20" s="1"/>
  <c r="L158" i="43"/>
  <c r="L12" i="20" s="1"/>
  <c r="AB158" i="43"/>
  <c r="AB12" i="20" s="1"/>
  <c r="Q159" i="43"/>
  <c r="Q13" i="20" s="1"/>
  <c r="Y159" i="43"/>
  <c r="Y13" i="20" s="1"/>
  <c r="AN7" i="43"/>
  <c r="AP7" i="43" s="1"/>
  <c r="X56" i="43"/>
  <c r="T7" i="41" s="1"/>
  <c r="AF56" i="43"/>
  <c r="X157" i="43" s="1"/>
  <c r="X11" i="20" s="1"/>
  <c r="AL59" i="43"/>
  <c r="AK60" i="43"/>
  <c r="K62" i="43"/>
  <c r="K65" i="43" s="1"/>
  <c r="N162" i="43" s="1"/>
  <c r="N16" i="20" s="1"/>
  <c r="AA62" i="43"/>
  <c r="AA65" i="43" s="1"/>
  <c r="AI62" i="43"/>
  <c r="AI64" i="43" s="1"/>
  <c r="V161" i="43" s="1"/>
  <c r="V15" i="20" s="1"/>
  <c r="AQ62" i="43"/>
  <c r="AQ63" i="43" s="1"/>
  <c r="AF160" i="43" s="1"/>
  <c r="AF14" i="20" s="1"/>
  <c r="C157" i="43"/>
  <c r="C11" i="20" s="1"/>
  <c r="U158" i="43"/>
  <c r="U12" i="20" s="1"/>
  <c r="R159" i="43"/>
  <c r="R13" i="20" s="1"/>
  <c r="Z159" i="43"/>
  <c r="Z13" i="20" s="1"/>
  <c r="AH6" i="43"/>
  <c r="AN26" i="43"/>
  <c r="AP26" i="43" s="1"/>
  <c r="AN34" i="43"/>
  <c r="AP34" i="43" s="1"/>
  <c r="AN42" i="43"/>
  <c r="AP42" i="43" s="1"/>
  <c r="AN50" i="43"/>
  <c r="AP50" i="43" s="1"/>
  <c r="X58" i="43"/>
  <c r="AF58" i="43"/>
  <c r="AL60" i="43"/>
  <c r="N158" i="43"/>
  <c r="N12" i="20" s="1"/>
  <c r="V158" i="43"/>
  <c r="V12" i="20" s="1"/>
  <c r="AD158" i="43"/>
  <c r="AD12" i="20" s="1"/>
  <c r="S159" i="43"/>
  <c r="S13" i="20" s="1"/>
  <c r="AA159" i="43"/>
  <c r="AA13" i="20" s="1"/>
  <c r="O158" i="43"/>
  <c r="O12" i="20" s="1"/>
  <c r="W158" i="43"/>
  <c r="W12" i="20" s="1"/>
  <c r="T159" i="43"/>
  <c r="T13" i="20" s="1"/>
  <c r="B6" i="41"/>
  <c r="C6" i="41"/>
  <c r="B7" i="41"/>
  <c r="C7" i="41"/>
  <c r="B8" i="41"/>
  <c r="C8" i="41"/>
  <c r="B9" i="41"/>
  <c r="C9" i="41"/>
  <c r="B10" i="41"/>
  <c r="C10" i="41"/>
  <c r="B11" i="41"/>
  <c r="C11" i="41"/>
  <c r="B12" i="41"/>
  <c r="C12" i="41"/>
  <c r="B13" i="41"/>
  <c r="C13" i="41"/>
  <c r="B14" i="41"/>
  <c r="C14" i="41"/>
  <c r="B15" i="41"/>
  <c r="C15" i="41"/>
  <c r="B16" i="41"/>
  <c r="C16" i="41"/>
  <c r="B17" i="41"/>
  <c r="C17" i="41"/>
  <c r="B18" i="41"/>
  <c r="C18" i="41"/>
  <c r="B19" i="41"/>
  <c r="C19" i="41"/>
  <c r="B20" i="41"/>
  <c r="C20" i="41"/>
  <c r="B21" i="41"/>
  <c r="C21" i="41"/>
  <c r="B22" i="41"/>
  <c r="C22" i="41"/>
  <c r="B23" i="41"/>
  <c r="C23" i="41"/>
  <c r="B24" i="41"/>
  <c r="C24" i="41"/>
  <c r="B25" i="41"/>
  <c r="C25" i="41"/>
  <c r="AQ61" i="1"/>
  <c r="AJ61" i="1"/>
  <c r="AI61" i="1"/>
  <c r="AG61" i="1"/>
  <c r="AE61" i="1"/>
  <c r="AD61" i="1"/>
  <c r="AC61" i="1"/>
  <c r="AB61" i="1"/>
  <c r="AA61" i="1"/>
  <c r="Z61" i="1"/>
  <c r="Y61" i="1"/>
  <c r="W61" i="1"/>
  <c r="V61" i="1"/>
  <c r="T61" i="1"/>
  <c r="R61" i="1"/>
  <c r="Q61" i="1"/>
  <c r="P61" i="1"/>
  <c r="O61" i="1"/>
  <c r="N61" i="1"/>
  <c r="M61" i="1"/>
  <c r="L61" i="1"/>
  <c r="K61" i="1"/>
  <c r="J63" i="1"/>
  <c r="AG160" i="1" s="1"/>
  <c r="J64" i="1"/>
  <c r="AG161" i="1" s="1"/>
  <c r="J65" i="1"/>
  <c r="AG162" i="1" s="1"/>
  <c r="J66" i="1"/>
  <c r="AG163" i="1" s="1"/>
  <c r="AQ60" i="1"/>
  <c r="AJ60" i="1"/>
  <c r="AI60" i="1"/>
  <c r="AG60" i="1"/>
  <c r="AE60" i="1"/>
  <c r="AD60" i="1"/>
  <c r="AC60" i="1"/>
  <c r="AB60" i="1"/>
  <c r="AA60" i="1"/>
  <c r="Z60" i="1"/>
  <c r="Y60" i="1"/>
  <c r="W60" i="1"/>
  <c r="V60" i="1"/>
  <c r="T60" i="1"/>
  <c r="R60" i="1"/>
  <c r="Q60" i="1"/>
  <c r="P60" i="1"/>
  <c r="O60" i="1"/>
  <c r="N60" i="1"/>
  <c r="M60" i="1"/>
  <c r="L60" i="1"/>
  <c r="K60" i="1"/>
  <c r="AQ59" i="1"/>
  <c r="AJ59" i="1"/>
  <c r="AI59" i="1"/>
  <c r="AG59" i="1"/>
  <c r="AE59" i="1"/>
  <c r="AD59" i="1"/>
  <c r="AC59" i="1"/>
  <c r="AB59" i="1"/>
  <c r="AA59" i="1"/>
  <c r="Z59" i="1"/>
  <c r="Y59" i="1"/>
  <c r="W59" i="1"/>
  <c r="V59" i="1"/>
  <c r="T59" i="1"/>
  <c r="R59" i="1"/>
  <c r="Q59" i="1"/>
  <c r="P59" i="1"/>
  <c r="O59" i="1"/>
  <c r="N59" i="1"/>
  <c r="M59" i="1"/>
  <c r="L59" i="1"/>
  <c r="K59" i="1"/>
  <c r="AQ58" i="1"/>
  <c r="AJ58" i="1"/>
  <c r="AI58" i="1"/>
  <c r="AG58" i="1"/>
  <c r="AE58" i="1"/>
  <c r="AD58" i="1"/>
  <c r="AC58" i="1"/>
  <c r="AB58" i="1"/>
  <c r="AA58" i="1"/>
  <c r="Z58" i="1"/>
  <c r="Y58" i="1"/>
  <c r="W58" i="1"/>
  <c r="V58" i="1"/>
  <c r="T58" i="1"/>
  <c r="R58" i="1"/>
  <c r="Q58" i="1"/>
  <c r="P58" i="1"/>
  <c r="O58" i="1"/>
  <c r="N58" i="1"/>
  <c r="M58" i="1"/>
  <c r="L58" i="1"/>
  <c r="K58" i="1"/>
  <c r="AC159" i="46" l="1"/>
  <c r="AC34" i="20" s="1"/>
  <c r="AC158" i="46"/>
  <c r="AC33" i="20" s="1"/>
  <c r="U61" i="45"/>
  <c r="T158" i="45"/>
  <c r="T26" i="20" s="1"/>
  <c r="U60" i="45"/>
  <c r="U58" i="45"/>
  <c r="AC158" i="45"/>
  <c r="AC26" i="20" s="1"/>
  <c r="O65" i="45"/>
  <c r="O64" i="45"/>
  <c r="O66" i="45"/>
  <c r="U63" i="57"/>
  <c r="T160" i="57" s="1"/>
  <c r="T98" i="20" s="1"/>
  <c r="U64" i="56"/>
  <c r="T161" i="56" s="1"/>
  <c r="T92" i="20" s="1"/>
  <c r="U66" i="56"/>
  <c r="T163" i="56" s="1"/>
  <c r="T94" i="20" s="1"/>
  <c r="U65" i="56"/>
  <c r="T162" i="56" s="1"/>
  <c r="T93" i="20" s="1"/>
  <c r="U62" i="49"/>
  <c r="U64" i="49" s="1"/>
  <c r="T161" i="49" s="1"/>
  <c r="T57" i="20" s="1"/>
  <c r="AO63" i="47"/>
  <c r="AD160" i="47" s="1"/>
  <c r="AD42" i="20" s="1"/>
  <c r="M66" i="43"/>
  <c r="AC158" i="43"/>
  <c r="AC12" i="20" s="1"/>
  <c r="AE65" i="44"/>
  <c r="T66" i="45"/>
  <c r="S163" i="45" s="1"/>
  <c r="S31" i="20" s="1"/>
  <c r="AF63" i="47"/>
  <c r="X160" i="47" s="1"/>
  <c r="X42" i="20" s="1"/>
  <c r="X64" i="48"/>
  <c r="AO64" i="50"/>
  <c r="AD161" i="50" s="1"/>
  <c r="AD64" i="20" s="1"/>
  <c r="AN63" i="55"/>
  <c r="AC160" i="55" s="1"/>
  <c r="AC84" i="20" s="1"/>
  <c r="AN65" i="57"/>
  <c r="AC162" i="57" s="1"/>
  <c r="AC100" i="20" s="1"/>
  <c r="U64" i="54"/>
  <c r="T161" i="54" s="1"/>
  <c r="T78" i="20" s="1"/>
  <c r="N65" i="43"/>
  <c r="Y65" i="43"/>
  <c r="U162" i="43" s="1"/>
  <c r="U16" i="20" s="1"/>
  <c r="Z65" i="46"/>
  <c r="Z63" i="46"/>
  <c r="AC66" i="43"/>
  <c r="AE64" i="44"/>
  <c r="AH56" i="45"/>
  <c r="Z157" i="45" s="1"/>
  <c r="Z25" i="20" s="1"/>
  <c r="AA63" i="45"/>
  <c r="Z66" i="45"/>
  <c r="AE65" i="46"/>
  <c r="AD65" i="46"/>
  <c r="AB65" i="46"/>
  <c r="AF65" i="47"/>
  <c r="X162" i="47" s="1"/>
  <c r="X44" i="20" s="1"/>
  <c r="S66" i="50"/>
  <c r="R163" i="50" s="1"/>
  <c r="R66" i="20" s="1"/>
  <c r="AM64" i="54"/>
  <c r="AB161" i="54" s="1"/>
  <c r="AB78" i="20" s="1"/>
  <c r="AD66" i="44"/>
  <c r="Z64" i="46"/>
  <c r="U63" i="54"/>
  <c r="T160" i="54" s="1"/>
  <c r="T77" i="20" s="1"/>
  <c r="U66" i="54"/>
  <c r="T163" i="54" s="1"/>
  <c r="T80" i="20" s="1"/>
  <c r="AP64" i="63"/>
  <c r="AE161" i="63" s="1"/>
  <c r="AE141" i="20" s="1"/>
  <c r="AP63" i="63"/>
  <c r="AE160" i="63" s="1"/>
  <c r="AE140" i="20" s="1"/>
  <c r="AP65" i="62"/>
  <c r="AE162" i="62" s="1"/>
  <c r="AE135" i="20" s="1"/>
  <c r="AP63" i="61"/>
  <c r="AE160" i="61" s="1"/>
  <c r="AE126" i="20" s="1"/>
  <c r="AP66" i="61"/>
  <c r="AE163" i="61" s="1"/>
  <c r="AE129" i="20" s="1"/>
  <c r="AP65" i="61"/>
  <c r="AE162" i="61" s="1"/>
  <c r="AE128" i="20" s="1"/>
  <c r="AP65" i="60"/>
  <c r="AE162" i="60" s="1"/>
  <c r="AE121" i="20" s="1"/>
  <c r="AP63" i="60"/>
  <c r="AE160" i="60" s="1"/>
  <c r="AE119" i="20" s="1"/>
  <c r="AP66" i="60"/>
  <c r="AE163" i="60" s="1"/>
  <c r="AE122" i="20" s="1"/>
  <c r="AN63" i="58"/>
  <c r="AC160" i="58" s="1"/>
  <c r="AC105" i="20" s="1"/>
  <c r="AE157" i="58"/>
  <c r="AE102" i="20" s="1"/>
  <c r="AL20" i="41"/>
  <c r="AN64" i="58"/>
  <c r="AC161" i="58" s="1"/>
  <c r="AC106" i="20" s="1"/>
  <c r="AM66" i="57"/>
  <c r="AB163" i="57" s="1"/>
  <c r="AB101" i="20" s="1"/>
  <c r="AE157" i="57"/>
  <c r="AE95" i="20" s="1"/>
  <c r="AL19" i="41"/>
  <c r="AN63" i="56"/>
  <c r="AC160" i="56" s="1"/>
  <c r="AC91" i="20" s="1"/>
  <c r="AM64" i="56"/>
  <c r="AB161" i="56" s="1"/>
  <c r="AB92" i="20" s="1"/>
  <c r="AM63" i="56"/>
  <c r="AB160" i="56" s="1"/>
  <c r="AB91" i="20" s="1"/>
  <c r="AE157" i="56"/>
  <c r="AE88" i="20" s="1"/>
  <c r="AL18" i="41"/>
  <c r="AN66" i="56"/>
  <c r="AC163" i="56" s="1"/>
  <c r="AC94" i="20" s="1"/>
  <c r="AE157" i="55"/>
  <c r="AE81" i="20" s="1"/>
  <c r="AL17" i="41"/>
  <c r="AE157" i="54"/>
  <c r="AE74" i="20" s="1"/>
  <c r="AL16" i="41"/>
  <c r="AN66" i="54"/>
  <c r="AC163" i="54" s="1"/>
  <c r="AC80" i="20" s="1"/>
  <c r="AM65" i="53"/>
  <c r="AB162" i="53" s="1"/>
  <c r="AB72" i="20" s="1"/>
  <c r="AM63" i="53"/>
  <c r="AB160" i="53" s="1"/>
  <c r="AB70" i="20" s="1"/>
  <c r="AM64" i="53"/>
  <c r="AB161" i="53" s="1"/>
  <c r="AB71" i="20" s="1"/>
  <c r="AN65" i="53"/>
  <c r="AC162" i="53" s="1"/>
  <c r="AC72" i="20" s="1"/>
  <c r="AK63" i="50"/>
  <c r="AH63" i="50"/>
  <c r="Z160" i="50" s="1"/>
  <c r="Z63" i="20" s="1"/>
  <c r="AO63" i="50"/>
  <c r="AD160" i="50" s="1"/>
  <c r="AD63" i="20" s="1"/>
  <c r="AF63" i="50"/>
  <c r="X160" i="50" s="1"/>
  <c r="X63" i="20" s="1"/>
  <c r="AH66" i="50"/>
  <c r="Z163" i="50" s="1"/>
  <c r="Z66" i="20" s="1"/>
  <c r="AB157" i="50"/>
  <c r="AB60" i="20" s="1"/>
  <c r="AI14" i="41"/>
  <c r="T157" i="50"/>
  <c r="T60" i="20" s="1"/>
  <c r="Q14" i="41"/>
  <c r="AC157" i="50"/>
  <c r="AC60" i="20" s="1"/>
  <c r="AJ14" i="41"/>
  <c r="AL66" i="49"/>
  <c r="AA163" i="49" s="1"/>
  <c r="AA59" i="20" s="1"/>
  <c r="AB157" i="49"/>
  <c r="AB53" i="20" s="1"/>
  <c r="AI13" i="41"/>
  <c r="AO63" i="49"/>
  <c r="AD160" i="49" s="1"/>
  <c r="AD56" i="20" s="1"/>
  <c r="AC157" i="49"/>
  <c r="AC53" i="20" s="1"/>
  <c r="AJ13" i="41"/>
  <c r="AL64" i="49"/>
  <c r="AA161" i="49" s="1"/>
  <c r="AA57" i="20" s="1"/>
  <c r="T157" i="49"/>
  <c r="T53" i="20" s="1"/>
  <c r="Q13" i="41"/>
  <c r="AK63" i="48"/>
  <c r="Z157" i="48"/>
  <c r="Z46" i="20" s="1"/>
  <c r="AD12" i="41"/>
  <c r="AB157" i="48"/>
  <c r="AB46" i="20" s="1"/>
  <c r="AI12" i="41"/>
  <c r="X65" i="48"/>
  <c r="S63" i="48"/>
  <c r="R160" i="48" s="1"/>
  <c r="R49" i="20" s="1"/>
  <c r="T157" i="48"/>
  <c r="T46" i="20" s="1"/>
  <c r="Q12" i="41"/>
  <c r="AC157" i="48"/>
  <c r="AC46" i="20" s="1"/>
  <c r="AJ12" i="41"/>
  <c r="Z157" i="47"/>
  <c r="Z39" i="20" s="1"/>
  <c r="AD11" i="41"/>
  <c r="AB157" i="47"/>
  <c r="AB39" i="20" s="1"/>
  <c r="AI11" i="41"/>
  <c r="X65" i="47"/>
  <c r="X63" i="47"/>
  <c r="AC157" i="47"/>
  <c r="AC39" i="20" s="1"/>
  <c r="AJ11" i="41"/>
  <c r="AL66" i="47"/>
  <c r="AA163" i="47" s="1"/>
  <c r="AA45" i="20" s="1"/>
  <c r="AL64" i="47"/>
  <c r="AA161" i="47" s="1"/>
  <c r="AA43" i="20" s="1"/>
  <c r="AL65" i="47"/>
  <c r="AA162" i="47" s="1"/>
  <c r="AA44" i="20" s="1"/>
  <c r="T157" i="47"/>
  <c r="T39" i="20" s="1"/>
  <c r="Q11" i="41"/>
  <c r="AE157" i="47"/>
  <c r="AE39" i="20" s="1"/>
  <c r="AL11" i="41"/>
  <c r="AQ64" i="46"/>
  <c r="AF161" i="46" s="1"/>
  <c r="AF36" i="20" s="1"/>
  <c r="AI66" i="46"/>
  <c r="V163" i="46" s="1"/>
  <c r="V38" i="20" s="1"/>
  <c r="AC64" i="46"/>
  <c r="AD10" i="41"/>
  <c r="AL62" i="46"/>
  <c r="AL63" i="46" s="1"/>
  <c r="AA160" i="46" s="1"/>
  <c r="AA35" i="20" s="1"/>
  <c r="AB10" i="41"/>
  <c r="V63" i="46"/>
  <c r="P160" i="46" s="1"/>
  <c r="P35" i="20" s="1"/>
  <c r="T63" i="46"/>
  <c r="S160" i="46" s="1"/>
  <c r="S35" i="20" s="1"/>
  <c r="U58" i="46"/>
  <c r="U59" i="46"/>
  <c r="AK10" i="41"/>
  <c r="N66" i="46"/>
  <c r="M66" i="46"/>
  <c r="O10" i="41"/>
  <c r="U56" i="46"/>
  <c r="U61" i="46"/>
  <c r="Q64" i="46"/>
  <c r="U60" i="46"/>
  <c r="N65" i="46"/>
  <c r="AH10" i="41"/>
  <c r="M64" i="46"/>
  <c r="Q65" i="46"/>
  <c r="Q63" i="46"/>
  <c r="AH60" i="45"/>
  <c r="AD9" i="41"/>
  <c r="AB9" i="41"/>
  <c r="AH59" i="45"/>
  <c r="AH58" i="45"/>
  <c r="AB63" i="45"/>
  <c r="U59" i="45"/>
  <c r="AK9" i="41"/>
  <c r="P65" i="45"/>
  <c r="M66" i="45"/>
  <c r="N64" i="45"/>
  <c r="M63" i="45"/>
  <c r="K63" i="45"/>
  <c r="N160" i="45" s="1"/>
  <c r="N28" i="20" s="1"/>
  <c r="U56" i="45"/>
  <c r="AH9" i="41"/>
  <c r="AB8" i="41"/>
  <c r="AF62" i="44"/>
  <c r="AF63" i="44" s="1"/>
  <c r="X160" i="44" s="1"/>
  <c r="X21" i="20" s="1"/>
  <c r="AA64" i="44"/>
  <c r="AD8" i="41"/>
  <c r="Z65" i="44"/>
  <c r="AK8" i="41"/>
  <c r="O8" i="41"/>
  <c r="O65" i="44"/>
  <c r="AH8" i="41"/>
  <c r="Q65" i="44"/>
  <c r="O64" i="44"/>
  <c r="AG64" i="43"/>
  <c r="Y161" i="43" s="1"/>
  <c r="Y15" i="20" s="1"/>
  <c r="AG65" i="43"/>
  <c r="Y162" i="43" s="1"/>
  <c r="Y16" i="20" s="1"/>
  <c r="AG63" i="43"/>
  <c r="Y160" i="43" s="1"/>
  <c r="Y14" i="20" s="1"/>
  <c r="AB7" i="41"/>
  <c r="AD63" i="43"/>
  <c r="AC63" i="43"/>
  <c r="AB64" i="43"/>
  <c r="W64" i="43"/>
  <c r="Q161" i="43" s="1"/>
  <c r="Q15" i="20" s="1"/>
  <c r="AK7" i="41"/>
  <c r="U61" i="43"/>
  <c r="O7" i="41"/>
  <c r="M157" i="50"/>
  <c r="M60" i="20" s="1"/>
  <c r="M61" i="20"/>
  <c r="J157" i="45"/>
  <c r="J25" i="20" s="1"/>
  <c r="H25" i="20"/>
  <c r="M157" i="49"/>
  <c r="M53" i="20" s="1"/>
  <c r="M54" i="20"/>
  <c r="L157" i="45"/>
  <c r="L25" i="20" s="1"/>
  <c r="L26" i="20"/>
  <c r="J157" i="43"/>
  <c r="J11" i="20" s="1"/>
  <c r="H11" i="20"/>
  <c r="AN63" i="53"/>
  <c r="AC160" i="53" s="1"/>
  <c r="AC70" i="20" s="1"/>
  <c r="AL15" i="41"/>
  <c r="L157" i="43"/>
  <c r="L11" i="20" s="1"/>
  <c r="AP65" i="63"/>
  <c r="AE162" i="63" s="1"/>
  <c r="AE142" i="20" s="1"/>
  <c r="AP66" i="62"/>
  <c r="AE163" i="62" s="1"/>
  <c r="AE136" i="20" s="1"/>
  <c r="AP63" i="62"/>
  <c r="AE160" i="62" s="1"/>
  <c r="AE133" i="20" s="1"/>
  <c r="AP63" i="59"/>
  <c r="AE160" i="59" s="1"/>
  <c r="AE112" i="20" s="1"/>
  <c r="AP66" i="59"/>
  <c r="AE163" i="59" s="1"/>
  <c r="AE115" i="20" s="1"/>
  <c r="AP65" i="59"/>
  <c r="AE162" i="59" s="1"/>
  <c r="AE114" i="20" s="1"/>
  <c r="AM65" i="58"/>
  <c r="AB162" i="58" s="1"/>
  <c r="AB107" i="20" s="1"/>
  <c r="AM63" i="58"/>
  <c r="AB160" i="58" s="1"/>
  <c r="AB105" i="20" s="1"/>
  <c r="AN65" i="58"/>
  <c r="AC162" i="58" s="1"/>
  <c r="AC107" i="20" s="1"/>
  <c r="AM64" i="58"/>
  <c r="AB161" i="58" s="1"/>
  <c r="AB106" i="20" s="1"/>
  <c r="AP62" i="58"/>
  <c r="AP66" i="58" s="1"/>
  <c r="AE163" i="58" s="1"/>
  <c r="AE108" i="20" s="1"/>
  <c r="U66" i="58"/>
  <c r="T163" i="58" s="1"/>
  <c r="T108" i="20" s="1"/>
  <c r="U63" i="58"/>
  <c r="T160" i="58" s="1"/>
  <c r="T105" i="20" s="1"/>
  <c r="U65" i="58"/>
  <c r="T162" i="58" s="1"/>
  <c r="T107" i="20" s="1"/>
  <c r="U64" i="58"/>
  <c r="T161" i="58" s="1"/>
  <c r="T106" i="20" s="1"/>
  <c r="AM64" i="57"/>
  <c r="AB161" i="57" s="1"/>
  <c r="AB99" i="20" s="1"/>
  <c r="AN66" i="57"/>
  <c r="AC163" i="57" s="1"/>
  <c r="AC101" i="20" s="1"/>
  <c r="AN64" i="57"/>
  <c r="AC161" i="57" s="1"/>
  <c r="AC99" i="20" s="1"/>
  <c r="AM65" i="57"/>
  <c r="AB162" i="57" s="1"/>
  <c r="AB100" i="20" s="1"/>
  <c r="AP62" i="57"/>
  <c r="AP65" i="57" s="1"/>
  <c r="AE162" i="57" s="1"/>
  <c r="AE100" i="20" s="1"/>
  <c r="AM66" i="56"/>
  <c r="AB163" i="56" s="1"/>
  <c r="AB94" i="20" s="1"/>
  <c r="AP62" i="56"/>
  <c r="AP63" i="56" s="1"/>
  <c r="AE160" i="56" s="1"/>
  <c r="AE91" i="20" s="1"/>
  <c r="AN65" i="56"/>
  <c r="AC162" i="56" s="1"/>
  <c r="AC93" i="20" s="1"/>
  <c r="AN66" i="55"/>
  <c r="AC163" i="55" s="1"/>
  <c r="AC87" i="20" s="1"/>
  <c r="AM64" i="55"/>
  <c r="AB161" i="55" s="1"/>
  <c r="AB85" i="20" s="1"/>
  <c r="U63" i="55"/>
  <c r="T160" i="55" s="1"/>
  <c r="T84" i="20" s="1"/>
  <c r="U65" i="55"/>
  <c r="T162" i="55" s="1"/>
  <c r="T86" i="20" s="1"/>
  <c r="U64" i="55"/>
  <c r="T161" i="55" s="1"/>
  <c r="T85" i="20" s="1"/>
  <c r="AN64" i="55"/>
  <c r="AC161" i="55" s="1"/>
  <c r="AC85" i="20" s="1"/>
  <c r="AM63" i="55"/>
  <c r="AB160" i="55" s="1"/>
  <c r="AB84" i="20" s="1"/>
  <c r="AP62" i="55"/>
  <c r="AP65" i="55" s="1"/>
  <c r="AE162" i="55" s="1"/>
  <c r="AE86" i="20" s="1"/>
  <c r="AM66" i="55"/>
  <c r="AB163" i="55" s="1"/>
  <c r="AB87" i="20" s="1"/>
  <c r="AH63" i="54"/>
  <c r="Z160" i="54" s="1"/>
  <c r="Z77" i="20" s="1"/>
  <c r="AH65" i="54"/>
  <c r="Z162" i="54" s="1"/>
  <c r="Z79" i="20" s="1"/>
  <c r="AP62" i="54"/>
  <c r="AP66" i="54" s="1"/>
  <c r="AE163" i="54" s="1"/>
  <c r="AE80" i="20" s="1"/>
  <c r="AM66" i="54"/>
  <c r="AB163" i="54" s="1"/>
  <c r="AB80" i="20" s="1"/>
  <c r="AN63" i="54"/>
  <c r="AC160" i="54" s="1"/>
  <c r="AC77" i="20" s="1"/>
  <c r="AM63" i="54"/>
  <c r="AB160" i="54" s="1"/>
  <c r="AB77" i="20" s="1"/>
  <c r="AN65" i="54"/>
  <c r="AC162" i="54" s="1"/>
  <c r="AC79" i="20" s="1"/>
  <c r="AH66" i="54"/>
  <c r="Z163" i="54" s="1"/>
  <c r="Z80" i="20" s="1"/>
  <c r="AP62" i="53"/>
  <c r="AP66" i="53" s="1"/>
  <c r="AE163" i="53" s="1"/>
  <c r="AE73" i="20" s="1"/>
  <c r="U65" i="53"/>
  <c r="T162" i="53" s="1"/>
  <c r="T72" i="20" s="1"/>
  <c r="U66" i="53"/>
  <c r="T163" i="53" s="1"/>
  <c r="T73" i="20" s="1"/>
  <c r="U63" i="53"/>
  <c r="T160" i="53" s="1"/>
  <c r="T70" i="20" s="1"/>
  <c r="AN66" i="53"/>
  <c r="AC163" i="53" s="1"/>
  <c r="AC73" i="20" s="1"/>
  <c r="X64" i="50"/>
  <c r="AF66" i="50"/>
  <c r="X163" i="50" s="1"/>
  <c r="X66" i="20" s="1"/>
  <c r="AK65" i="50"/>
  <c r="AF64" i="50"/>
  <c r="X161" i="50" s="1"/>
  <c r="X64" i="20" s="1"/>
  <c r="AP59" i="50"/>
  <c r="AP58" i="50"/>
  <c r="AP56" i="50"/>
  <c r="AP61" i="50"/>
  <c r="AP60" i="50"/>
  <c r="AE159" i="50"/>
  <c r="AE62" i="20" s="1"/>
  <c r="AH65" i="50"/>
  <c r="Z162" i="50" s="1"/>
  <c r="Z65" i="20" s="1"/>
  <c r="X65" i="50"/>
  <c r="AK66" i="50"/>
  <c r="AN62" i="50"/>
  <c r="AN66" i="50" s="1"/>
  <c r="AC163" i="50" s="1"/>
  <c r="AC66" i="20" s="1"/>
  <c r="AO66" i="50"/>
  <c r="AD163" i="50" s="1"/>
  <c r="AD66" i="20" s="1"/>
  <c r="U62" i="50"/>
  <c r="U64" i="50" s="1"/>
  <c r="T161" i="50" s="1"/>
  <c r="T64" i="20" s="1"/>
  <c r="AM62" i="50"/>
  <c r="AM65" i="50" s="1"/>
  <c r="AB162" i="50" s="1"/>
  <c r="AB65" i="20" s="1"/>
  <c r="X66" i="50"/>
  <c r="S63" i="49"/>
  <c r="R160" i="49" s="1"/>
  <c r="R56" i="20" s="1"/>
  <c r="S65" i="49"/>
  <c r="R162" i="49" s="1"/>
  <c r="R58" i="20" s="1"/>
  <c r="S64" i="49"/>
  <c r="R161" i="49" s="1"/>
  <c r="R57" i="20" s="1"/>
  <c r="X65" i="49"/>
  <c r="AH63" i="49"/>
  <c r="Z160" i="49" s="1"/>
  <c r="Z56" i="20" s="1"/>
  <c r="AN62" i="49"/>
  <c r="AN65" i="49" s="1"/>
  <c r="AC162" i="49" s="1"/>
  <c r="AC58" i="20" s="1"/>
  <c r="AF63" i="49"/>
  <c r="X160" i="49" s="1"/>
  <c r="X56" i="20" s="1"/>
  <c r="AO65" i="49"/>
  <c r="AD162" i="49" s="1"/>
  <c r="AD58" i="20" s="1"/>
  <c r="AK65" i="49"/>
  <c r="AM62" i="49"/>
  <c r="AM64" i="49" s="1"/>
  <c r="AB161" i="49" s="1"/>
  <c r="AB57" i="20" s="1"/>
  <c r="X64" i="49"/>
  <c r="AH64" i="49"/>
  <c r="Z161" i="49" s="1"/>
  <c r="Z57" i="20" s="1"/>
  <c r="AK64" i="49"/>
  <c r="AK66" i="49"/>
  <c r="AO64" i="49"/>
  <c r="AD161" i="49" s="1"/>
  <c r="AD57" i="20" s="1"/>
  <c r="AH65" i="49"/>
  <c r="Z162" i="49" s="1"/>
  <c r="Z58" i="20" s="1"/>
  <c r="AM65" i="49"/>
  <c r="AB162" i="49" s="1"/>
  <c r="AB58" i="20" s="1"/>
  <c r="X66" i="49"/>
  <c r="AL65" i="49"/>
  <c r="AA162" i="49" s="1"/>
  <c r="AA58" i="20" s="1"/>
  <c r="AP61" i="49"/>
  <c r="AP60" i="49"/>
  <c r="AP59" i="49"/>
  <c r="AP58" i="49"/>
  <c r="AP56" i="49"/>
  <c r="AE159" i="49"/>
  <c r="AE55" i="20" s="1"/>
  <c r="AO63" i="48"/>
  <c r="AD160" i="48" s="1"/>
  <c r="AD49" i="20" s="1"/>
  <c r="AN62" i="48"/>
  <c r="AN65" i="48" s="1"/>
  <c r="AC162" i="48" s="1"/>
  <c r="AC51" i="20" s="1"/>
  <c r="AF63" i="48"/>
  <c r="X160" i="48" s="1"/>
  <c r="X49" i="20" s="1"/>
  <c r="M157" i="48"/>
  <c r="M46" i="20" s="1"/>
  <c r="AO65" i="48"/>
  <c r="AD162" i="48" s="1"/>
  <c r="AD51" i="20" s="1"/>
  <c r="AF66" i="48"/>
  <c r="X163" i="48" s="1"/>
  <c r="X52" i="20" s="1"/>
  <c r="AO64" i="48"/>
  <c r="AD161" i="48" s="1"/>
  <c r="AD50" i="20" s="1"/>
  <c r="AM62" i="48"/>
  <c r="AM63" i="48" s="1"/>
  <c r="AB160" i="48" s="1"/>
  <c r="AB49" i="20" s="1"/>
  <c r="AH62" i="48"/>
  <c r="AH65" i="48" s="1"/>
  <c r="Z162" i="48" s="1"/>
  <c r="Z51" i="20" s="1"/>
  <c r="S64" i="48"/>
  <c r="R161" i="48" s="1"/>
  <c r="R50" i="20" s="1"/>
  <c r="AK66" i="48"/>
  <c r="AK65" i="48"/>
  <c r="AL66" i="48"/>
  <c r="AA163" i="48" s="1"/>
  <c r="AA52" i="20" s="1"/>
  <c r="S66" i="48"/>
  <c r="R163" i="48" s="1"/>
  <c r="R52" i="20" s="1"/>
  <c r="AL65" i="48"/>
  <c r="AA162" i="48" s="1"/>
  <c r="AA51" i="20" s="1"/>
  <c r="AP61" i="48"/>
  <c r="AP60" i="48"/>
  <c r="AP59" i="48"/>
  <c r="AP58" i="48"/>
  <c r="AP56" i="48"/>
  <c r="AE159" i="48"/>
  <c r="AE48" i="20" s="1"/>
  <c r="AH66" i="48"/>
  <c r="Z163" i="48" s="1"/>
  <c r="Z52" i="20" s="1"/>
  <c r="U62" i="48"/>
  <c r="U65" i="48" s="1"/>
  <c r="T162" i="48" s="1"/>
  <c r="T51" i="20" s="1"/>
  <c r="AL64" i="48"/>
  <c r="AA161" i="48" s="1"/>
  <c r="AA50" i="20" s="1"/>
  <c r="AK66" i="47"/>
  <c r="AM62" i="47"/>
  <c r="AM63" i="47" s="1"/>
  <c r="AB160" i="47" s="1"/>
  <c r="AB42" i="20" s="1"/>
  <c r="AK64" i="47"/>
  <c r="AH62" i="47"/>
  <c r="AH65" i="47" s="1"/>
  <c r="Z162" i="47" s="1"/>
  <c r="Z44" i="20" s="1"/>
  <c r="M157" i="47"/>
  <c r="M39" i="20" s="1"/>
  <c r="AN62" i="47"/>
  <c r="AN65" i="47" s="1"/>
  <c r="AC162" i="47" s="1"/>
  <c r="AC44" i="20" s="1"/>
  <c r="U62" i="47"/>
  <c r="U63" i="47" s="1"/>
  <c r="T160" i="47" s="1"/>
  <c r="T42" i="20" s="1"/>
  <c r="AO65" i="47"/>
  <c r="AD162" i="47" s="1"/>
  <c r="AD44" i="20" s="1"/>
  <c r="X64" i="47"/>
  <c r="AP62" i="47"/>
  <c r="AP65" i="47" s="1"/>
  <c r="AE162" i="47" s="1"/>
  <c r="AE44" i="20" s="1"/>
  <c r="AK65" i="47"/>
  <c r="S64" i="47"/>
  <c r="R161" i="47" s="1"/>
  <c r="R43" i="20" s="1"/>
  <c r="AO64" i="47"/>
  <c r="AD161" i="47" s="1"/>
  <c r="AD43" i="20" s="1"/>
  <c r="S66" i="47"/>
  <c r="R163" i="47" s="1"/>
  <c r="R45" i="20" s="1"/>
  <c r="S63" i="47"/>
  <c r="R160" i="47" s="1"/>
  <c r="R42" i="20" s="1"/>
  <c r="AK62" i="46"/>
  <c r="AK63" i="46" s="1"/>
  <c r="L157" i="46"/>
  <c r="L32" i="20" s="1"/>
  <c r="AB64" i="46"/>
  <c r="AO62" i="46"/>
  <c r="AO64" i="46" s="1"/>
  <c r="AD161" i="46" s="1"/>
  <c r="AD36" i="20" s="1"/>
  <c r="W66" i="46"/>
  <c r="Q163" i="46" s="1"/>
  <c r="Q38" i="20" s="1"/>
  <c r="K63" i="46"/>
  <c r="N160" i="46" s="1"/>
  <c r="N35" i="20" s="1"/>
  <c r="AJ63" i="46"/>
  <c r="W160" i="46" s="1"/>
  <c r="W35" i="20" s="1"/>
  <c r="AQ66" i="46"/>
  <c r="AF163" i="46" s="1"/>
  <c r="AF38" i="20" s="1"/>
  <c r="W64" i="46"/>
  <c r="Q161" i="46" s="1"/>
  <c r="Q36" i="20" s="1"/>
  <c r="AE63" i="46"/>
  <c r="AH62" i="46"/>
  <c r="AH63" i="46" s="1"/>
  <c r="Z160" i="46" s="1"/>
  <c r="Z35" i="20" s="1"/>
  <c r="L66" i="46"/>
  <c r="O163" i="46" s="1"/>
  <c r="O38" i="20" s="1"/>
  <c r="L65" i="46"/>
  <c r="O162" i="46" s="1"/>
  <c r="O37" i="20" s="1"/>
  <c r="K65" i="46"/>
  <c r="N162" i="46" s="1"/>
  <c r="N37" i="20" s="1"/>
  <c r="AQ63" i="46"/>
  <c r="AF160" i="46" s="1"/>
  <c r="AF35" i="20" s="1"/>
  <c r="AC66" i="46"/>
  <c r="O63" i="46"/>
  <c r="AA66" i="46"/>
  <c r="N63" i="46"/>
  <c r="AJ65" i="46"/>
  <c r="W162" i="46" s="1"/>
  <c r="W37" i="20" s="1"/>
  <c r="O65" i="46"/>
  <c r="M158" i="46"/>
  <c r="M33" i="20" s="1"/>
  <c r="K157" i="46"/>
  <c r="K32" i="20" s="1"/>
  <c r="T64" i="46"/>
  <c r="S161" i="46" s="1"/>
  <c r="S36" i="20" s="1"/>
  <c r="AD66" i="46"/>
  <c r="K66" i="46"/>
  <c r="N163" i="46" s="1"/>
  <c r="N38" i="20" s="1"/>
  <c r="X62" i="46"/>
  <c r="X65" i="46" s="1"/>
  <c r="AI64" i="46"/>
  <c r="V161" i="46" s="1"/>
  <c r="V36" i="20" s="1"/>
  <c r="W63" i="46"/>
  <c r="Q160" i="46" s="1"/>
  <c r="Q35" i="20" s="1"/>
  <c r="O66" i="46"/>
  <c r="L63" i="46"/>
  <c r="O160" i="46" s="1"/>
  <c r="O35" i="20" s="1"/>
  <c r="T65" i="46"/>
  <c r="S162" i="46" s="1"/>
  <c r="S37" i="20" s="1"/>
  <c r="AN61" i="46"/>
  <c r="AN60" i="46"/>
  <c r="AN59" i="46"/>
  <c r="AN58" i="46"/>
  <c r="AN56" i="46"/>
  <c r="AP6" i="46"/>
  <c r="AE158" i="46" s="1"/>
  <c r="AE33" i="20" s="1"/>
  <c r="L64" i="46"/>
  <c r="O161" i="46" s="1"/>
  <c r="O36" i="20" s="1"/>
  <c r="AC65" i="46"/>
  <c r="AA65" i="46"/>
  <c r="M63" i="46"/>
  <c r="AK66" i="46"/>
  <c r="J157" i="46"/>
  <c r="J32" i="20" s="1"/>
  <c r="S62" i="46"/>
  <c r="S63" i="46" s="1"/>
  <c r="R160" i="46" s="1"/>
  <c r="R35" i="20" s="1"/>
  <c r="AF62" i="46"/>
  <c r="AF64" i="46" s="1"/>
  <c r="X161" i="46" s="1"/>
  <c r="X36" i="20" s="1"/>
  <c r="AL64" i="46"/>
  <c r="AA161" i="46" s="1"/>
  <c r="AA36" i="20" s="1"/>
  <c r="AE66" i="46"/>
  <c r="AI63" i="46"/>
  <c r="V160" i="46" s="1"/>
  <c r="V35" i="20" s="1"/>
  <c r="AJ64" i="46"/>
  <c r="W161" i="46" s="1"/>
  <c r="W36" i="20" s="1"/>
  <c r="AM61" i="46"/>
  <c r="AM60" i="46"/>
  <c r="AM59" i="46"/>
  <c r="AM58" i="46"/>
  <c r="AM56" i="46"/>
  <c r="Q63" i="45"/>
  <c r="Q64" i="45"/>
  <c r="Q65" i="45"/>
  <c r="R64" i="45"/>
  <c r="AQ66" i="45"/>
  <c r="AF163" i="45" s="1"/>
  <c r="AF31" i="20" s="1"/>
  <c r="AI63" i="45"/>
  <c r="V160" i="45" s="1"/>
  <c r="V28" i="20" s="1"/>
  <c r="N63" i="45"/>
  <c r="AO62" i="45"/>
  <c r="AO64" i="45" s="1"/>
  <c r="AD161" i="45" s="1"/>
  <c r="AD29" i="20" s="1"/>
  <c r="V64" i="45"/>
  <c r="P161" i="45" s="1"/>
  <c r="P29" i="20" s="1"/>
  <c r="T64" i="45"/>
  <c r="S161" i="45" s="1"/>
  <c r="S29" i="20" s="1"/>
  <c r="S62" i="45"/>
  <c r="S63" i="45" s="1"/>
  <c r="R160" i="45" s="1"/>
  <c r="R28" i="20" s="1"/>
  <c r="AQ63" i="45"/>
  <c r="AF160" i="45" s="1"/>
  <c r="AF28" i="20" s="1"/>
  <c r="V66" i="45"/>
  <c r="P163" i="45" s="1"/>
  <c r="P31" i="20" s="1"/>
  <c r="AD66" i="45"/>
  <c r="AJ63" i="45"/>
  <c r="W160" i="45" s="1"/>
  <c r="W28" i="20" s="1"/>
  <c r="AI66" i="45"/>
  <c r="V163" i="45" s="1"/>
  <c r="V31" i="20" s="1"/>
  <c r="L64" i="45"/>
  <c r="O161" i="45" s="1"/>
  <c r="O29" i="20" s="1"/>
  <c r="T63" i="45"/>
  <c r="S160" i="45" s="1"/>
  <c r="S28" i="20" s="1"/>
  <c r="AD63" i="45"/>
  <c r="R66" i="45"/>
  <c r="AM61" i="45"/>
  <c r="AM60" i="45"/>
  <c r="AM59" i="45"/>
  <c r="AM58" i="45"/>
  <c r="AM56" i="45"/>
  <c r="R63" i="45"/>
  <c r="K66" i="45"/>
  <c r="N163" i="45" s="1"/>
  <c r="N31" i="20" s="1"/>
  <c r="AQ65" i="45"/>
  <c r="AF162" i="45" s="1"/>
  <c r="AF30" i="20" s="1"/>
  <c r="AB66" i="45"/>
  <c r="V63" i="45"/>
  <c r="P160" i="45" s="1"/>
  <c r="P28" i="20" s="1"/>
  <c r="AN61" i="45"/>
  <c r="AN60" i="45"/>
  <c r="AN59" i="45"/>
  <c r="AN58" i="45"/>
  <c r="AN56" i="45"/>
  <c r="AC159" i="45"/>
  <c r="AC27" i="20" s="1"/>
  <c r="AF62" i="45"/>
  <c r="AF66" i="45" s="1"/>
  <c r="X163" i="45" s="1"/>
  <c r="X31" i="20" s="1"/>
  <c r="AB65" i="45"/>
  <c r="AA65" i="45"/>
  <c r="AJ65" i="45"/>
  <c r="W162" i="45" s="1"/>
  <c r="W30" i="20" s="1"/>
  <c r="AJ66" i="45"/>
  <c r="W163" i="45" s="1"/>
  <c r="W31" i="20" s="1"/>
  <c r="M158" i="45"/>
  <c r="K157" i="45"/>
  <c r="K25" i="20" s="1"/>
  <c r="K64" i="45"/>
  <c r="N161" i="45" s="1"/>
  <c r="N29" i="20" s="1"/>
  <c r="N66" i="45"/>
  <c r="X62" i="45"/>
  <c r="X63" i="45"/>
  <c r="AL62" i="45"/>
  <c r="AL65" i="45" s="1"/>
  <c r="AA162" i="45" s="1"/>
  <c r="AA30" i="20" s="1"/>
  <c r="AD65" i="45"/>
  <c r="Z65" i="45"/>
  <c r="X65" i="45"/>
  <c r="X64" i="45"/>
  <c r="X66" i="45"/>
  <c r="AI64" i="45"/>
  <c r="V161" i="45" s="1"/>
  <c r="V29" i="20" s="1"/>
  <c r="AP6" i="45"/>
  <c r="AE158" i="45" s="1"/>
  <c r="AE26" i="20" s="1"/>
  <c r="AC63" i="45"/>
  <c r="M65" i="45"/>
  <c r="AK62" i="45"/>
  <c r="AK63" i="45" s="1"/>
  <c r="AE159" i="44"/>
  <c r="AE20" i="20" s="1"/>
  <c r="W64" i="44"/>
  <c r="Q161" i="44" s="1"/>
  <c r="Q22" i="20" s="1"/>
  <c r="AF66" i="44"/>
  <c r="X163" i="44" s="1"/>
  <c r="X24" i="20" s="1"/>
  <c r="AQ65" i="44"/>
  <c r="AF162" i="44" s="1"/>
  <c r="AF23" i="20" s="1"/>
  <c r="AB65" i="44"/>
  <c r="AQ64" i="44"/>
  <c r="AF161" i="44" s="1"/>
  <c r="AF22" i="20" s="1"/>
  <c r="AI64" i="44"/>
  <c r="V161" i="44" s="1"/>
  <c r="V22" i="20" s="1"/>
  <c r="P66" i="44"/>
  <c r="P64" i="44"/>
  <c r="O63" i="44"/>
  <c r="W65" i="44"/>
  <c r="Q162" i="44" s="1"/>
  <c r="Q23" i="20" s="1"/>
  <c r="AE63" i="44"/>
  <c r="K65" i="44"/>
  <c r="N162" i="44" s="1"/>
  <c r="N23" i="20" s="1"/>
  <c r="AQ63" i="44"/>
  <c r="AF160" i="44" s="1"/>
  <c r="AF21" i="20" s="1"/>
  <c r="AI66" i="44"/>
  <c r="V163" i="44" s="1"/>
  <c r="V24" i="20" s="1"/>
  <c r="AA63" i="44"/>
  <c r="AK62" i="44"/>
  <c r="AK66" i="44" s="1"/>
  <c r="M158" i="44"/>
  <c r="M19" i="20" s="1"/>
  <c r="K157" i="44"/>
  <c r="K18" i="20" s="1"/>
  <c r="AI63" i="44"/>
  <c r="V160" i="44" s="1"/>
  <c r="V21" i="20" s="1"/>
  <c r="AC159" i="44"/>
  <c r="AC20" i="20" s="1"/>
  <c r="M65" i="44"/>
  <c r="J157" i="44"/>
  <c r="J18" i="20" s="1"/>
  <c r="W63" i="44"/>
  <c r="Q160" i="44" s="1"/>
  <c r="Q21" i="20" s="1"/>
  <c r="AC64" i="44"/>
  <c r="AC63" i="44"/>
  <c r="P63" i="44"/>
  <c r="AO62" i="44"/>
  <c r="AO63" i="44" s="1"/>
  <c r="AD160" i="44" s="1"/>
  <c r="AD21" i="20" s="1"/>
  <c r="K64" i="44"/>
  <c r="N161" i="44" s="1"/>
  <c r="N22" i="20" s="1"/>
  <c r="M64" i="44"/>
  <c r="S63" i="44"/>
  <c r="R160" i="44" s="1"/>
  <c r="R21" i="20" s="1"/>
  <c r="S62" i="44"/>
  <c r="S64" i="44" s="1"/>
  <c r="R161" i="44" s="1"/>
  <c r="R22" i="20" s="1"/>
  <c r="AJ64" i="44"/>
  <c r="W161" i="44" s="1"/>
  <c r="W22" i="20" s="1"/>
  <c r="AJ66" i="44"/>
  <c r="W163" i="44" s="1"/>
  <c r="W24" i="20" s="1"/>
  <c r="AN61" i="44"/>
  <c r="AN60" i="44"/>
  <c r="AN59" i="44"/>
  <c r="AN56" i="44"/>
  <c r="AN58" i="44"/>
  <c r="AA66" i="44"/>
  <c r="K63" i="44"/>
  <c r="N160" i="44" s="1"/>
  <c r="N21" i="20" s="1"/>
  <c r="AJ65" i="44"/>
  <c r="W162" i="44" s="1"/>
  <c r="W23" i="20" s="1"/>
  <c r="L157" i="44"/>
  <c r="L18" i="20" s="1"/>
  <c r="AP61" i="44"/>
  <c r="AP59" i="44"/>
  <c r="AP58" i="44"/>
  <c r="AP56" i="44"/>
  <c r="AP60" i="44"/>
  <c r="AL62" i="44"/>
  <c r="AL65" i="44" s="1"/>
  <c r="AA162" i="44" s="1"/>
  <c r="AA23" i="20" s="1"/>
  <c r="M66" i="44"/>
  <c r="AM61" i="44"/>
  <c r="AM60" i="44"/>
  <c r="AM58" i="44"/>
  <c r="AM56" i="44"/>
  <c r="AM59" i="44"/>
  <c r="X62" i="44"/>
  <c r="X66" i="44" s="1"/>
  <c r="U58" i="44"/>
  <c r="U60" i="44"/>
  <c r="U59" i="44"/>
  <c r="U61" i="44"/>
  <c r="U56" i="44"/>
  <c r="AO66" i="44"/>
  <c r="AD163" i="44" s="1"/>
  <c r="AD24" i="20" s="1"/>
  <c r="AB66" i="44"/>
  <c r="AB64" i="44"/>
  <c r="AH62" i="44"/>
  <c r="AH64" i="44" s="1"/>
  <c r="Z161" i="44" s="1"/>
  <c r="Z22" i="20" s="1"/>
  <c r="V64" i="43"/>
  <c r="P161" i="43" s="1"/>
  <c r="P15" i="20" s="1"/>
  <c r="AQ65" i="43"/>
  <c r="AF162" i="43" s="1"/>
  <c r="AF16" i="20" s="1"/>
  <c r="AA63" i="43"/>
  <c r="AQ64" i="43"/>
  <c r="AF161" i="43" s="1"/>
  <c r="AF15" i="20" s="1"/>
  <c r="R66" i="43"/>
  <c r="N63" i="43"/>
  <c r="AD64" i="43"/>
  <c r="AI65" i="43"/>
  <c r="V162" i="43" s="1"/>
  <c r="V16" i="20" s="1"/>
  <c r="R63" i="43"/>
  <c r="AA64" i="43"/>
  <c r="AJ64" i="43"/>
  <c r="W161" i="43" s="1"/>
  <c r="W15" i="20" s="1"/>
  <c r="K64" i="43"/>
  <c r="N161" i="43" s="1"/>
  <c r="N15" i="20" s="1"/>
  <c r="AF62" i="43"/>
  <c r="AF64" i="43" s="1"/>
  <c r="X161" i="43" s="1"/>
  <c r="X15" i="20" s="1"/>
  <c r="AI66" i="43"/>
  <c r="V163" i="43" s="1"/>
  <c r="V17" i="20" s="1"/>
  <c r="V66" i="43"/>
  <c r="P163" i="43" s="1"/>
  <c r="P17" i="20" s="1"/>
  <c r="Z64" i="43"/>
  <c r="M158" i="43"/>
  <c r="K157" i="43"/>
  <c r="K11" i="20" s="1"/>
  <c r="P64" i="43"/>
  <c r="V63" i="43"/>
  <c r="P160" i="43" s="1"/>
  <c r="P14" i="20" s="1"/>
  <c r="AN59" i="43"/>
  <c r="AN58" i="43"/>
  <c r="AN56" i="43"/>
  <c r="AN61" i="43"/>
  <c r="AN60" i="43"/>
  <c r="AM60" i="43"/>
  <c r="AM59" i="43"/>
  <c r="AM58" i="43"/>
  <c r="AM56" i="43"/>
  <c r="AM61" i="43"/>
  <c r="Z66" i="43"/>
  <c r="U58" i="43"/>
  <c r="AD65" i="43"/>
  <c r="AJ65" i="43"/>
  <c r="W162" i="43" s="1"/>
  <c r="W16" i="20" s="1"/>
  <c r="M63" i="43"/>
  <c r="N66" i="43"/>
  <c r="AH56" i="43"/>
  <c r="AH60" i="43"/>
  <c r="AH59" i="43"/>
  <c r="AH58" i="43"/>
  <c r="AH61" i="43"/>
  <c r="AL62" i="43"/>
  <c r="AL66" i="43" s="1"/>
  <c r="AA163" i="43" s="1"/>
  <c r="AA17" i="20" s="1"/>
  <c r="S62" i="43"/>
  <c r="S63" i="43" s="1"/>
  <c r="R160" i="43" s="1"/>
  <c r="R14" i="20" s="1"/>
  <c r="AC159" i="43"/>
  <c r="AC13" i="20" s="1"/>
  <c r="T63" i="43"/>
  <c r="S160" i="43" s="1"/>
  <c r="S14" i="20" s="1"/>
  <c r="K63" i="43"/>
  <c r="N160" i="43" s="1"/>
  <c r="N14" i="20" s="1"/>
  <c r="T65" i="43"/>
  <c r="S162" i="43" s="1"/>
  <c r="S16" i="20" s="1"/>
  <c r="U56" i="43"/>
  <c r="AI63" i="43"/>
  <c r="V160" i="43" s="1"/>
  <c r="V14" i="20" s="1"/>
  <c r="T66" i="43"/>
  <c r="S163" i="43" s="1"/>
  <c r="S17" i="20" s="1"/>
  <c r="Z63" i="43"/>
  <c r="AP6" i="43"/>
  <c r="AE158" i="43" s="1"/>
  <c r="AE12" i="20" s="1"/>
  <c r="U59" i="43"/>
  <c r="K66" i="43"/>
  <c r="N163" i="43" s="1"/>
  <c r="N17" i="20" s="1"/>
  <c r="P63" i="43"/>
  <c r="P65" i="43"/>
  <c r="M65" i="43"/>
  <c r="R64" i="43"/>
  <c r="U60" i="43"/>
  <c r="AQ66" i="43"/>
  <c r="AF163" i="43" s="1"/>
  <c r="AF17" i="20" s="1"/>
  <c r="AO62" i="43"/>
  <c r="AO64" i="43" s="1"/>
  <c r="AD161" i="43" s="1"/>
  <c r="AD15" i="20" s="1"/>
  <c r="AA66" i="43"/>
  <c r="X62" i="43"/>
  <c r="X63" i="43" s="1"/>
  <c r="AK62" i="43"/>
  <c r="AK66" i="43" s="1"/>
  <c r="AB159" i="43"/>
  <c r="AB13" i="20" s="1"/>
  <c r="D7" i="41"/>
  <c r="E7" i="41"/>
  <c r="D8" i="41"/>
  <c r="E8" i="41"/>
  <c r="D9" i="41"/>
  <c r="E9" i="41"/>
  <c r="D10" i="41"/>
  <c r="E10" i="41"/>
  <c r="D11" i="41"/>
  <c r="E11" i="41"/>
  <c r="D12" i="41"/>
  <c r="E12" i="41"/>
  <c r="D13" i="41"/>
  <c r="E13" i="41"/>
  <c r="D14" i="41"/>
  <c r="E14" i="41"/>
  <c r="D15" i="41"/>
  <c r="E15" i="41"/>
  <c r="D16" i="41"/>
  <c r="E16" i="41"/>
  <c r="D17" i="41"/>
  <c r="E17" i="41"/>
  <c r="D18" i="41"/>
  <c r="E18" i="41"/>
  <c r="D19" i="41"/>
  <c r="E19" i="41"/>
  <c r="D20" i="41"/>
  <c r="E20" i="41"/>
  <c r="D21" i="41"/>
  <c r="E21" i="41"/>
  <c r="D22" i="41"/>
  <c r="E22" i="41"/>
  <c r="D23" i="41"/>
  <c r="E23" i="41"/>
  <c r="D24" i="41"/>
  <c r="E24" i="41"/>
  <c r="D25" i="41"/>
  <c r="E25" i="41"/>
  <c r="D6" i="41"/>
  <c r="E6" i="41"/>
  <c r="B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C6" i="1"/>
  <c r="D6" i="1"/>
  <c r="E6" i="1"/>
  <c r="F6" i="1"/>
  <c r="G6" i="1"/>
  <c r="H6" i="1"/>
  <c r="I6" i="1"/>
  <c r="U62" i="46" l="1"/>
  <c r="U63" i="46" s="1"/>
  <c r="T160" i="46" s="1"/>
  <c r="T35" i="20" s="1"/>
  <c r="U62" i="45"/>
  <c r="U63" i="45" s="1"/>
  <c r="T160" i="45" s="1"/>
  <c r="T28" i="20" s="1"/>
  <c r="AO66" i="45"/>
  <c r="AD163" i="45" s="1"/>
  <c r="AD31" i="20" s="1"/>
  <c r="U65" i="49"/>
  <c r="T162" i="49" s="1"/>
  <c r="T58" i="20" s="1"/>
  <c r="U66" i="49"/>
  <c r="T163" i="49" s="1"/>
  <c r="T59" i="20" s="1"/>
  <c r="U63" i="49"/>
  <c r="T160" i="49" s="1"/>
  <c r="T56" i="20" s="1"/>
  <c r="AN66" i="48"/>
  <c r="AC163" i="48" s="1"/>
  <c r="AC52" i="20" s="1"/>
  <c r="AN63" i="48"/>
  <c r="AC160" i="48" s="1"/>
  <c r="AC49" i="20" s="1"/>
  <c r="AO66" i="46"/>
  <c r="AD163" i="46" s="1"/>
  <c r="AD38" i="20" s="1"/>
  <c r="AH65" i="46"/>
  <c r="Z162" i="46" s="1"/>
  <c r="Z37" i="20" s="1"/>
  <c r="AH62" i="45"/>
  <c r="AH64" i="45" s="1"/>
  <c r="Z161" i="45" s="1"/>
  <c r="Z29" i="20" s="1"/>
  <c r="AL64" i="43"/>
  <c r="AA161" i="43" s="1"/>
  <c r="AA15" i="20" s="1"/>
  <c r="AL65" i="46"/>
  <c r="AA162" i="46" s="1"/>
  <c r="AA37" i="20" s="1"/>
  <c r="AH63" i="48"/>
  <c r="Z160" i="48" s="1"/>
  <c r="Z49" i="20" s="1"/>
  <c r="AO63" i="45"/>
  <c r="AD160" i="45" s="1"/>
  <c r="AD28" i="20" s="1"/>
  <c r="AK64" i="46"/>
  <c r="AH64" i="46"/>
  <c r="Z161" i="46" s="1"/>
  <c r="Z36" i="20" s="1"/>
  <c r="AO65" i="46"/>
  <c r="AD162" i="46" s="1"/>
  <c r="AD37" i="20" s="1"/>
  <c r="AN63" i="47"/>
  <c r="AC160" i="47" s="1"/>
  <c r="AC42" i="20" s="1"/>
  <c r="AP66" i="56"/>
  <c r="AE163" i="56" s="1"/>
  <c r="AE94" i="20" s="1"/>
  <c r="AP65" i="56"/>
  <c r="AE162" i="56" s="1"/>
  <c r="AE93" i="20" s="1"/>
  <c r="AP64" i="56"/>
  <c r="AE161" i="56" s="1"/>
  <c r="AE92" i="20" s="1"/>
  <c r="AP64" i="54"/>
  <c r="AE161" i="54" s="1"/>
  <c r="AE78" i="20" s="1"/>
  <c r="AP65" i="53"/>
  <c r="AE162" i="53" s="1"/>
  <c r="AE72" i="20" s="1"/>
  <c r="AM63" i="50"/>
  <c r="AB160" i="50" s="1"/>
  <c r="AB63" i="20" s="1"/>
  <c r="AM66" i="50"/>
  <c r="AB163" i="50" s="1"/>
  <c r="AB66" i="20" s="1"/>
  <c r="AM64" i="50"/>
  <c r="AB161" i="50" s="1"/>
  <c r="AB64" i="20" s="1"/>
  <c r="U66" i="50"/>
  <c r="T163" i="50" s="1"/>
  <c r="T66" i="20" s="1"/>
  <c r="AN65" i="50"/>
  <c r="AC162" i="50" s="1"/>
  <c r="AC65" i="20" s="1"/>
  <c r="AE157" i="50"/>
  <c r="AE60" i="20" s="1"/>
  <c r="AL14" i="41"/>
  <c r="AE157" i="49"/>
  <c r="AE53" i="20" s="1"/>
  <c r="AL13" i="41"/>
  <c r="AM64" i="48"/>
  <c r="AB161" i="48" s="1"/>
  <c r="AB50" i="20" s="1"/>
  <c r="AM66" i="48"/>
  <c r="AB163" i="48" s="1"/>
  <c r="AB52" i="20" s="1"/>
  <c r="AM65" i="48"/>
  <c r="AB162" i="48" s="1"/>
  <c r="AB51" i="20" s="1"/>
  <c r="AN64" i="48"/>
  <c r="AC161" i="48" s="1"/>
  <c r="AC50" i="20" s="1"/>
  <c r="AE157" i="48"/>
  <c r="AE46" i="20" s="1"/>
  <c r="AL12" i="41"/>
  <c r="AM64" i="47"/>
  <c r="AB161" i="47" s="1"/>
  <c r="AB43" i="20" s="1"/>
  <c r="AP63" i="47"/>
  <c r="AE160" i="47" s="1"/>
  <c r="AE42" i="20" s="1"/>
  <c r="AP64" i="47"/>
  <c r="AE161" i="47" s="1"/>
  <c r="AE43" i="20" s="1"/>
  <c r="AH64" i="47"/>
  <c r="Z161" i="47" s="1"/>
  <c r="Z43" i="20" s="1"/>
  <c r="AH63" i="47"/>
  <c r="Z160" i="47" s="1"/>
  <c r="Z42" i="20" s="1"/>
  <c r="AM66" i="47"/>
  <c r="AB163" i="47" s="1"/>
  <c r="AB45" i="20" s="1"/>
  <c r="AM65" i="47"/>
  <c r="AB162" i="47" s="1"/>
  <c r="AB44" i="20" s="1"/>
  <c r="AN64" i="47"/>
  <c r="AC161" i="47" s="1"/>
  <c r="AC43" i="20" s="1"/>
  <c r="AN66" i="47"/>
  <c r="AC163" i="47" s="1"/>
  <c r="AC45" i="20" s="1"/>
  <c r="AL66" i="46"/>
  <c r="AA163" i="46" s="1"/>
  <c r="AA38" i="20" s="1"/>
  <c r="X66" i="46"/>
  <c r="X64" i="46"/>
  <c r="AB157" i="46"/>
  <c r="AB32" i="20" s="1"/>
  <c r="AI10" i="41"/>
  <c r="X63" i="46"/>
  <c r="T157" i="46"/>
  <c r="T32" i="20" s="1"/>
  <c r="Q10" i="41"/>
  <c r="AC157" i="46"/>
  <c r="AC32" i="20" s="1"/>
  <c r="AJ10" i="41"/>
  <c r="AF64" i="45"/>
  <c r="X161" i="45" s="1"/>
  <c r="X29" i="20" s="1"/>
  <c r="AF65" i="45"/>
  <c r="X162" i="45" s="1"/>
  <c r="X30" i="20" s="1"/>
  <c r="AF63" i="45"/>
  <c r="X160" i="45" s="1"/>
  <c r="X28" i="20" s="1"/>
  <c r="AB157" i="45"/>
  <c r="AB25" i="20" s="1"/>
  <c r="AI9" i="41"/>
  <c r="T157" i="45"/>
  <c r="T25" i="20" s="1"/>
  <c r="Q9" i="41"/>
  <c r="U66" i="45"/>
  <c r="T163" i="45" s="1"/>
  <c r="T31" i="20" s="1"/>
  <c r="AL63" i="45"/>
  <c r="AA160" i="45" s="1"/>
  <c r="AA28" i="20" s="1"/>
  <c r="AC157" i="45"/>
  <c r="AC25" i="20" s="1"/>
  <c r="AJ9" i="41"/>
  <c r="S66" i="45"/>
  <c r="R163" i="45" s="1"/>
  <c r="R31" i="20" s="1"/>
  <c r="AK63" i="44"/>
  <c r="AH66" i="44"/>
  <c r="Z163" i="44" s="1"/>
  <c r="Z24" i="20" s="1"/>
  <c r="AO65" i="44"/>
  <c r="AD162" i="44" s="1"/>
  <c r="AD23" i="20" s="1"/>
  <c r="AH63" i="44"/>
  <c r="Z160" i="44" s="1"/>
  <c r="Z21" i="20" s="1"/>
  <c r="AF65" i="44"/>
  <c r="X162" i="44" s="1"/>
  <c r="X23" i="20" s="1"/>
  <c r="AF64" i="44"/>
  <c r="X161" i="44" s="1"/>
  <c r="X22" i="20" s="1"/>
  <c r="AB157" i="44"/>
  <c r="AB18" i="20" s="1"/>
  <c r="AI8" i="41"/>
  <c r="X64" i="44"/>
  <c r="AO64" i="44"/>
  <c r="AD161" i="44" s="1"/>
  <c r="AD22" i="20" s="1"/>
  <c r="AC157" i="44"/>
  <c r="AC18" i="20" s="1"/>
  <c r="AJ8" i="41"/>
  <c r="S66" i="44"/>
  <c r="R163" i="44" s="1"/>
  <c r="R24" i="20" s="1"/>
  <c r="AE157" i="44"/>
  <c r="AE18" i="20" s="1"/>
  <c r="AL8" i="41"/>
  <c r="T157" i="44"/>
  <c r="T18" i="20" s="1"/>
  <c r="Q8" i="41"/>
  <c r="AK64" i="43"/>
  <c r="AL65" i="43"/>
  <c r="AA162" i="43" s="1"/>
  <c r="AA16" i="20" s="1"/>
  <c r="Z157" i="43"/>
  <c r="Z11" i="20" s="1"/>
  <c r="AD7" i="41"/>
  <c r="AF66" i="43"/>
  <c r="X163" i="43" s="1"/>
  <c r="X17" i="20" s="1"/>
  <c r="AB157" i="43"/>
  <c r="AB11" i="20" s="1"/>
  <c r="AI7" i="41"/>
  <c r="AO63" i="43"/>
  <c r="AD160" i="43" s="1"/>
  <c r="AD14" i="20" s="1"/>
  <c r="AO66" i="43"/>
  <c r="AD163" i="43" s="1"/>
  <c r="AD17" i="20" s="1"/>
  <c r="AC157" i="43"/>
  <c r="AC11" i="20" s="1"/>
  <c r="AJ7" i="41"/>
  <c r="AL63" i="43"/>
  <c r="AA160" i="43" s="1"/>
  <c r="AA14" i="20" s="1"/>
  <c r="T157" i="43"/>
  <c r="T11" i="20" s="1"/>
  <c r="Q7" i="41"/>
  <c r="S65" i="43"/>
  <c r="R162" i="43" s="1"/>
  <c r="R16" i="20" s="1"/>
  <c r="M157" i="45"/>
  <c r="M25" i="20" s="1"/>
  <c r="M26" i="20"/>
  <c r="AP64" i="53"/>
  <c r="AE161" i="53" s="1"/>
  <c r="AE71" i="20" s="1"/>
  <c r="AP63" i="58"/>
  <c r="AE160" i="58" s="1"/>
  <c r="AE105" i="20" s="1"/>
  <c r="AP65" i="58"/>
  <c r="AE162" i="58" s="1"/>
  <c r="AE107" i="20" s="1"/>
  <c r="AP64" i="58"/>
  <c r="AE161" i="58" s="1"/>
  <c r="AE106" i="20" s="1"/>
  <c r="AP63" i="57"/>
  <c r="AE160" i="57" s="1"/>
  <c r="AE98" i="20" s="1"/>
  <c r="AP66" i="57"/>
  <c r="AE163" i="57" s="1"/>
  <c r="AE101" i="20" s="1"/>
  <c r="AP64" i="57"/>
  <c r="AE161" i="57" s="1"/>
  <c r="AE99" i="20" s="1"/>
  <c r="AP63" i="55"/>
  <c r="AE160" i="55" s="1"/>
  <c r="AE84" i="20" s="1"/>
  <c r="AP64" i="55"/>
  <c r="AE161" i="55" s="1"/>
  <c r="AE85" i="20" s="1"/>
  <c r="AP66" i="55"/>
  <c r="AE163" i="55" s="1"/>
  <c r="AE87" i="20" s="1"/>
  <c r="AP63" i="53"/>
  <c r="AE160" i="53" s="1"/>
  <c r="AE70" i="20" s="1"/>
  <c r="AP65" i="54"/>
  <c r="AE162" i="54" s="1"/>
  <c r="AE79" i="20" s="1"/>
  <c r="AP63" i="54"/>
  <c r="AE160" i="54" s="1"/>
  <c r="AE77" i="20" s="1"/>
  <c r="AN64" i="50"/>
  <c r="AC161" i="50" s="1"/>
  <c r="AC64" i="20" s="1"/>
  <c r="U63" i="50"/>
  <c r="T160" i="50" s="1"/>
  <c r="T63" i="20" s="1"/>
  <c r="U65" i="50"/>
  <c r="T162" i="50" s="1"/>
  <c r="T65" i="20" s="1"/>
  <c r="AP62" i="50"/>
  <c r="AP63" i="50" s="1"/>
  <c r="AE160" i="50" s="1"/>
  <c r="AE63" i="20" s="1"/>
  <c r="AN63" i="50"/>
  <c r="AC160" i="50" s="1"/>
  <c r="AC63" i="20" s="1"/>
  <c r="AN64" i="49"/>
  <c r="AC161" i="49" s="1"/>
  <c r="AC57" i="20" s="1"/>
  <c r="AN66" i="49"/>
  <c r="AC163" i="49" s="1"/>
  <c r="AC59" i="20" s="1"/>
  <c r="AP62" i="49"/>
  <c r="AP63" i="49" s="1"/>
  <c r="AE160" i="49" s="1"/>
  <c r="AE56" i="20" s="1"/>
  <c r="AM63" i="49"/>
  <c r="AB160" i="49" s="1"/>
  <c r="AB56" i="20" s="1"/>
  <c r="AN63" i="49"/>
  <c r="AC160" i="49" s="1"/>
  <c r="AC56" i="20" s="1"/>
  <c r="AM66" i="49"/>
  <c r="AB163" i="49" s="1"/>
  <c r="AB59" i="20" s="1"/>
  <c r="U66" i="48"/>
  <c r="T163" i="48" s="1"/>
  <c r="T52" i="20" s="1"/>
  <c r="U63" i="48"/>
  <c r="T160" i="48" s="1"/>
  <c r="T49" i="20" s="1"/>
  <c r="U64" i="48"/>
  <c r="T161" i="48" s="1"/>
  <c r="T50" i="20" s="1"/>
  <c r="AH64" i="48"/>
  <c r="Z161" i="48" s="1"/>
  <c r="Z50" i="20" s="1"/>
  <c r="AP62" i="48"/>
  <c r="AP64" i="48" s="1"/>
  <c r="AE161" i="48" s="1"/>
  <c r="AE50" i="20" s="1"/>
  <c r="AH66" i="47"/>
  <c r="Z163" i="47" s="1"/>
  <c r="Z45" i="20" s="1"/>
  <c r="U65" i="47"/>
  <c r="T162" i="47" s="1"/>
  <c r="T44" i="20" s="1"/>
  <c r="AP66" i="47"/>
  <c r="AE163" i="47" s="1"/>
  <c r="AE45" i="20" s="1"/>
  <c r="U66" i="47"/>
  <c r="T163" i="47" s="1"/>
  <c r="T45" i="20" s="1"/>
  <c r="U64" i="47"/>
  <c r="T161" i="47" s="1"/>
  <c r="T43" i="20" s="1"/>
  <c r="AK65" i="46"/>
  <c r="S66" i="46"/>
  <c r="R163" i="46" s="1"/>
  <c r="R38" i="20" s="1"/>
  <c r="U65" i="46"/>
  <c r="T162" i="46" s="1"/>
  <c r="T37" i="20" s="1"/>
  <c r="S64" i="46"/>
  <c r="R161" i="46" s="1"/>
  <c r="R36" i="20" s="1"/>
  <c r="AP61" i="46"/>
  <c r="AP60" i="46"/>
  <c r="AP59" i="46"/>
  <c r="AP58" i="46"/>
  <c r="AP56" i="46"/>
  <c r="AE159" i="46"/>
  <c r="AE34" i="20" s="1"/>
  <c r="AF63" i="46"/>
  <c r="X160" i="46" s="1"/>
  <c r="X35" i="20" s="1"/>
  <c r="S65" i="46"/>
  <c r="R162" i="46" s="1"/>
  <c r="R37" i="20" s="1"/>
  <c r="AN62" i="46"/>
  <c r="AN66" i="46" s="1"/>
  <c r="AC163" i="46" s="1"/>
  <c r="AC38" i="20" s="1"/>
  <c r="AH66" i="46"/>
  <c r="Z163" i="46" s="1"/>
  <c r="Z38" i="20" s="1"/>
  <c r="M157" i="46"/>
  <c r="M32" i="20" s="1"/>
  <c r="AF66" i="46"/>
  <c r="X163" i="46" s="1"/>
  <c r="X38" i="20" s="1"/>
  <c r="AF65" i="46"/>
  <c r="X162" i="46" s="1"/>
  <c r="X37" i="20" s="1"/>
  <c r="AO63" i="46"/>
  <c r="AD160" i="46" s="1"/>
  <c r="AD35" i="20" s="1"/>
  <c r="AM62" i="46"/>
  <c r="AM64" i="46" s="1"/>
  <c r="AB161" i="46" s="1"/>
  <c r="AB36" i="20" s="1"/>
  <c r="S65" i="45"/>
  <c r="R162" i="45" s="1"/>
  <c r="R30" i="20" s="1"/>
  <c r="S64" i="45"/>
  <c r="R161" i="45" s="1"/>
  <c r="R29" i="20" s="1"/>
  <c r="AH65" i="45"/>
  <c r="Z162" i="45" s="1"/>
  <c r="Z30" i="20" s="1"/>
  <c r="AH63" i="45"/>
  <c r="Z160" i="45" s="1"/>
  <c r="Z28" i="20" s="1"/>
  <c r="AL64" i="45"/>
  <c r="AA161" i="45" s="1"/>
  <c r="AA29" i="20" s="1"/>
  <c r="AK65" i="45"/>
  <c r="AL66" i="45"/>
  <c r="AA163" i="45" s="1"/>
  <c r="AA31" i="20" s="1"/>
  <c r="AO65" i="45"/>
  <c r="AD162" i="45" s="1"/>
  <c r="AD30" i="20" s="1"/>
  <c r="AK66" i="45"/>
  <c r="AM62" i="45"/>
  <c r="AM63" i="45" s="1"/>
  <c r="AB160" i="45" s="1"/>
  <c r="AB28" i="20" s="1"/>
  <c r="AP60" i="45"/>
  <c r="AP59" i="45"/>
  <c r="AP58" i="45"/>
  <c r="AP56" i="45"/>
  <c r="AP61" i="45"/>
  <c r="AE159" i="45"/>
  <c r="AE27" i="20" s="1"/>
  <c r="AH66" i="45"/>
  <c r="Z163" i="45" s="1"/>
  <c r="Z31" i="20" s="1"/>
  <c r="AN62" i="45"/>
  <c r="AN65" i="45" s="1"/>
  <c r="AC162" i="45" s="1"/>
  <c r="AC30" i="20" s="1"/>
  <c r="AK64" i="45"/>
  <c r="AK64" i="44"/>
  <c r="AM62" i="44"/>
  <c r="AM66" i="44" s="1"/>
  <c r="AB163" i="44" s="1"/>
  <c r="AB24" i="20" s="1"/>
  <c r="AN62" i="44"/>
  <c r="AN64" i="44" s="1"/>
  <c r="AC161" i="44" s="1"/>
  <c r="AC22" i="20" s="1"/>
  <c r="AL66" i="44"/>
  <c r="AA163" i="44" s="1"/>
  <c r="AA24" i="20" s="1"/>
  <c r="AP62" i="44"/>
  <c r="AP65" i="44" s="1"/>
  <c r="AE162" i="44" s="1"/>
  <c r="AE23" i="20" s="1"/>
  <c r="AL64" i="44"/>
  <c r="AA161" i="44" s="1"/>
  <c r="AA22" i="20" s="1"/>
  <c r="U62" i="44"/>
  <c r="U66" i="44" s="1"/>
  <c r="T163" i="44" s="1"/>
  <c r="T24" i="20" s="1"/>
  <c r="AH65" i="44"/>
  <c r="Z162" i="44" s="1"/>
  <c r="Z23" i="20" s="1"/>
  <c r="S65" i="44"/>
  <c r="R162" i="44" s="1"/>
  <c r="R23" i="20" s="1"/>
  <c r="AK65" i="44"/>
  <c r="AN65" i="44"/>
  <c r="AC162" i="44" s="1"/>
  <c r="AC23" i="20" s="1"/>
  <c r="X65" i="44"/>
  <c r="X63" i="44"/>
  <c r="M157" i="44"/>
  <c r="M18" i="20" s="1"/>
  <c r="AL63" i="44"/>
  <c r="AA160" i="44" s="1"/>
  <c r="AA21" i="20" s="1"/>
  <c r="M157" i="43"/>
  <c r="M11" i="20" s="1"/>
  <c r="M12" i="20"/>
  <c r="AK63" i="43"/>
  <c r="AH62" i="43"/>
  <c r="AH66" i="43" s="1"/>
  <c r="Z163" i="43" s="1"/>
  <c r="Z17" i="20" s="1"/>
  <c r="X66" i="43"/>
  <c r="X65" i="43"/>
  <c r="X64" i="43"/>
  <c r="U62" i="43"/>
  <c r="U66" i="43" s="1"/>
  <c r="T163" i="43" s="1"/>
  <c r="T17" i="20" s="1"/>
  <c r="AO65" i="43"/>
  <c r="AD162" i="43" s="1"/>
  <c r="AD16" i="20" s="1"/>
  <c r="AP56" i="43"/>
  <c r="AP60" i="43"/>
  <c r="AP59" i="43"/>
  <c r="AP58" i="43"/>
  <c r="AP61" i="43"/>
  <c r="AE159" i="43"/>
  <c r="AE13" i="20" s="1"/>
  <c r="AF65" i="43"/>
  <c r="X162" i="43" s="1"/>
  <c r="X16" i="20" s="1"/>
  <c r="AF63" i="43"/>
  <c r="X160" i="43" s="1"/>
  <c r="X14" i="20" s="1"/>
  <c r="S64" i="43"/>
  <c r="R161" i="43" s="1"/>
  <c r="R15" i="20" s="1"/>
  <c r="S66" i="43"/>
  <c r="R163" i="43" s="1"/>
  <c r="R17" i="20" s="1"/>
  <c r="AN62" i="43"/>
  <c r="AN65" i="43" s="1"/>
  <c r="AC162" i="43" s="1"/>
  <c r="AC16" i="20" s="1"/>
  <c r="AK65" i="43"/>
  <c r="AM62" i="43"/>
  <c r="AM64" i="43" s="1"/>
  <c r="AB161" i="43" s="1"/>
  <c r="AB15" i="20" s="1"/>
  <c r="AM63" i="43"/>
  <c r="AB160" i="43" s="1"/>
  <c r="AB14" i="20" s="1"/>
  <c r="N158" i="1"/>
  <c r="O158" i="1"/>
  <c r="U66" i="46" l="1"/>
  <c r="T163" i="46" s="1"/>
  <c r="T38" i="20" s="1"/>
  <c r="U64" i="46"/>
  <c r="T161" i="46" s="1"/>
  <c r="T36" i="20" s="1"/>
  <c r="U64" i="45"/>
  <c r="T161" i="45" s="1"/>
  <c r="T29" i="20" s="1"/>
  <c r="U65" i="45"/>
  <c r="T162" i="45" s="1"/>
  <c r="T30" i="20" s="1"/>
  <c r="AN64" i="45"/>
  <c r="AC161" i="45" s="1"/>
  <c r="AC29" i="20" s="1"/>
  <c r="AM64" i="44"/>
  <c r="AB161" i="44" s="1"/>
  <c r="AB22" i="20" s="1"/>
  <c r="AP64" i="50"/>
  <c r="AE161" i="50" s="1"/>
  <c r="AE64" i="20" s="1"/>
  <c r="AP65" i="50"/>
  <c r="AE162" i="50" s="1"/>
  <c r="AE65" i="20" s="1"/>
  <c r="AP66" i="50"/>
  <c r="AE163" i="50" s="1"/>
  <c r="AE66" i="20" s="1"/>
  <c r="AP66" i="49"/>
  <c r="AE163" i="49" s="1"/>
  <c r="AE59" i="20" s="1"/>
  <c r="AP65" i="49"/>
  <c r="AE162" i="49" s="1"/>
  <c r="AE58" i="20" s="1"/>
  <c r="AP64" i="49"/>
  <c r="AE161" i="49" s="1"/>
  <c r="AE57" i="20" s="1"/>
  <c r="AP66" i="48"/>
  <c r="AE163" i="48" s="1"/>
  <c r="AE52" i="20" s="1"/>
  <c r="AP65" i="48"/>
  <c r="AE162" i="48" s="1"/>
  <c r="AE51" i="20" s="1"/>
  <c r="AP63" i="48"/>
  <c r="AE160" i="48" s="1"/>
  <c r="AE49" i="20" s="1"/>
  <c r="AE157" i="46"/>
  <c r="AE32" i="20" s="1"/>
  <c r="AL10" i="41"/>
  <c r="AN63" i="45"/>
  <c r="AC160" i="45" s="1"/>
  <c r="AC28" i="20" s="1"/>
  <c r="AE157" i="45"/>
  <c r="AE25" i="20" s="1"/>
  <c r="AL9" i="41"/>
  <c r="AN66" i="45"/>
  <c r="AC163" i="45" s="1"/>
  <c r="AC31" i="20" s="1"/>
  <c r="AP66" i="44"/>
  <c r="AE163" i="44" s="1"/>
  <c r="AE24" i="20" s="1"/>
  <c r="AM66" i="43"/>
  <c r="AB163" i="43" s="1"/>
  <c r="AB17" i="20" s="1"/>
  <c r="AN63" i="43"/>
  <c r="AC160" i="43" s="1"/>
  <c r="AC14" i="20" s="1"/>
  <c r="AE157" i="43"/>
  <c r="AE11" i="20" s="1"/>
  <c r="AL7" i="41"/>
  <c r="AN64" i="43"/>
  <c r="AC161" i="43" s="1"/>
  <c r="AC15" i="20" s="1"/>
  <c r="AN66" i="43"/>
  <c r="AC163" i="43" s="1"/>
  <c r="AC17" i="20" s="1"/>
  <c r="AM65" i="46"/>
  <c r="AB162" i="46" s="1"/>
  <c r="AB37" i="20" s="1"/>
  <c r="AN63" i="46"/>
  <c r="AC160" i="46" s="1"/>
  <c r="AC35" i="20" s="1"/>
  <c r="AN65" i="46"/>
  <c r="AC162" i="46" s="1"/>
  <c r="AC37" i="20" s="1"/>
  <c r="AN64" i="46"/>
  <c r="AC161" i="46" s="1"/>
  <c r="AC36" i="20" s="1"/>
  <c r="AM63" i="46"/>
  <c r="AB160" i="46" s="1"/>
  <c r="AB35" i="20" s="1"/>
  <c r="AP62" i="46"/>
  <c r="AP63" i="46" s="1"/>
  <c r="AE160" i="46" s="1"/>
  <c r="AE35" i="20" s="1"/>
  <c r="AM66" i="46"/>
  <c r="AB163" i="46" s="1"/>
  <c r="AB38" i="20" s="1"/>
  <c r="AM66" i="45"/>
  <c r="AB163" i="45" s="1"/>
  <c r="AB31" i="20" s="1"/>
  <c r="AP62" i="45"/>
  <c r="AP63" i="45" s="1"/>
  <c r="AE160" i="45" s="1"/>
  <c r="AE28" i="20" s="1"/>
  <c r="AM65" i="45"/>
  <c r="AB162" i="45" s="1"/>
  <c r="AB30" i="20" s="1"/>
  <c r="AM64" i="45"/>
  <c r="AB161" i="45" s="1"/>
  <c r="AB29" i="20" s="1"/>
  <c r="AN63" i="44"/>
  <c r="AC160" i="44" s="1"/>
  <c r="AC21" i="20" s="1"/>
  <c r="U63" i="44"/>
  <c r="T160" i="44" s="1"/>
  <c r="T21" i="20" s="1"/>
  <c r="AP63" i="44"/>
  <c r="AE160" i="44" s="1"/>
  <c r="AE21" i="20" s="1"/>
  <c r="AM63" i="44"/>
  <c r="AB160" i="44" s="1"/>
  <c r="AB21" i="20" s="1"/>
  <c r="AN66" i="44"/>
  <c r="AC163" i="44" s="1"/>
  <c r="AC24" i="20" s="1"/>
  <c r="AM65" i="44"/>
  <c r="AB162" i="44" s="1"/>
  <c r="AB23" i="20" s="1"/>
  <c r="U64" i="44"/>
  <c r="T161" i="44" s="1"/>
  <c r="T22" i="20" s="1"/>
  <c r="AP64" i="44"/>
  <c r="AE161" i="44" s="1"/>
  <c r="AE22" i="20" s="1"/>
  <c r="U65" i="44"/>
  <c r="T162" i="44" s="1"/>
  <c r="T23" i="20" s="1"/>
  <c r="AH65" i="43"/>
  <c r="Z162" i="43" s="1"/>
  <c r="Z16" i="20" s="1"/>
  <c r="AH63" i="43"/>
  <c r="Z160" i="43" s="1"/>
  <c r="Z14" i="20" s="1"/>
  <c r="U63" i="43"/>
  <c r="T160" i="43" s="1"/>
  <c r="T14" i="20" s="1"/>
  <c r="U64" i="43"/>
  <c r="T161" i="43" s="1"/>
  <c r="T15" i="20" s="1"/>
  <c r="U65" i="43"/>
  <c r="T162" i="43" s="1"/>
  <c r="T16" i="20" s="1"/>
  <c r="AP62" i="43"/>
  <c r="AP64" i="43" s="1"/>
  <c r="AE161" i="43" s="1"/>
  <c r="AE15" i="20" s="1"/>
  <c r="AH64" i="43"/>
  <c r="Z161" i="43" s="1"/>
  <c r="Z15" i="20" s="1"/>
  <c r="AM65" i="43"/>
  <c r="AB162" i="43" s="1"/>
  <c r="AB16" i="20" s="1"/>
  <c r="AP65" i="46" l="1"/>
  <c r="AE162" i="46" s="1"/>
  <c r="AE37" i="20" s="1"/>
  <c r="AP66" i="46"/>
  <c r="AE163" i="46" s="1"/>
  <c r="AE38" i="20" s="1"/>
  <c r="AP64" i="46"/>
  <c r="AE161" i="46" s="1"/>
  <c r="AE36" i="20" s="1"/>
  <c r="AP65" i="45"/>
  <c r="AE162" i="45" s="1"/>
  <c r="AE30" i="20" s="1"/>
  <c r="AP66" i="45"/>
  <c r="AE163" i="45" s="1"/>
  <c r="AE31" i="20" s="1"/>
  <c r="AP64" i="45"/>
  <c r="AE161" i="45" s="1"/>
  <c r="AE29" i="20" s="1"/>
  <c r="AP63" i="43"/>
  <c r="AE160" i="43" s="1"/>
  <c r="AE14" i="20" s="1"/>
  <c r="AP66" i="43"/>
  <c r="AE163" i="43" s="1"/>
  <c r="AE17" i="20" s="1"/>
  <c r="AP65" i="43"/>
  <c r="AE162" i="43" s="1"/>
  <c r="AE16" i="20" s="1"/>
  <c r="N2" i="1" l="1"/>
  <c r="AP2" i="1"/>
  <c r="AB2" i="1"/>
  <c r="E144" i="20"/>
  <c r="F6" i="41" l="1"/>
  <c r="F26" i="41" l="1"/>
  <c r="G144" i="20" l="1"/>
  <c r="C144" i="20"/>
  <c r="B144" i="20"/>
  <c r="AG5" i="20" l="1"/>
  <c r="AG6" i="20"/>
  <c r="AG7" i="20"/>
  <c r="AG8" i="20"/>
  <c r="AG9" i="20"/>
  <c r="AG10" i="20"/>
  <c r="AG4" i="20"/>
  <c r="S6" i="1" l="1"/>
  <c r="M2" i="41"/>
  <c r="H2" i="1"/>
  <c r="E56" i="1" s="1"/>
  <c r="E2" i="1"/>
  <c r="D56" i="1" s="1"/>
  <c r="E2" i="41" s="1"/>
  <c r="C2" i="1"/>
  <c r="C56" i="1" s="1"/>
  <c r="D2" i="41" s="1"/>
  <c r="U6" i="1" l="1"/>
  <c r="F2" i="41"/>
  <c r="G2" i="41" s="1"/>
  <c r="H2" i="41" s="1"/>
  <c r="I2" i="41" s="1"/>
  <c r="J2" i="41" s="1"/>
  <c r="O5" i="20"/>
  <c r="O145" i="20" s="1"/>
  <c r="N159" i="1"/>
  <c r="N6" i="20" s="1"/>
  <c r="N146" i="20" s="1"/>
  <c r="P158" i="1"/>
  <c r="P5" i="20" s="1"/>
  <c r="P145" i="20" s="1"/>
  <c r="W159" i="1"/>
  <c r="W6" i="20" s="1"/>
  <c r="W146" i="20" s="1"/>
  <c r="Q159" i="1"/>
  <c r="Q6" i="20" s="1"/>
  <c r="Q146" i="20" s="1"/>
  <c r="Y159" i="1"/>
  <c r="Y6" i="20" s="1"/>
  <c r="Y146" i="20" s="1"/>
  <c r="AF158" i="1"/>
  <c r="AF5" i="20" s="1"/>
  <c r="AF145" i="20" s="1"/>
  <c r="AA158" i="1"/>
  <c r="AA5" i="20" s="1"/>
  <c r="AA145" i="20" s="1"/>
  <c r="W158" i="1"/>
  <c r="W5" i="20" s="1"/>
  <c r="W145" i="20" s="1"/>
  <c r="Q158" i="1"/>
  <c r="Q5" i="20" s="1"/>
  <c r="Q145" i="20" s="1"/>
  <c r="U159" i="1"/>
  <c r="U6" i="20" s="1"/>
  <c r="U146" i="20" s="1"/>
  <c r="U158" i="1"/>
  <c r="U5" i="20" s="1"/>
  <c r="U145" i="20" s="1"/>
  <c r="S158" i="1"/>
  <c r="S5" i="20" s="1"/>
  <c r="S145" i="20" s="1"/>
  <c r="V159" i="1"/>
  <c r="V6" i="20" s="1"/>
  <c r="V146" i="20" s="1"/>
  <c r="P159" i="1"/>
  <c r="P6" i="20" s="1"/>
  <c r="P146" i="20" s="1"/>
  <c r="O159" i="1"/>
  <c r="O6" i="20" s="1"/>
  <c r="O146" i="20" s="1"/>
  <c r="Z158" i="1"/>
  <c r="Z5" i="20" s="1"/>
  <c r="Z145" i="20" s="1"/>
  <c r="V158" i="1"/>
  <c r="V5" i="20" s="1"/>
  <c r="V145" i="20" s="1"/>
  <c r="AB158" i="1"/>
  <c r="AB5" i="20" s="1"/>
  <c r="AB145" i="20" s="1"/>
  <c r="X158" i="1"/>
  <c r="X5" i="20" s="1"/>
  <c r="X145" i="20" s="1"/>
  <c r="L158" i="1"/>
  <c r="K158" i="1"/>
  <c r="Y158" i="1"/>
  <c r="Y5" i="20" s="1"/>
  <c r="Y145" i="20" s="1"/>
  <c r="AF159" i="1"/>
  <c r="AF6" i="20" s="1"/>
  <c r="AF146" i="20" s="1"/>
  <c r="S159" i="1"/>
  <c r="S6" i="20" s="1"/>
  <c r="S146" i="20" s="1"/>
  <c r="N5" i="20"/>
  <c r="N145" i="20" s="1"/>
  <c r="K2" i="41" l="1"/>
  <c r="L2" i="41" s="1"/>
  <c r="K5" i="20"/>
  <c r="K145" i="20" s="1"/>
  <c r="M158" i="1"/>
  <c r="L5" i="20"/>
  <c r="L145" i="20" s="1"/>
  <c r="M5" i="20" l="1"/>
  <c r="M145" i="20" s="1"/>
  <c r="H157" i="1" l="1"/>
  <c r="I157" i="1"/>
  <c r="G157" i="1"/>
  <c r="G4" i="20" s="1"/>
  <c r="F157" i="1"/>
  <c r="F4" i="20" s="1"/>
  <c r="E157" i="1"/>
  <c r="E4" i="20" s="1"/>
  <c r="D157" i="1"/>
  <c r="D4" i="20" s="1"/>
  <c r="C157" i="1"/>
  <c r="C4" i="20" s="1"/>
  <c r="B157" i="1"/>
  <c r="B4" i="20" s="1"/>
  <c r="E26" i="41" l="1"/>
  <c r="F144" i="20"/>
  <c r="H4" i="20"/>
  <c r="H144" i="20" s="1"/>
  <c r="K157" i="1"/>
  <c r="K4" i="20" s="1"/>
  <c r="K144" i="20" s="1"/>
  <c r="I4" i="20"/>
  <c r="I144" i="20" s="1"/>
  <c r="L157" i="1"/>
  <c r="L4" i="20" s="1"/>
  <c r="L144" i="20" s="1"/>
  <c r="J157" i="1"/>
  <c r="AF17" i="1"/>
  <c r="AH17" i="1" s="1"/>
  <c r="AF18" i="1"/>
  <c r="AH18" i="1" s="1"/>
  <c r="AF19" i="1"/>
  <c r="AH19" i="1" s="1"/>
  <c r="AP69" i="1"/>
  <c r="AB69" i="1"/>
  <c r="N69" i="1"/>
  <c r="H69" i="1"/>
  <c r="E69" i="1"/>
  <c r="C69" i="1"/>
  <c r="J4" i="20" l="1"/>
  <c r="J144" i="20" s="1"/>
  <c r="M157" i="1"/>
  <c r="M4" i="20" s="1"/>
  <c r="M144" i="20" s="1"/>
  <c r="AO6" i="1"/>
  <c r="AL6" i="1"/>
  <c r="AQ5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D158" i="1" l="1"/>
  <c r="AD5" i="20" s="1"/>
  <c r="AD145" i="20" s="1"/>
  <c r="AF157" i="1"/>
  <c r="AF4" i="20" s="1"/>
  <c r="AF144" i="20" s="1"/>
  <c r="AM6" i="41"/>
  <c r="AO59" i="1"/>
  <c r="AO60" i="1"/>
  <c r="AO61" i="1"/>
  <c r="AO58" i="1"/>
  <c r="AL58" i="1"/>
  <c r="AL61" i="1"/>
  <c r="AL60" i="1"/>
  <c r="AL59" i="1"/>
  <c r="AD159" i="1"/>
  <c r="AD6" i="20" s="1"/>
  <c r="AD146" i="20" s="1"/>
  <c r="AA159" i="1"/>
  <c r="AA6" i="20" s="1"/>
  <c r="AA146" i="20" s="1"/>
  <c r="AL56" i="1"/>
  <c r="AO56" i="1"/>
  <c r="Y56" i="1"/>
  <c r="Z56" i="1"/>
  <c r="V6" i="41" s="1"/>
  <c r="AA56" i="1"/>
  <c r="W6" i="41" s="1"/>
  <c r="AB56" i="1"/>
  <c r="X6" i="41" s="1"/>
  <c r="AC56" i="1"/>
  <c r="Y6" i="41" s="1"/>
  <c r="AD56" i="1"/>
  <c r="Z6" i="41" s="1"/>
  <c r="AE56" i="1"/>
  <c r="AA6" i="41" s="1"/>
  <c r="AG56" i="1"/>
  <c r="AM30" i="41" l="1"/>
  <c r="AM27" i="41"/>
  <c r="AM28" i="41"/>
  <c r="AM29" i="41"/>
  <c r="AM26" i="41"/>
  <c r="Y157" i="1"/>
  <c r="Y4" i="20" s="1"/>
  <c r="Y144" i="20" s="1"/>
  <c r="AC6" i="41"/>
  <c r="X29" i="41"/>
  <c r="X30" i="41"/>
  <c r="X28" i="41"/>
  <c r="X27" i="41"/>
  <c r="X26" i="41"/>
  <c r="V28" i="41"/>
  <c r="V30" i="41"/>
  <c r="V29" i="41"/>
  <c r="V27" i="41"/>
  <c r="V26" i="41"/>
  <c r="U157" i="1"/>
  <c r="U4" i="20" s="1"/>
  <c r="U144" i="20" s="1"/>
  <c r="U6" i="41"/>
  <c r="W30" i="41"/>
  <c r="W28" i="41"/>
  <c r="W27" i="41"/>
  <c r="W29" i="41"/>
  <c r="W26" i="41"/>
  <c r="AA28" i="41"/>
  <c r="AA27" i="41"/>
  <c r="AA30" i="41"/>
  <c r="AA29" i="41"/>
  <c r="AA26" i="41"/>
  <c r="Z28" i="41"/>
  <c r="Z29" i="41"/>
  <c r="Z27" i="41"/>
  <c r="Z30" i="41"/>
  <c r="Z26" i="41"/>
  <c r="Y29" i="41"/>
  <c r="Y30" i="41"/>
  <c r="Y27" i="41"/>
  <c r="Y28" i="41"/>
  <c r="Y26" i="41"/>
  <c r="AD157" i="1"/>
  <c r="AD4" i="20" s="1"/>
  <c r="AD144" i="20" s="1"/>
  <c r="AK6" i="41"/>
  <c r="AK26" i="41" s="1"/>
  <c r="AA157" i="1"/>
  <c r="AA4" i="20" s="1"/>
  <c r="AA144" i="20" s="1"/>
  <c r="AH6" i="41"/>
  <c r="AH26" i="41" s="1"/>
  <c r="AM31" i="41" l="1"/>
  <c r="AM34" i="41" s="1"/>
  <c r="AC27" i="41"/>
  <c r="AC26" i="41"/>
  <c r="AC29" i="41"/>
  <c r="AC28" i="41"/>
  <c r="AC30" i="41"/>
  <c r="W31" i="41"/>
  <c r="W33" i="41" s="1"/>
  <c r="Y31" i="41"/>
  <c r="Y32" i="41" s="1"/>
  <c r="U30" i="41"/>
  <c r="U29" i="41"/>
  <c r="U26" i="41"/>
  <c r="U28" i="41"/>
  <c r="U27" i="41"/>
  <c r="X31" i="41"/>
  <c r="X32" i="41" s="1"/>
  <c r="AA31" i="41"/>
  <c r="AA34" i="41" s="1"/>
  <c r="Z31" i="41"/>
  <c r="Z32" i="41" s="1"/>
  <c r="V31" i="41"/>
  <c r="V33" i="41" s="1"/>
  <c r="AK27" i="41"/>
  <c r="AK30" i="41"/>
  <c r="AK29" i="41"/>
  <c r="AK28" i="41"/>
  <c r="AH29" i="41"/>
  <c r="AH28" i="41"/>
  <c r="AH27" i="41"/>
  <c r="AH30" i="41"/>
  <c r="AE62" i="1"/>
  <c r="AE65" i="1" s="1"/>
  <c r="M62" i="1"/>
  <c r="M63" i="1" s="1"/>
  <c r="L62" i="1"/>
  <c r="AG62" i="1"/>
  <c r="AG66" i="1" s="1"/>
  <c r="Y163" i="1" s="1"/>
  <c r="Y10" i="20" s="1"/>
  <c r="Y150" i="20" s="1"/>
  <c r="T62" i="1"/>
  <c r="T63" i="1" s="1"/>
  <c r="S160" i="1" s="1"/>
  <c r="S7" i="20" s="1"/>
  <c r="S147" i="20" s="1"/>
  <c r="K62" i="1"/>
  <c r="AB62" i="1"/>
  <c r="AB64" i="1" s="1"/>
  <c r="Q62" i="1"/>
  <c r="Q63" i="1" s="1"/>
  <c r="V62" i="1"/>
  <c r="V66" i="1" s="1"/>
  <c r="P163" i="1" s="1"/>
  <c r="P10" i="20" s="1"/>
  <c r="P150" i="20" s="1"/>
  <c r="AQ62" i="1"/>
  <c r="AQ64" i="1" s="1"/>
  <c r="AF161" i="1" s="1"/>
  <c r="AF8" i="20" s="1"/>
  <c r="AF148" i="20" s="1"/>
  <c r="AA62" i="1"/>
  <c r="AA65" i="1" s="1"/>
  <c r="P62" i="1"/>
  <c r="P63" i="1" s="1"/>
  <c r="AJ62" i="1"/>
  <c r="AJ63" i="1" s="1"/>
  <c r="W160" i="1" s="1"/>
  <c r="W7" i="20" s="1"/>
  <c r="W147" i="20" s="1"/>
  <c r="Z62" i="1"/>
  <c r="Z66" i="1" s="1"/>
  <c r="O62" i="1"/>
  <c r="O66" i="1" s="1"/>
  <c r="W62" i="1"/>
  <c r="W66" i="1" s="1"/>
  <c r="Q163" i="1" s="1"/>
  <c r="Q10" i="20" s="1"/>
  <c r="Q150" i="20" s="1"/>
  <c r="AI62" i="1"/>
  <c r="AI63" i="1" s="1"/>
  <c r="V160" i="1" s="1"/>
  <c r="V7" i="20" s="1"/>
  <c r="V147" i="20" s="1"/>
  <c r="N62" i="1"/>
  <c r="N65" i="1" s="1"/>
  <c r="AD62" i="1"/>
  <c r="AD63" i="1" s="1"/>
  <c r="AC62" i="1"/>
  <c r="AC66" i="1" s="1"/>
  <c r="Y62" i="1"/>
  <c r="Y66" i="1" s="1"/>
  <c r="U163" i="1" s="1"/>
  <c r="U10" i="20" s="1"/>
  <c r="U150" i="20" s="1"/>
  <c r="R62" i="1"/>
  <c r="R63" i="1" s="1"/>
  <c r="L56" i="1"/>
  <c r="H6" i="41" s="1"/>
  <c r="M56" i="1"/>
  <c r="I6" i="41" s="1"/>
  <c r="N56" i="1"/>
  <c r="J6" i="41" s="1"/>
  <c r="O56" i="1"/>
  <c r="K6" i="41" s="1"/>
  <c r="P56" i="1"/>
  <c r="L6" i="41" s="1"/>
  <c r="Q56" i="1"/>
  <c r="M6" i="41" s="1"/>
  <c r="R56" i="1"/>
  <c r="N6" i="41" s="1"/>
  <c r="T56" i="1"/>
  <c r="V56" i="1"/>
  <c r="W56" i="1"/>
  <c r="AI56" i="1"/>
  <c r="AJ56" i="1"/>
  <c r="K5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6" i="1"/>
  <c r="AF7" i="1"/>
  <c r="AH7" i="1" s="1"/>
  <c r="AF8" i="1"/>
  <c r="AH8" i="1" s="1"/>
  <c r="AF9" i="1"/>
  <c r="AH9" i="1" s="1"/>
  <c r="AF10" i="1"/>
  <c r="AH10" i="1" s="1"/>
  <c r="AF11" i="1"/>
  <c r="AH11" i="1" s="1"/>
  <c r="AF12" i="1"/>
  <c r="AH12" i="1" s="1"/>
  <c r="AF13" i="1"/>
  <c r="AH13" i="1" s="1"/>
  <c r="AF14" i="1"/>
  <c r="AH14" i="1" s="1"/>
  <c r="AF15" i="1"/>
  <c r="AH15" i="1" s="1"/>
  <c r="AF16" i="1"/>
  <c r="AH16" i="1" s="1"/>
  <c r="AF20" i="1"/>
  <c r="AH20" i="1" s="1"/>
  <c r="AF21" i="1"/>
  <c r="AH21" i="1" s="1"/>
  <c r="AF22" i="1"/>
  <c r="AH22" i="1" s="1"/>
  <c r="AF23" i="1"/>
  <c r="AH23" i="1" s="1"/>
  <c r="AF24" i="1"/>
  <c r="AH24" i="1" s="1"/>
  <c r="AF25" i="1"/>
  <c r="AH25" i="1" s="1"/>
  <c r="AF26" i="1"/>
  <c r="AH26" i="1" s="1"/>
  <c r="AF27" i="1"/>
  <c r="AH27" i="1" s="1"/>
  <c r="AF28" i="1"/>
  <c r="AH28" i="1" s="1"/>
  <c r="AF29" i="1"/>
  <c r="AH29" i="1" s="1"/>
  <c r="AF30" i="1"/>
  <c r="AH30" i="1" s="1"/>
  <c r="AF31" i="1"/>
  <c r="AH31" i="1" s="1"/>
  <c r="AF32" i="1"/>
  <c r="AH32" i="1" s="1"/>
  <c r="AF33" i="1"/>
  <c r="AH33" i="1" s="1"/>
  <c r="AF34" i="1"/>
  <c r="AH34" i="1" s="1"/>
  <c r="AF35" i="1"/>
  <c r="AH35" i="1" s="1"/>
  <c r="AF36" i="1"/>
  <c r="AH36" i="1" s="1"/>
  <c r="AF37" i="1"/>
  <c r="AH37" i="1" s="1"/>
  <c r="AF38" i="1"/>
  <c r="AH38" i="1" s="1"/>
  <c r="AF39" i="1"/>
  <c r="AH39" i="1" s="1"/>
  <c r="AF40" i="1"/>
  <c r="AH40" i="1" s="1"/>
  <c r="AF41" i="1"/>
  <c r="AH41" i="1" s="1"/>
  <c r="AF42" i="1"/>
  <c r="AH42" i="1" s="1"/>
  <c r="AF43" i="1"/>
  <c r="AH43" i="1" s="1"/>
  <c r="AF44" i="1"/>
  <c r="AH44" i="1" s="1"/>
  <c r="AF45" i="1"/>
  <c r="AH45" i="1" s="1"/>
  <c r="AF46" i="1"/>
  <c r="AH46" i="1" s="1"/>
  <c r="AF47" i="1"/>
  <c r="AH47" i="1" s="1"/>
  <c r="AF48" i="1"/>
  <c r="AH48" i="1" s="1"/>
  <c r="AF49" i="1"/>
  <c r="AH49" i="1" s="1"/>
  <c r="AF50" i="1"/>
  <c r="AH50" i="1" s="1"/>
  <c r="AF51" i="1"/>
  <c r="AH51" i="1" s="1"/>
  <c r="AF52" i="1"/>
  <c r="AH52" i="1" s="1"/>
  <c r="AF53" i="1"/>
  <c r="AH53" i="1" s="1"/>
  <c r="AF54" i="1"/>
  <c r="AH54" i="1" s="1"/>
  <c r="AF55" i="1"/>
  <c r="AH55" i="1" s="1"/>
  <c r="X7" i="1"/>
  <c r="AM7" i="1" s="1"/>
  <c r="X8" i="1"/>
  <c r="X9" i="1"/>
  <c r="X10" i="1"/>
  <c r="X11" i="1"/>
  <c r="AM11" i="1" s="1"/>
  <c r="X12" i="1"/>
  <c r="X13" i="1"/>
  <c r="X14" i="1"/>
  <c r="X15" i="1"/>
  <c r="AM15" i="1" s="1"/>
  <c r="X16" i="1"/>
  <c r="X17" i="1"/>
  <c r="X18" i="1"/>
  <c r="X19" i="1"/>
  <c r="X20" i="1"/>
  <c r="X21" i="1"/>
  <c r="X22" i="1"/>
  <c r="X23" i="1"/>
  <c r="AM23" i="1" s="1"/>
  <c r="X24" i="1"/>
  <c r="AM24" i="1" s="1"/>
  <c r="X25" i="1"/>
  <c r="AM25" i="1" s="1"/>
  <c r="X26" i="1"/>
  <c r="AM26" i="1" s="1"/>
  <c r="X27" i="1"/>
  <c r="AM27" i="1" s="1"/>
  <c r="X28" i="1"/>
  <c r="X29" i="1"/>
  <c r="X30" i="1"/>
  <c r="X31" i="1"/>
  <c r="AM31" i="1" s="1"/>
  <c r="X32" i="1"/>
  <c r="X33" i="1"/>
  <c r="AM33" i="1" s="1"/>
  <c r="X34" i="1"/>
  <c r="AM34" i="1" s="1"/>
  <c r="X35" i="1"/>
  <c r="AM35" i="1" s="1"/>
  <c r="X36" i="1"/>
  <c r="X37" i="1"/>
  <c r="X38" i="1"/>
  <c r="X39" i="1"/>
  <c r="AM39" i="1" s="1"/>
  <c r="X40" i="1"/>
  <c r="AM40" i="1" s="1"/>
  <c r="X41" i="1"/>
  <c r="AM41" i="1" s="1"/>
  <c r="X42" i="1"/>
  <c r="AM42" i="1" s="1"/>
  <c r="X43" i="1"/>
  <c r="AM43" i="1" s="1"/>
  <c r="X44" i="1"/>
  <c r="X45" i="1"/>
  <c r="X46" i="1"/>
  <c r="X47" i="1"/>
  <c r="AM47" i="1" s="1"/>
  <c r="X48" i="1"/>
  <c r="AM48" i="1" s="1"/>
  <c r="X49" i="1"/>
  <c r="AM49" i="1" s="1"/>
  <c r="X50" i="1"/>
  <c r="AM50" i="1" s="1"/>
  <c r="X51" i="1"/>
  <c r="AM51" i="1" s="1"/>
  <c r="X52" i="1"/>
  <c r="X53" i="1"/>
  <c r="X54" i="1"/>
  <c r="X55" i="1"/>
  <c r="AM55" i="1" s="1"/>
  <c r="X6" i="1"/>
  <c r="AF6" i="1"/>
  <c r="S50" i="1"/>
  <c r="U50" i="1" s="1"/>
  <c r="S51" i="1"/>
  <c r="U51" i="1" s="1"/>
  <c r="S52" i="1"/>
  <c r="U52" i="1" s="1"/>
  <c r="S53" i="1"/>
  <c r="U53" i="1" s="1"/>
  <c r="S54" i="1"/>
  <c r="U54" i="1" s="1"/>
  <c r="S55" i="1"/>
  <c r="U55" i="1" s="1"/>
  <c r="S7" i="1"/>
  <c r="S8" i="1"/>
  <c r="U8" i="1" s="1"/>
  <c r="S9" i="1"/>
  <c r="S10" i="1"/>
  <c r="U10" i="1" s="1"/>
  <c r="S11" i="1"/>
  <c r="U11" i="1" s="1"/>
  <c r="S12" i="1"/>
  <c r="U12" i="1" s="1"/>
  <c r="S13" i="1"/>
  <c r="U13" i="1" s="1"/>
  <c r="S14" i="1"/>
  <c r="U14" i="1" s="1"/>
  <c r="S15" i="1"/>
  <c r="U15" i="1" s="1"/>
  <c r="S16" i="1"/>
  <c r="U16" i="1" s="1"/>
  <c r="S17" i="1"/>
  <c r="U17" i="1" s="1"/>
  <c r="S18" i="1"/>
  <c r="S19" i="1"/>
  <c r="U19" i="1" s="1"/>
  <c r="S20" i="1"/>
  <c r="U20" i="1" s="1"/>
  <c r="S21" i="1"/>
  <c r="U21" i="1" s="1"/>
  <c r="S22" i="1"/>
  <c r="U22" i="1" s="1"/>
  <c r="S23" i="1"/>
  <c r="U23" i="1" s="1"/>
  <c r="S24" i="1"/>
  <c r="U24" i="1" s="1"/>
  <c r="S25" i="1"/>
  <c r="U25" i="1" s="1"/>
  <c r="S26" i="1"/>
  <c r="U26" i="1" s="1"/>
  <c r="S27" i="1"/>
  <c r="U27" i="1" s="1"/>
  <c r="S28" i="1"/>
  <c r="U28" i="1" s="1"/>
  <c r="S29" i="1"/>
  <c r="U29" i="1" s="1"/>
  <c r="S30" i="1"/>
  <c r="U30" i="1" s="1"/>
  <c r="S31" i="1"/>
  <c r="U31" i="1" s="1"/>
  <c r="S32" i="1"/>
  <c r="U32" i="1" s="1"/>
  <c r="S33" i="1"/>
  <c r="U33" i="1" s="1"/>
  <c r="S34" i="1"/>
  <c r="U34" i="1" s="1"/>
  <c r="S35" i="1"/>
  <c r="U35" i="1" s="1"/>
  <c r="S36" i="1"/>
  <c r="U36" i="1" s="1"/>
  <c r="S37" i="1"/>
  <c r="U37" i="1" s="1"/>
  <c r="S38" i="1"/>
  <c r="U38" i="1" s="1"/>
  <c r="S39" i="1"/>
  <c r="U39" i="1" s="1"/>
  <c r="S40" i="1"/>
  <c r="U40" i="1" s="1"/>
  <c r="S41" i="1"/>
  <c r="U41" i="1" s="1"/>
  <c r="S42" i="1"/>
  <c r="U42" i="1" s="1"/>
  <c r="S43" i="1"/>
  <c r="U43" i="1" s="1"/>
  <c r="S44" i="1"/>
  <c r="U44" i="1" s="1"/>
  <c r="S45" i="1"/>
  <c r="U45" i="1" s="1"/>
  <c r="S46" i="1"/>
  <c r="U46" i="1" s="1"/>
  <c r="S47" i="1"/>
  <c r="U47" i="1" s="1"/>
  <c r="S48" i="1"/>
  <c r="U48" i="1" s="1"/>
  <c r="S49" i="1"/>
  <c r="U49" i="1" s="1"/>
  <c r="AM32" i="1" l="1"/>
  <c r="AM32" i="41"/>
  <c r="AM35" i="41"/>
  <c r="AM33" i="41"/>
  <c r="X34" i="41"/>
  <c r="X35" i="41"/>
  <c r="X33" i="41"/>
  <c r="W157" i="1"/>
  <c r="W4" i="20" s="1"/>
  <c r="W144" i="20" s="1"/>
  <c r="AF6" i="41"/>
  <c r="V157" i="1"/>
  <c r="V4" i="20" s="1"/>
  <c r="V144" i="20" s="1"/>
  <c r="AE6" i="41"/>
  <c r="V35" i="41"/>
  <c r="W32" i="41"/>
  <c r="V32" i="41"/>
  <c r="AM19" i="1"/>
  <c r="AK59" i="1"/>
  <c r="AK60" i="1"/>
  <c r="AK61" i="1"/>
  <c r="AK58" i="1"/>
  <c r="V34" i="41"/>
  <c r="AA33" i="41"/>
  <c r="Z35" i="41"/>
  <c r="AA32" i="41"/>
  <c r="W34" i="41"/>
  <c r="Z34" i="41"/>
  <c r="AC31" i="41"/>
  <c r="AC35" i="41" s="1"/>
  <c r="AA35" i="41"/>
  <c r="AF60" i="1"/>
  <c r="AF59" i="1"/>
  <c r="AF58" i="1"/>
  <c r="AF61" i="1"/>
  <c r="Y34" i="41"/>
  <c r="W35" i="41"/>
  <c r="Z33" i="41"/>
  <c r="U31" i="41"/>
  <c r="U33" i="41" s="1"/>
  <c r="Y35" i="41"/>
  <c r="Y33" i="41"/>
  <c r="Q157" i="1"/>
  <c r="Q4" i="20" s="1"/>
  <c r="Q144" i="20" s="1"/>
  <c r="S6" i="41"/>
  <c r="P157" i="1"/>
  <c r="P4" i="20" s="1"/>
  <c r="P144" i="20" s="1"/>
  <c r="R6" i="41"/>
  <c r="X59" i="1"/>
  <c r="X58" i="1"/>
  <c r="X60" i="1"/>
  <c r="X61" i="1"/>
  <c r="S157" i="1"/>
  <c r="S4" i="20" s="1"/>
  <c r="S144" i="20" s="1"/>
  <c r="P6" i="41"/>
  <c r="AK31" i="41"/>
  <c r="AK33" i="41" s="1"/>
  <c r="N157" i="1"/>
  <c r="N4" i="20" s="1"/>
  <c r="N144" i="20" s="1"/>
  <c r="G6" i="41"/>
  <c r="L26" i="41"/>
  <c r="L27" i="41"/>
  <c r="L30" i="41"/>
  <c r="L29" i="41"/>
  <c r="L28" i="41"/>
  <c r="K28" i="41"/>
  <c r="K27" i="41"/>
  <c r="K30" i="41"/>
  <c r="K29" i="41"/>
  <c r="K26" i="41"/>
  <c r="J26" i="41"/>
  <c r="J29" i="41"/>
  <c r="J28" i="41"/>
  <c r="J30" i="41"/>
  <c r="J27" i="41"/>
  <c r="I26" i="41"/>
  <c r="I30" i="41"/>
  <c r="I29" i="41"/>
  <c r="I27" i="41"/>
  <c r="I28" i="41"/>
  <c r="H30" i="41"/>
  <c r="H26" i="41"/>
  <c r="H27" i="41"/>
  <c r="H29" i="41"/>
  <c r="H28" i="41"/>
  <c r="AH31" i="41"/>
  <c r="AH32" i="41" s="1"/>
  <c r="K63" i="1"/>
  <c r="N160" i="1" s="1"/>
  <c r="N7" i="20" s="1"/>
  <c r="N147" i="20" s="1"/>
  <c r="K65" i="1"/>
  <c r="K66" i="1"/>
  <c r="N163" i="1" s="1"/>
  <c r="N10" i="20" s="1"/>
  <c r="N150" i="20" s="1"/>
  <c r="K64" i="1"/>
  <c r="N161" i="1" s="1"/>
  <c r="N8" i="20" s="1"/>
  <c r="N148" i="20" s="1"/>
  <c r="U7" i="1"/>
  <c r="S61" i="1"/>
  <c r="S59" i="1"/>
  <c r="S58" i="1"/>
  <c r="S60" i="1"/>
  <c r="N28" i="41"/>
  <c r="N29" i="41"/>
  <c r="N27" i="41"/>
  <c r="N26" i="41"/>
  <c r="N30" i="41"/>
  <c r="M29" i="41"/>
  <c r="M27" i="41"/>
  <c r="M30" i="41"/>
  <c r="M28" i="41"/>
  <c r="M26" i="41"/>
  <c r="L66" i="1"/>
  <c r="O163" i="1" s="1"/>
  <c r="O10" i="20" s="1"/>
  <c r="O150" i="20" s="1"/>
  <c r="L63" i="1"/>
  <c r="O160" i="1" s="1"/>
  <c r="O7" i="20" s="1"/>
  <c r="O147" i="20" s="1"/>
  <c r="X159" i="1"/>
  <c r="X6" i="20" s="1"/>
  <c r="X146" i="20" s="1"/>
  <c r="AB6" i="41"/>
  <c r="AH6" i="1"/>
  <c r="U18" i="1"/>
  <c r="R158" i="1"/>
  <c r="R5" i="20" s="1"/>
  <c r="R145" i="20" s="1"/>
  <c r="U9" i="1"/>
  <c r="M64" i="1"/>
  <c r="L64" i="1"/>
  <c r="O161" i="1" s="1"/>
  <c r="O8" i="20" s="1"/>
  <c r="O148" i="20" s="1"/>
  <c r="L65" i="1"/>
  <c r="O162" i="1" s="1"/>
  <c r="O9" i="20" s="1"/>
  <c r="O149" i="20" s="1"/>
  <c r="AM18" i="1"/>
  <c r="R159" i="1"/>
  <c r="R6" i="20" s="1"/>
  <c r="R146" i="20" s="1"/>
  <c r="M65" i="1"/>
  <c r="O157" i="1"/>
  <c r="O4" i="20" s="1"/>
  <c r="O144" i="20" s="1"/>
  <c r="AG63" i="1"/>
  <c r="Y160" i="1" s="1"/>
  <c r="Y7" i="20" s="1"/>
  <c r="Y147" i="20" s="1"/>
  <c r="AM54" i="1"/>
  <c r="AM46" i="1"/>
  <c r="AM38" i="1"/>
  <c r="AM30" i="1"/>
  <c r="AM22" i="1"/>
  <c r="AM53" i="1"/>
  <c r="AM45" i="1"/>
  <c r="AM37" i="1"/>
  <c r="AM29" i="1"/>
  <c r="AM21" i="1"/>
  <c r="AM13" i="1"/>
  <c r="AN11" i="1"/>
  <c r="AP11" i="1" s="1"/>
  <c r="AE64" i="1"/>
  <c r="AM52" i="1"/>
  <c r="AM44" i="1"/>
  <c r="AM36" i="1"/>
  <c r="AM28" i="1"/>
  <c r="AM20" i="1"/>
  <c r="AM12" i="1"/>
  <c r="AM10" i="1"/>
  <c r="AE63" i="1"/>
  <c r="AE66" i="1"/>
  <c r="AM17" i="1"/>
  <c r="AM9" i="1"/>
  <c r="AM6" i="1"/>
  <c r="AM16" i="1"/>
  <c r="AM8" i="1"/>
  <c r="AM14" i="1"/>
  <c r="AG64" i="1"/>
  <c r="Y161" i="1" s="1"/>
  <c r="Y8" i="20" s="1"/>
  <c r="Y148" i="20" s="1"/>
  <c r="AN24" i="1"/>
  <c r="AP24" i="1" s="1"/>
  <c r="AN35" i="1"/>
  <c r="AP35" i="1" s="1"/>
  <c r="AN19" i="1"/>
  <c r="AP19" i="1" s="1"/>
  <c r="AN52" i="1"/>
  <c r="AP52" i="1" s="1"/>
  <c r="AN40" i="1"/>
  <c r="AP40" i="1" s="1"/>
  <c r="AN43" i="1"/>
  <c r="AP43" i="1" s="1"/>
  <c r="AN27" i="1"/>
  <c r="AP27" i="1" s="1"/>
  <c r="AN6" i="1"/>
  <c r="AN42" i="1"/>
  <c r="AP42" i="1" s="1"/>
  <c r="AN34" i="1"/>
  <c r="AP34" i="1" s="1"/>
  <c r="AN26" i="1"/>
  <c r="AP26" i="1" s="1"/>
  <c r="AN18" i="1"/>
  <c r="AP18" i="1" s="1"/>
  <c r="AN10" i="1"/>
  <c r="AP10" i="1" s="1"/>
  <c r="AN51" i="1"/>
  <c r="AP51" i="1" s="1"/>
  <c r="AN32" i="1"/>
  <c r="AP32" i="1" s="1"/>
  <c r="AN8" i="1"/>
  <c r="AP8" i="1" s="1"/>
  <c r="AN49" i="1"/>
  <c r="AP49" i="1" s="1"/>
  <c r="AN41" i="1"/>
  <c r="AP41" i="1" s="1"/>
  <c r="AN33" i="1"/>
  <c r="AP33" i="1" s="1"/>
  <c r="AN25" i="1"/>
  <c r="AP25" i="1" s="1"/>
  <c r="AN17" i="1"/>
  <c r="AP17" i="1" s="1"/>
  <c r="AN9" i="1"/>
  <c r="AN50" i="1"/>
  <c r="AP50" i="1" s="1"/>
  <c r="AN16" i="1"/>
  <c r="AP16" i="1" s="1"/>
  <c r="AN47" i="1"/>
  <c r="AP47" i="1" s="1"/>
  <c r="AN31" i="1"/>
  <c r="AP31" i="1" s="1"/>
  <c r="AN15" i="1"/>
  <c r="AP15" i="1" s="1"/>
  <c r="AN39" i="1"/>
  <c r="AP39" i="1" s="1"/>
  <c r="AN23" i="1"/>
  <c r="AP23" i="1" s="1"/>
  <c r="AN7" i="1"/>
  <c r="AP7" i="1" s="1"/>
  <c r="AN46" i="1"/>
  <c r="AP46" i="1" s="1"/>
  <c r="AN38" i="1"/>
  <c r="AP38" i="1" s="1"/>
  <c r="AN30" i="1"/>
  <c r="AP30" i="1" s="1"/>
  <c r="AN22" i="1"/>
  <c r="AP22" i="1" s="1"/>
  <c r="AN14" i="1"/>
  <c r="AP14" i="1" s="1"/>
  <c r="AN55" i="1"/>
  <c r="AP55" i="1" s="1"/>
  <c r="AN45" i="1"/>
  <c r="AP45" i="1" s="1"/>
  <c r="AN21" i="1"/>
  <c r="AP21" i="1" s="1"/>
  <c r="AN54" i="1"/>
  <c r="AP54" i="1" s="1"/>
  <c r="AN48" i="1"/>
  <c r="AP48" i="1" s="1"/>
  <c r="AN37" i="1"/>
  <c r="AP37" i="1" s="1"/>
  <c r="AN29" i="1"/>
  <c r="AP29" i="1" s="1"/>
  <c r="AN13" i="1"/>
  <c r="AP13" i="1" s="1"/>
  <c r="AN44" i="1"/>
  <c r="AP44" i="1" s="1"/>
  <c r="AN36" i="1"/>
  <c r="AP36" i="1" s="1"/>
  <c r="AN28" i="1"/>
  <c r="AP28" i="1" s="1"/>
  <c r="AN20" i="1"/>
  <c r="AP20" i="1" s="1"/>
  <c r="AN12" i="1"/>
  <c r="AP12" i="1" s="1"/>
  <c r="AN53" i="1"/>
  <c r="AP53" i="1" s="1"/>
  <c r="AQ63" i="1"/>
  <c r="AF160" i="1" s="1"/>
  <c r="AF7" i="20" s="1"/>
  <c r="AF147" i="20" s="1"/>
  <c r="AA66" i="1"/>
  <c r="AQ66" i="1"/>
  <c r="AF163" i="1" s="1"/>
  <c r="AF10" i="20" s="1"/>
  <c r="AF150" i="20" s="1"/>
  <c r="AB63" i="1"/>
  <c r="AC63" i="1"/>
  <c r="AD66" i="1"/>
  <c r="V64" i="1"/>
  <c r="P161" i="1" s="1"/>
  <c r="P8" i="20" s="1"/>
  <c r="P148" i="20" s="1"/>
  <c r="AG65" i="1"/>
  <c r="Y162" i="1" s="1"/>
  <c r="Y9" i="20" s="1"/>
  <c r="Y149" i="20" s="1"/>
  <c r="AD64" i="1"/>
  <c r="O63" i="1"/>
  <c r="AQ65" i="1"/>
  <c r="AF162" i="1" s="1"/>
  <c r="AF9" i="20" s="1"/>
  <c r="AF149" i="20" s="1"/>
  <c r="Q65" i="1"/>
  <c r="O64" i="1"/>
  <c r="Z65" i="1"/>
  <c r="AD65" i="1"/>
  <c r="W64" i="1"/>
  <c r="Q161" i="1" s="1"/>
  <c r="Q8" i="20" s="1"/>
  <c r="Q148" i="20" s="1"/>
  <c r="N162" i="1"/>
  <c r="N9" i="20" s="1"/>
  <c r="N149" i="20" s="1"/>
  <c r="AA63" i="1"/>
  <c r="W65" i="1"/>
  <c r="Q162" i="1" s="1"/>
  <c r="Q9" i="20" s="1"/>
  <c r="Q149" i="20" s="1"/>
  <c r="P64" i="1"/>
  <c r="O65" i="1"/>
  <c r="AJ66" i="1"/>
  <c r="W163" i="1" s="1"/>
  <c r="W10" i="20" s="1"/>
  <c r="W150" i="20" s="1"/>
  <c r="R64" i="1"/>
  <c r="AI65" i="1"/>
  <c r="V162" i="1" s="1"/>
  <c r="V9" i="20" s="1"/>
  <c r="V149" i="20" s="1"/>
  <c r="R65" i="1"/>
  <c r="W63" i="1"/>
  <c r="Q160" i="1" s="1"/>
  <c r="Q7" i="20" s="1"/>
  <c r="Q147" i="20" s="1"/>
  <c r="R66" i="1"/>
  <c r="AA64" i="1"/>
  <c r="AJ65" i="1"/>
  <c r="W162" i="1" s="1"/>
  <c r="W9" i="20" s="1"/>
  <c r="W149" i="20" s="1"/>
  <c r="Q66" i="1"/>
  <c r="V65" i="1"/>
  <c r="P162" i="1" s="1"/>
  <c r="P9" i="20" s="1"/>
  <c r="P149" i="20" s="1"/>
  <c r="Z64" i="1"/>
  <c r="T64" i="1"/>
  <c r="S161" i="1" s="1"/>
  <c r="S8" i="20" s="1"/>
  <c r="S148" i="20" s="1"/>
  <c r="Q64" i="1"/>
  <c r="N66" i="1"/>
  <c r="V63" i="1"/>
  <c r="P160" i="1" s="1"/>
  <c r="P7" i="20" s="1"/>
  <c r="P147" i="20" s="1"/>
  <c r="N63" i="1"/>
  <c r="AB66" i="1"/>
  <c r="Z63" i="1"/>
  <c r="N64" i="1"/>
  <c r="AB65" i="1"/>
  <c r="AJ64" i="1"/>
  <c r="W161" i="1" s="1"/>
  <c r="W8" i="20" s="1"/>
  <c r="W148" i="20" s="1"/>
  <c r="AI66" i="1"/>
  <c r="V163" i="1" s="1"/>
  <c r="V10" i="20" s="1"/>
  <c r="V150" i="20" s="1"/>
  <c r="AI64" i="1"/>
  <c r="V161" i="1" s="1"/>
  <c r="V8" i="20" s="1"/>
  <c r="V148" i="20" s="1"/>
  <c r="M66" i="1"/>
  <c r="P65" i="1"/>
  <c r="P66" i="1"/>
  <c r="T65" i="1"/>
  <c r="S162" i="1" s="1"/>
  <c r="S9" i="20" s="1"/>
  <c r="S149" i="20" s="1"/>
  <c r="T66" i="1"/>
  <c r="S163" i="1" s="1"/>
  <c r="S10" i="20" s="1"/>
  <c r="S150" i="20" s="1"/>
  <c r="AF56" i="1"/>
  <c r="X157" i="1" s="1"/>
  <c r="X4" i="20" s="1"/>
  <c r="X144" i="20" s="1"/>
  <c r="Y65" i="1"/>
  <c r="U162" i="1" s="1"/>
  <c r="U9" i="20" s="1"/>
  <c r="U149" i="20" s="1"/>
  <c r="Y63" i="1"/>
  <c r="U160" i="1" s="1"/>
  <c r="U7" i="20" s="1"/>
  <c r="U147" i="20" s="1"/>
  <c r="AC64" i="1"/>
  <c r="AC65" i="1"/>
  <c r="Y64" i="1"/>
  <c r="U161" i="1" s="1"/>
  <c r="U8" i="20" s="1"/>
  <c r="U148" i="20" s="1"/>
  <c r="Z159" i="1"/>
  <c r="Z6" i="20" s="1"/>
  <c r="Z146" i="20" s="1"/>
  <c r="X56" i="1"/>
  <c r="T6" i="41" s="1"/>
  <c r="AK56" i="1"/>
  <c r="AG6" i="41" s="1"/>
  <c r="AG26" i="41" s="1"/>
  <c r="S56" i="1"/>
  <c r="R157" i="1" s="1"/>
  <c r="R4" i="20" s="1"/>
  <c r="R144" i="20" s="1"/>
  <c r="AK32" i="41" l="1"/>
  <c r="AG28" i="41"/>
  <c r="AG29" i="41"/>
  <c r="AG27" i="41"/>
  <c r="AG30" i="41"/>
  <c r="AE30" i="41"/>
  <c r="AE27" i="41"/>
  <c r="AE29" i="41"/>
  <c r="AE28" i="41"/>
  <c r="AE26" i="41"/>
  <c r="AF26" i="41"/>
  <c r="AF28" i="41"/>
  <c r="AF30" i="41"/>
  <c r="AF29" i="41"/>
  <c r="AF27" i="41"/>
  <c r="AC34" i="41"/>
  <c r="AC33" i="41"/>
  <c r="U32" i="41"/>
  <c r="AC32" i="41"/>
  <c r="AH60" i="1"/>
  <c r="AH59" i="1"/>
  <c r="AH58" i="1"/>
  <c r="AH61" i="1"/>
  <c r="U35" i="41"/>
  <c r="U34" i="41"/>
  <c r="T28" i="41"/>
  <c r="T27" i="41"/>
  <c r="T29" i="41"/>
  <c r="T30" i="41"/>
  <c r="R26" i="41"/>
  <c r="R27" i="41"/>
  <c r="R29" i="41"/>
  <c r="R28" i="41"/>
  <c r="R30" i="41"/>
  <c r="AH34" i="41"/>
  <c r="AH35" i="41"/>
  <c r="AM61" i="1"/>
  <c r="AM59" i="1"/>
  <c r="AM58" i="1"/>
  <c r="AM60" i="1"/>
  <c r="S28" i="41"/>
  <c r="S29" i="41"/>
  <c r="S30" i="41"/>
  <c r="S27" i="41"/>
  <c r="S26" i="41"/>
  <c r="J31" i="41"/>
  <c r="J32" i="41" s="1"/>
  <c r="AK35" i="41"/>
  <c r="AK34" i="41"/>
  <c r="P28" i="41"/>
  <c r="P27" i="41"/>
  <c r="P30" i="41"/>
  <c r="P26" i="41"/>
  <c r="P29" i="41"/>
  <c r="K31" i="41"/>
  <c r="K34" i="41" s="1"/>
  <c r="AC158" i="1"/>
  <c r="AC5" i="20" s="1"/>
  <c r="AC145" i="20" s="1"/>
  <c r="AP9" i="1"/>
  <c r="I31" i="41"/>
  <c r="I34" i="41" s="1"/>
  <c r="L31" i="41"/>
  <c r="L33" i="41" s="1"/>
  <c r="U61" i="1"/>
  <c r="U60" i="1"/>
  <c r="U59" i="1"/>
  <c r="U58" i="1"/>
  <c r="AH33" i="41"/>
  <c r="H31" i="41"/>
  <c r="H33" i="41" s="1"/>
  <c r="G26" i="41"/>
  <c r="G28" i="41"/>
  <c r="G30" i="41"/>
  <c r="G29" i="41"/>
  <c r="G27" i="41"/>
  <c r="N31" i="41"/>
  <c r="N33" i="41" s="1"/>
  <c r="O6" i="41"/>
  <c r="O26" i="41" s="1"/>
  <c r="M31" i="41"/>
  <c r="M35" i="41" s="1"/>
  <c r="AN59" i="1"/>
  <c r="AN58" i="1"/>
  <c r="AN61" i="1"/>
  <c r="AN60" i="1"/>
  <c r="AB27" i="41"/>
  <c r="AB30" i="41"/>
  <c r="AB29" i="41"/>
  <c r="AB28" i="41"/>
  <c r="AP6" i="1"/>
  <c r="AB26" i="41"/>
  <c r="AB159" i="1"/>
  <c r="AB6" i="20" s="1"/>
  <c r="AB146" i="20" s="1"/>
  <c r="T26" i="41"/>
  <c r="AC159" i="1"/>
  <c r="AC6" i="20" s="1"/>
  <c r="AC146" i="20" s="1"/>
  <c r="N2" i="41"/>
  <c r="O2" i="41" s="1"/>
  <c r="P2" i="41" s="1"/>
  <c r="Q2" i="41" s="1"/>
  <c r="R2" i="41" s="1"/>
  <c r="S2" i="41" s="1"/>
  <c r="T2" i="41" s="1"/>
  <c r="U2" i="41" s="1"/>
  <c r="V2" i="41" s="1"/>
  <c r="T159" i="1"/>
  <c r="T6" i="20" s="1"/>
  <c r="T146" i="20" s="1"/>
  <c r="AE158" i="1"/>
  <c r="AE5" i="20" s="1"/>
  <c r="AE145" i="20" s="1"/>
  <c r="T158" i="1"/>
  <c r="T5" i="20" s="1"/>
  <c r="T145" i="20" s="1"/>
  <c r="AM56" i="1"/>
  <c r="AN56" i="1"/>
  <c r="AC157" i="1" s="1"/>
  <c r="AC4" i="20" s="1"/>
  <c r="AC144" i="20" s="1"/>
  <c r="U56" i="1"/>
  <c r="AF62" i="1"/>
  <c r="AF66" i="1" s="1"/>
  <c r="X163" i="1" s="1"/>
  <c r="X10" i="20" s="1"/>
  <c r="X150" i="20" s="1"/>
  <c r="X62" i="1"/>
  <c r="X66" i="1" s="1"/>
  <c r="AK62" i="1"/>
  <c r="AK63" i="1" s="1"/>
  <c r="S62" i="1"/>
  <c r="S64" i="1" s="1"/>
  <c r="R161" i="1" s="1"/>
  <c r="R8" i="20" s="1"/>
  <c r="R148" i="20" s="1"/>
  <c r="AH56" i="1"/>
  <c r="Z157" i="1" s="1"/>
  <c r="Z4" i="20" s="1"/>
  <c r="Z144" i="20" s="1"/>
  <c r="AF31" i="41" l="1"/>
  <c r="AF34" i="41" s="1"/>
  <c r="AE31" i="41"/>
  <c r="AE32" i="41" s="1"/>
  <c r="AG31" i="41"/>
  <c r="AG34" i="41" s="1"/>
  <c r="K35" i="41"/>
  <c r="I33" i="41"/>
  <c r="I35" i="41"/>
  <c r="J35" i="41"/>
  <c r="J33" i="41"/>
  <c r="L32" i="41"/>
  <c r="AJ6" i="41"/>
  <c r="AJ27" i="41" s="1"/>
  <c r="AD6" i="41"/>
  <c r="R31" i="41"/>
  <c r="R32" i="41" s="1"/>
  <c r="AB157" i="1"/>
  <c r="AB4" i="20" s="1"/>
  <c r="AB144" i="20" s="1"/>
  <c r="AI6" i="41"/>
  <c r="J34" i="41"/>
  <c r="S31" i="41"/>
  <c r="S34" i="41" s="1"/>
  <c r="T31" i="41"/>
  <c r="T34" i="41" s="1"/>
  <c r="L34" i="41"/>
  <c r="P31" i="41"/>
  <c r="P33" i="41" s="1"/>
  <c r="L35" i="41"/>
  <c r="G31" i="41"/>
  <c r="G32" i="41" s="1"/>
  <c r="H34" i="41"/>
  <c r="I32" i="41"/>
  <c r="K33" i="41"/>
  <c r="H35" i="41"/>
  <c r="K32" i="41"/>
  <c r="H32" i="41"/>
  <c r="N34" i="41"/>
  <c r="O30" i="41"/>
  <c r="N32" i="41"/>
  <c r="M32" i="41"/>
  <c r="M33" i="41"/>
  <c r="N35" i="41"/>
  <c r="O27" i="41"/>
  <c r="T157" i="1"/>
  <c r="T4" i="20" s="1"/>
  <c r="T144" i="20" s="1"/>
  <c r="Q6" i="41"/>
  <c r="Q26" i="41" s="1"/>
  <c r="O28" i="41"/>
  <c r="O29" i="41"/>
  <c r="M34" i="41"/>
  <c r="AP61" i="1"/>
  <c r="AP60" i="1"/>
  <c r="AP59" i="1"/>
  <c r="AP58" i="1"/>
  <c r="AB31" i="41"/>
  <c r="AB33" i="41" s="1"/>
  <c r="AE159" i="1"/>
  <c r="AE6" i="20" s="1"/>
  <c r="AE146" i="20" s="1"/>
  <c r="AN62" i="1"/>
  <c r="AN66" i="1" s="1"/>
  <c r="AC163" i="1" s="1"/>
  <c r="AC10" i="20" s="1"/>
  <c r="AC150" i="20" s="1"/>
  <c r="AM62" i="1"/>
  <c r="AM63" i="1" s="1"/>
  <c r="AB160" i="1" s="1"/>
  <c r="AB7" i="20" s="1"/>
  <c r="AB147" i="20" s="1"/>
  <c r="AP56" i="1"/>
  <c r="AE157" i="1" s="1"/>
  <c r="AE4" i="20" s="1"/>
  <c r="AE144" i="20" s="1"/>
  <c r="X63" i="1"/>
  <c r="S66" i="1"/>
  <c r="R163" i="1" s="1"/>
  <c r="R10" i="20" s="1"/>
  <c r="R150" i="20" s="1"/>
  <c r="X64" i="1"/>
  <c r="X65" i="1"/>
  <c r="AF64" i="1"/>
  <c r="X161" i="1" s="1"/>
  <c r="X8" i="20" s="1"/>
  <c r="X148" i="20" s="1"/>
  <c r="S63" i="1"/>
  <c r="R160" i="1" s="1"/>
  <c r="R7" i="20" s="1"/>
  <c r="R147" i="20" s="1"/>
  <c r="AF63" i="1"/>
  <c r="X160" i="1" s="1"/>
  <c r="X7" i="20" s="1"/>
  <c r="X147" i="20" s="1"/>
  <c r="AF65" i="1"/>
  <c r="X162" i="1" s="1"/>
  <c r="X9" i="20" s="1"/>
  <c r="X149" i="20" s="1"/>
  <c r="AK65" i="1"/>
  <c r="AK64" i="1"/>
  <c r="S65" i="1"/>
  <c r="R162" i="1" s="1"/>
  <c r="R9" i="20" s="1"/>
  <c r="R149" i="20" s="1"/>
  <c r="AK66" i="1"/>
  <c r="AH62" i="1"/>
  <c r="AH65" i="1" s="1"/>
  <c r="Z162" i="1" s="1"/>
  <c r="Z9" i="20" s="1"/>
  <c r="Z149" i="20" s="1"/>
  <c r="U62" i="1"/>
  <c r="U66" i="1" s="1"/>
  <c r="T163" i="1" s="1"/>
  <c r="T10" i="20" s="1"/>
  <c r="T150" i="20" s="1"/>
  <c r="AL62" i="1"/>
  <c r="AL66" i="1" s="1"/>
  <c r="AA163" i="1" s="1"/>
  <c r="AA10" i="20" s="1"/>
  <c r="AA150" i="20" s="1"/>
  <c r="T32" i="41" l="1"/>
  <c r="AE35" i="41"/>
  <c r="AG32" i="41"/>
  <c r="AG35" i="41"/>
  <c r="AJ26" i="41"/>
  <c r="AE34" i="41"/>
  <c r="AE33" i="41"/>
  <c r="AF35" i="41"/>
  <c r="AG33" i="41"/>
  <c r="AF32" i="41"/>
  <c r="AJ28" i="41"/>
  <c r="AF33" i="41"/>
  <c r="AJ29" i="41"/>
  <c r="AJ30" i="41"/>
  <c r="R35" i="41"/>
  <c r="G33" i="41"/>
  <c r="R33" i="41"/>
  <c r="S33" i="41"/>
  <c r="AD30" i="41"/>
  <c r="AD28" i="41"/>
  <c r="AD29" i="41"/>
  <c r="AD27" i="41"/>
  <c r="AD26" i="41"/>
  <c r="AI29" i="41"/>
  <c r="AI28" i="41"/>
  <c r="AI27" i="41"/>
  <c r="AI30" i="41"/>
  <c r="T33" i="41"/>
  <c r="S35" i="41"/>
  <c r="T35" i="41"/>
  <c r="S32" i="41"/>
  <c r="R34" i="41"/>
  <c r="AI26" i="41"/>
  <c r="P35" i="41"/>
  <c r="G35" i="41"/>
  <c r="G34" i="41"/>
  <c r="P32" i="41"/>
  <c r="P34" i="41"/>
  <c r="O31" i="41"/>
  <c r="O35" i="41" s="1"/>
  <c r="AL6" i="41"/>
  <c r="AL29" i="41" s="1"/>
  <c r="Q29" i="41"/>
  <c r="Q30" i="41"/>
  <c r="Q28" i="41"/>
  <c r="Q27" i="41"/>
  <c r="AB34" i="41"/>
  <c r="AB35" i="41"/>
  <c r="AB32" i="41"/>
  <c r="AN65" i="1"/>
  <c r="AC162" i="1" s="1"/>
  <c r="AC9" i="20" s="1"/>
  <c r="AC149" i="20" s="1"/>
  <c r="AN63" i="1"/>
  <c r="AC160" i="1" s="1"/>
  <c r="AC7" i="20" s="1"/>
  <c r="AC147" i="20" s="1"/>
  <c r="AN64" i="1"/>
  <c r="AC161" i="1" s="1"/>
  <c r="AC8" i="20" s="1"/>
  <c r="AC148" i="20" s="1"/>
  <c r="AM66" i="1"/>
  <c r="AB163" i="1" s="1"/>
  <c r="AB10" i="20" s="1"/>
  <c r="AB150" i="20" s="1"/>
  <c r="AM64" i="1"/>
  <c r="AB161" i="1" s="1"/>
  <c r="AB8" i="20" s="1"/>
  <c r="AB148" i="20" s="1"/>
  <c r="AM65" i="1"/>
  <c r="AB162" i="1" s="1"/>
  <c r="AB9" i="20" s="1"/>
  <c r="AB149" i="20" s="1"/>
  <c r="AP62" i="1"/>
  <c r="AP64" i="1" s="1"/>
  <c r="AE161" i="1" s="1"/>
  <c r="AE8" i="20" s="1"/>
  <c r="AE148" i="20" s="1"/>
  <c r="AL65" i="1"/>
  <c r="AA162" i="1" s="1"/>
  <c r="AA9" i="20" s="1"/>
  <c r="AA149" i="20" s="1"/>
  <c r="U65" i="1"/>
  <c r="T162" i="1" s="1"/>
  <c r="T9" i="20" s="1"/>
  <c r="T149" i="20" s="1"/>
  <c r="AH63" i="1"/>
  <c r="Z160" i="1" s="1"/>
  <c r="Z7" i="20" s="1"/>
  <c r="Z147" i="20" s="1"/>
  <c r="AL63" i="1"/>
  <c r="AA160" i="1" s="1"/>
  <c r="AA7" i="20" s="1"/>
  <c r="AA147" i="20" s="1"/>
  <c r="AH64" i="1"/>
  <c r="Z161" i="1" s="1"/>
  <c r="Z8" i="20" s="1"/>
  <c r="Z148" i="20" s="1"/>
  <c r="AL64" i="1"/>
  <c r="AA161" i="1" s="1"/>
  <c r="AA8" i="20" s="1"/>
  <c r="AA148" i="20" s="1"/>
  <c r="U63" i="1"/>
  <c r="T160" i="1" s="1"/>
  <c r="T7" i="20" s="1"/>
  <c r="T147" i="20" s="1"/>
  <c r="U64" i="1"/>
  <c r="T161" i="1" s="1"/>
  <c r="T8" i="20" s="1"/>
  <c r="T148" i="20" s="1"/>
  <c r="AH66" i="1"/>
  <c r="Z163" i="1" s="1"/>
  <c r="Z10" i="20" s="1"/>
  <c r="Z150" i="20" s="1"/>
  <c r="AO62" i="1"/>
  <c r="AO65" i="1" s="1"/>
  <c r="AD162" i="1" s="1"/>
  <c r="AD9" i="20" s="1"/>
  <c r="AD149" i="20" s="1"/>
  <c r="AJ31" i="41" l="1"/>
  <c r="AJ35" i="41" s="1"/>
  <c r="AD31" i="41"/>
  <c r="AI31" i="41"/>
  <c r="AI34" i="41" s="1"/>
  <c r="AL26" i="41"/>
  <c r="AL30" i="41"/>
  <c r="O32" i="41"/>
  <c r="O34" i="41"/>
  <c r="O33" i="41"/>
  <c r="AL28" i="41"/>
  <c r="AL27" i="41"/>
  <c r="Q31" i="41"/>
  <c r="Q34" i="41" s="1"/>
  <c r="AP66" i="1"/>
  <c r="AE163" i="1" s="1"/>
  <c r="AE10" i="20" s="1"/>
  <c r="AE150" i="20" s="1"/>
  <c r="AP65" i="1"/>
  <c r="AE162" i="1" s="1"/>
  <c r="AE9" i="20" s="1"/>
  <c r="AE149" i="20" s="1"/>
  <c r="AP63" i="1"/>
  <c r="AE160" i="1" s="1"/>
  <c r="AE7" i="20" s="1"/>
  <c r="AE147" i="20" s="1"/>
  <c r="AO64" i="1"/>
  <c r="AD161" i="1" s="1"/>
  <c r="AD8" i="20" s="1"/>
  <c r="AD148" i="20" s="1"/>
  <c r="AO63" i="1"/>
  <c r="AD160" i="1" s="1"/>
  <c r="AD7" i="20" s="1"/>
  <c r="AD147" i="20" s="1"/>
  <c r="AO66" i="1"/>
  <c r="AD163" i="1" s="1"/>
  <c r="AD10" i="20" s="1"/>
  <c r="AD150" i="20" s="1"/>
  <c r="AJ33" i="41" l="1"/>
  <c r="AJ32" i="41"/>
  <c r="AJ34" i="41"/>
  <c r="AI32" i="41"/>
  <c r="AI33" i="41"/>
  <c r="AI35" i="41"/>
  <c r="AD33" i="41"/>
  <c r="AD34" i="41"/>
  <c r="AD32" i="41"/>
  <c r="AD35" i="41"/>
  <c r="AL31" i="41"/>
  <c r="AL33" i="41" s="1"/>
  <c r="Q35" i="41"/>
  <c r="Q33" i="41"/>
  <c r="Q32" i="41"/>
  <c r="AL32" i="41" l="1"/>
  <c r="AL35" i="41"/>
  <c r="AL34" i="41"/>
</calcChain>
</file>

<file path=xl/sharedStrings.xml><?xml version="1.0" encoding="utf-8"?>
<sst xmlns="http://schemas.openxmlformats.org/spreadsheetml/2006/main" count="2863" uniqueCount="296">
  <si>
    <t>№</t>
  </si>
  <si>
    <t>Şagird</t>
  </si>
  <si>
    <t>ata adı</t>
  </si>
  <si>
    <t>Cinsi</t>
  </si>
  <si>
    <t>soyadı</t>
  </si>
  <si>
    <t>adı</t>
  </si>
  <si>
    <t>KSQ</t>
  </si>
  <si>
    <t>BSQ</t>
  </si>
  <si>
    <t>KSQ orta</t>
  </si>
  <si>
    <t>Monitorinq-1</t>
  </si>
  <si>
    <t>Monitorinq-2</t>
  </si>
  <si>
    <t>Monitorinq</t>
  </si>
  <si>
    <t>Summativ qiymətləndirmələr</t>
  </si>
  <si>
    <t>Monitorinq-3</t>
  </si>
  <si>
    <t>Monitorinq-4</t>
  </si>
  <si>
    <t>İllik</t>
  </si>
  <si>
    <t>Buraxılış imtahanı nəticəsi</t>
  </si>
  <si>
    <t>İllik nailiyyətlər</t>
  </si>
  <si>
    <t>Fənn üzrə nailiyyətlər cədvəli</t>
  </si>
  <si>
    <t>I yarımil üzrə nailiyyətlər</t>
  </si>
  <si>
    <t>II yarımil üzrə nailiyyətlər</t>
  </si>
  <si>
    <r>
      <rPr>
        <sz val="11"/>
        <color theme="1"/>
        <rFont val="Calibri"/>
        <family val="2"/>
      </rPr>
      <t>(60</t>
    </r>
    <r>
      <rPr>
        <sz val="11"/>
        <color theme="1"/>
        <rFont val="Book Antiqua"/>
        <family val="1"/>
      </rPr>
      <t>-80</t>
    </r>
    <r>
      <rPr>
        <sz val="11"/>
        <color theme="1"/>
        <rFont val="Calibri"/>
        <family val="2"/>
      </rPr>
      <t>]</t>
    </r>
  </si>
  <si>
    <r>
      <rPr>
        <sz val="11"/>
        <color theme="1"/>
        <rFont val="Calibri"/>
        <family val="2"/>
      </rPr>
      <t>(80</t>
    </r>
    <r>
      <rPr>
        <sz val="11"/>
        <color theme="1"/>
        <rFont val="Book Antiqua"/>
        <family val="1"/>
      </rPr>
      <t>-100</t>
    </r>
    <r>
      <rPr>
        <sz val="11"/>
        <color theme="1"/>
        <rFont val="Calibri"/>
        <family val="2"/>
      </rPr>
      <t>]</t>
    </r>
  </si>
  <si>
    <t>Cəmi</t>
  </si>
  <si>
    <t>Diaqnostik-2</t>
  </si>
  <si>
    <t>Diaqnostik-1</t>
  </si>
  <si>
    <t>D</t>
  </si>
  <si>
    <t>Öİ</t>
  </si>
  <si>
    <t>Səviyyələr üzrə paylanma (%-lə)</t>
  </si>
  <si>
    <t>Sinif</t>
  </si>
  <si>
    <t>Fənn</t>
  </si>
  <si>
    <t>Fənn müəllimi</t>
  </si>
  <si>
    <t>Ötən tədris ili üzrə illik nəticə</t>
  </si>
  <si>
    <t xml:space="preserve">İştirak edilməyən dərslərin sayı </t>
  </si>
  <si>
    <t>Doğum tarixi</t>
  </si>
  <si>
    <t>Səviyyələr üzrə paylanma (şagird sayı ilə)</t>
  </si>
  <si>
    <t>Şagird sayı</t>
  </si>
  <si>
    <r>
      <t xml:space="preserve">Fənn müəllimi </t>
    </r>
    <r>
      <rPr>
        <i/>
        <sz val="16"/>
        <color theme="1"/>
        <rFont val="Book Antiqua"/>
        <family val="1"/>
      </rPr>
      <t>(soyadı, adı və atasının adı)</t>
    </r>
  </si>
  <si>
    <t>Gün</t>
  </si>
  <si>
    <t>Ay</t>
  </si>
  <si>
    <t>İl</t>
  </si>
  <si>
    <t>İndeks</t>
  </si>
  <si>
    <t>oğlanlar</t>
  </si>
  <si>
    <t>cəmi</t>
  </si>
  <si>
    <t>Buraxılan dərslərin faizi</t>
  </si>
  <si>
    <t>qızlar</t>
  </si>
  <si>
    <t>Diaqnostik 1</t>
  </si>
  <si>
    <t>Monitorinq 1</t>
  </si>
  <si>
    <t>Monitorinq 2</t>
  </si>
  <si>
    <t>Diaqnostik 2</t>
  </si>
  <si>
    <t>Monitorinq 3</t>
  </si>
  <si>
    <t>Monitorinq 4</t>
  </si>
  <si>
    <t>"KSQ orta" orta illik</t>
  </si>
  <si>
    <t>"BSQ" orta illik</t>
  </si>
  <si>
    <t>"Monitorinq" orta illik</t>
  </si>
  <si>
    <t>"Diaqnostik" orta illik</t>
  </si>
  <si>
    <t>I yarımil üzrə nəticələr</t>
  </si>
  <si>
    <t>II yarımil üzrə nəticələr</t>
  </si>
  <si>
    <t>Tədris ili üzrə nəticələr</t>
  </si>
  <si>
    <t>[0-30]</t>
  </si>
  <si>
    <t>(30-60]</t>
  </si>
  <si>
    <t>(60-80]</t>
  </si>
  <si>
    <t>(80-100]</t>
  </si>
  <si>
    <t>Bölmə</t>
  </si>
  <si>
    <t>Kimya</t>
  </si>
  <si>
    <t>İllik dərs saatı</t>
  </si>
  <si>
    <t>Monitorinq orta</t>
  </si>
  <si>
    <t>Fənn üzrə nailiyyətlərin diaqramları</t>
  </si>
  <si>
    <t>Tədris dili</t>
  </si>
  <si>
    <t>Ədəbiyyat</t>
  </si>
  <si>
    <t>Dövlət dili</t>
  </si>
  <si>
    <t>Xarici dil</t>
  </si>
  <si>
    <t>Riyaziyyat</t>
  </si>
  <si>
    <t>İnformatika</t>
  </si>
  <si>
    <t>Azərbaycan tarixi</t>
  </si>
  <si>
    <t>Ümumi tarix</t>
  </si>
  <si>
    <t>Fizika</t>
  </si>
  <si>
    <t>Biologiya</t>
  </si>
  <si>
    <t>Coğrafiya</t>
  </si>
  <si>
    <t>Həyat bilgisi</t>
  </si>
  <si>
    <t>Texnologiya</t>
  </si>
  <si>
    <t>Fiziki tərbiyə</t>
  </si>
  <si>
    <t>Musiqi</t>
  </si>
  <si>
    <t>Təsviri incəsənət</t>
  </si>
  <si>
    <t>Çağırışaqədərki hazırlıq</t>
  </si>
  <si>
    <t>Valideynin mobil telefon nömrəsi</t>
  </si>
  <si>
    <t>Ünvan</t>
  </si>
  <si>
    <t>Telefon nömrələri</t>
  </si>
  <si>
    <t>Şagirdlər haqqında məlumat</t>
  </si>
  <si>
    <t>Ev telefonunun nömrəsi</t>
  </si>
  <si>
    <r>
      <t xml:space="preserve">Sinif rəhbəri </t>
    </r>
    <r>
      <rPr>
        <i/>
        <sz val="14"/>
        <color theme="1"/>
        <rFont val="Book Antiqua"/>
        <family val="1"/>
      </rPr>
      <t>(soyadı, adı və atasının adı)</t>
    </r>
  </si>
  <si>
    <t>Şagirdin 
mobil telefon nömrəsi</t>
  </si>
  <si>
    <t>Qızlar</t>
  </si>
  <si>
    <t>Ümumi</t>
  </si>
  <si>
    <t>Oğlanlar</t>
  </si>
  <si>
    <t>Struktur</t>
  </si>
  <si>
    <t>Bu səhifədə heç bir qeyd aparılmır!</t>
  </si>
  <si>
    <t>Fənlərin kodu</t>
  </si>
  <si>
    <t xml:space="preserve">Cəmi  </t>
  </si>
  <si>
    <t>UTİS kod</t>
  </si>
  <si>
    <t>Sinif rəhbəri</t>
  </si>
  <si>
    <t>Müəllimin soyadı, adı və atasının adı</t>
  </si>
  <si>
    <t>Mobil telefon nömrəsi</t>
  </si>
  <si>
    <t>Mail adresi</t>
  </si>
  <si>
    <t>Müəllimlər haqqında məlumat</t>
  </si>
  <si>
    <t>İkinci xarici dil</t>
  </si>
  <si>
    <t>Əlavə</t>
  </si>
  <si>
    <t>I yarımil</t>
  </si>
  <si>
    <t>II yarımil</t>
  </si>
  <si>
    <t>Yekun</t>
  </si>
  <si>
    <t>Elektron hesabat modeli BŞTİ-nin müdiri Mehriban xanım Vəliyevanın ideya müəllifliyi əsasında İdarənin Keyfiyyətə nəzarət sektoru tərəfindən tam olaraq 2022-ci ilin yanvar ayında yaradılmışdır.</t>
  </si>
  <si>
    <t>Fənn olimpiadaları</t>
  </si>
  <si>
    <t>Final turun qalibləri</t>
  </si>
  <si>
    <t>Fənn müsabiqələri</t>
  </si>
  <si>
    <t>I yer</t>
  </si>
  <si>
    <t>II yer</t>
  </si>
  <si>
    <t>III yer</t>
  </si>
  <si>
    <t>Həvəsləndirici</t>
  </si>
  <si>
    <t>Təqdimat müsabiqələri</t>
  </si>
  <si>
    <t>Məntiq olimpiadası</t>
  </si>
  <si>
    <t>STEAM yarışları</t>
  </si>
  <si>
    <t>Digər milli və beynəlxalq olimpiada, yarış və müsabiqələr</t>
  </si>
  <si>
    <t>Təqdimat Müsabiqələri</t>
  </si>
  <si>
    <t>Fənlər üzrə ümumi dinamika</t>
  </si>
  <si>
    <t>Atayev</t>
  </si>
  <si>
    <t>Ayxan</t>
  </si>
  <si>
    <t>Zöhrab</t>
  </si>
  <si>
    <t>k</t>
  </si>
  <si>
    <t>050-436-14-61</t>
  </si>
  <si>
    <t>050-422-39-90</t>
  </si>
  <si>
    <t>Binəqədi rayonu M.Ə.Rəsulzadə qəs. Əli Məmmədov küçəsi</t>
  </si>
  <si>
    <t>Bayramlı</t>
  </si>
  <si>
    <t>Məhəmməd</t>
  </si>
  <si>
    <t>Rafiq</t>
  </si>
  <si>
    <t>070-532-09-33</t>
  </si>
  <si>
    <t>050-470-55-81</t>
  </si>
  <si>
    <t>412-23-03</t>
  </si>
  <si>
    <t>Binəqədi rayonu 1-ci mədən 43-cü korpus</t>
  </si>
  <si>
    <t>Əhmədov</t>
  </si>
  <si>
    <t>Şahin</t>
  </si>
  <si>
    <t>077-422-75-13</t>
  </si>
  <si>
    <t>412-50-38</t>
  </si>
  <si>
    <t>Bakı şəh.,Binəqədi ray.,M.Ə.Rəsulzadə qəs.,Fəxrəddin Şahbazov küç., ev46</t>
  </si>
  <si>
    <t>Əhmədova</t>
  </si>
  <si>
    <t>Məleykə</t>
  </si>
  <si>
    <t>q</t>
  </si>
  <si>
    <t>055-633-35-72</t>
  </si>
  <si>
    <t>Əsədov</t>
  </si>
  <si>
    <t>İlhan</t>
  </si>
  <si>
    <t>Şükür</t>
  </si>
  <si>
    <t>050-370-30-41</t>
  </si>
  <si>
    <t>412-67-42</t>
  </si>
  <si>
    <t>Binəqədi rayonu M.Ə.Rəsulzadə qəs.Ağa Neymətulla küç. 6.9</t>
  </si>
  <si>
    <t>Hacızadə</t>
  </si>
  <si>
    <t>Nurcan</t>
  </si>
  <si>
    <t>Üzeyir</t>
  </si>
  <si>
    <t>050-885-88-47</t>
  </si>
  <si>
    <t>412-00-62</t>
  </si>
  <si>
    <t>Binəqədi ray.,Rəsulzadə qəs.,Zahid Qənbərov küç.,ev1 mənzil 7</t>
  </si>
  <si>
    <t>Həsənov</t>
  </si>
  <si>
    <t>Mansur</t>
  </si>
  <si>
    <t>Elnur</t>
  </si>
  <si>
    <t>070-566-42-66</t>
  </si>
  <si>
    <t>070-804-00-10</t>
  </si>
  <si>
    <t>412-74-77</t>
  </si>
  <si>
    <t>Binəqədi ray.,Mədən 1 korpus 43 ev 668</t>
  </si>
  <si>
    <t>Hüseynli</t>
  </si>
  <si>
    <t>Hüseyn</t>
  </si>
  <si>
    <t>Vahid</t>
  </si>
  <si>
    <t>050-536-33-24</t>
  </si>
  <si>
    <t>Binəqədi ray.,Zəngəzur küçəsi</t>
  </si>
  <si>
    <t>Hüseynova</t>
  </si>
  <si>
    <t>Şəhanə</t>
  </si>
  <si>
    <t>Teymur</t>
  </si>
  <si>
    <t>070-510-77-06</t>
  </si>
  <si>
    <t>Binəqədi ray., Baksol</t>
  </si>
  <si>
    <t>Xəlilzadə</t>
  </si>
  <si>
    <t>Fatimə</t>
  </si>
  <si>
    <t>Əziz</t>
  </si>
  <si>
    <t>077-734-00-49</t>
  </si>
  <si>
    <t>Novxanı kəndi,yeni tikililər</t>
  </si>
  <si>
    <t>İsayeva</t>
  </si>
  <si>
    <t>Rəbiyə</t>
  </si>
  <si>
    <t>Şəhavat</t>
  </si>
  <si>
    <t>077-331-39-05</t>
  </si>
  <si>
    <t>412-37-39</t>
  </si>
  <si>
    <t>Bakı şəh.,Binəqədi ray.,Rəsulzadə qəs., 8 mart küç.,ev8</t>
  </si>
  <si>
    <t>Qasımov</t>
  </si>
  <si>
    <t>Şamil</t>
  </si>
  <si>
    <t>Ramin</t>
  </si>
  <si>
    <t>050-688-14-40</t>
  </si>
  <si>
    <t>Qocayeva</t>
  </si>
  <si>
    <t>Qüdrət</t>
  </si>
  <si>
    <t>Mehdiyev</t>
  </si>
  <si>
    <t>Mərhəmət</t>
  </si>
  <si>
    <t>Elsevər</t>
  </si>
  <si>
    <t>070-390-26-42</t>
  </si>
  <si>
    <t>412-46-99</t>
  </si>
  <si>
    <t>Binəqədi ray.,Rəsulzadə qəs.,Həmidə xanım Məmmədquluzadə ev22</t>
  </si>
  <si>
    <t>Musayeva</t>
  </si>
  <si>
    <t>Selcan</t>
  </si>
  <si>
    <t>Emil</t>
  </si>
  <si>
    <t>050-514-70-43</t>
  </si>
  <si>
    <t>Nəsirov</t>
  </si>
  <si>
    <t>Əli</t>
  </si>
  <si>
    <t>Azər</t>
  </si>
  <si>
    <t>077-621-5702</t>
  </si>
  <si>
    <t>Nərimanov ray.,Ziya Bünyadov prospekti PY-UA 38 10</t>
  </si>
  <si>
    <t>Sarı</t>
  </si>
  <si>
    <t>Xəlil</t>
  </si>
  <si>
    <t>Ruslan</t>
  </si>
  <si>
    <t>055-656-52-07</t>
  </si>
  <si>
    <t>Şirinov</t>
  </si>
  <si>
    <t>Elxan</t>
  </si>
  <si>
    <t>Samir</t>
  </si>
  <si>
    <t>050-827-52-02</t>
  </si>
  <si>
    <t>050-530-49-49</t>
  </si>
  <si>
    <t>Ağayev</t>
  </si>
  <si>
    <t>Nahid</t>
  </si>
  <si>
    <t>050-575-99-83</t>
  </si>
  <si>
    <t>077-510-94-62</t>
  </si>
  <si>
    <t>Məmmədov</t>
  </si>
  <si>
    <t>Raul</t>
  </si>
  <si>
    <t>Vügar</t>
  </si>
  <si>
    <t>412-65-69</t>
  </si>
  <si>
    <t xml:space="preserve"> Binəqədi rayonu M.Ə.Rəsulzadə qəs. Z Qəmbərov küş.</t>
  </si>
  <si>
    <t>İlham</t>
  </si>
  <si>
    <t>e</t>
  </si>
  <si>
    <t>Azərbaycan</t>
  </si>
  <si>
    <t>Məhərrəmova Cəmilə Kərəm</t>
  </si>
  <si>
    <t>Vüqar</t>
  </si>
  <si>
    <t>1342574,       1341920</t>
  </si>
  <si>
    <t>1783910,       1785387</t>
  </si>
  <si>
    <t>Səfərova Elnarə Yəhya</t>
  </si>
  <si>
    <t>Abbasova Maral Nadir, Əbülfətova Vəfa Nəriman</t>
  </si>
  <si>
    <t>Ələkbərova Tamila Səməd, Həsənova Kəmalə Faiq</t>
  </si>
  <si>
    <t>Həmidova Yazgül Bayram</t>
  </si>
  <si>
    <t>Bayramova Tahirə Müslüm</t>
  </si>
  <si>
    <t>Süleymanava Nərminə Əlövsət</t>
  </si>
  <si>
    <t>Hüseynova Rəna Qədir</t>
  </si>
  <si>
    <t>Həmidova Məlahət Mənsub</t>
  </si>
  <si>
    <t>Məmmədova Sevil Zahid</t>
  </si>
  <si>
    <t>Atakişiyeva Səadət Hüseyin, Məmmədova Rübabə Rəsul</t>
  </si>
  <si>
    <t>Xəlilova Bahar Xəlil, İsgəndərova İrina Qasım</t>
  </si>
  <si>
    <t>Həşimova Fəridə Həşim</t>
  </si>
  <si>
    <t>Quliyeva Təranə Xanlar</t>
  </si>
  <si>
    <t>1274639,   1275210</t>
  </si>
  <si>
    <t>055-780-88-82,        050-369-85-55</t>
  </si>
  <si>
    <t>526-34-69,        431-86-89</t>
  </si>
  <si>
    <t>055-636-90-64</t>
  </si>
  <si>
    <t>412-39-69</t>
  </si>
  <si>
    <t>yaz.gul.15@mail.ru</t>
  </si>
  <si>
    <t>1238796,         1238986</t>
  </si>
  <si>
    <t>055-560-60-44,          055-661-63-58</t>
  </si>
  <si>
    <t>412-51-97,        412-50-64</t>
  </si>
  <si>
    <t xml:space="preserve">elekbarovatamella@gmail.com,                 kamala-hesenova@mail.ru   </t>
  </si>
  <si>
    <t>050-418-21-71</t>
  </si>
  <si>
    <t>411-69-47</t>
  </si>
  <si>
    <t>turqutbayramov@gmail.com</t>
  </si>
  <si>
    <t>055-561-41-89</t>
  </si>
  <si>
    <t>nerminemeherremova@gmail.com</t>
  </si>
  <si>
    <t>051-818-61-17,         055-439-73-58</t>
  </si>
  <si>
    <t>412-18-76,          -------</t>
  </si>
  <si>
    <r>
      <t>bahar889999@gmail.com,                          isgenderovaira</t>
    </r>
    <r>
      <rPr>
        <b/>
        <u/>
        <sz val="11"/>
        <color theme="10"/>
        <rFont val="Calibri"/>
        <family val="2"/>
        <scheme val="minor"/>
      </rPr>
      <t>@gmail.com</t>
    </r>
    <r>
      <rPr>
        <u/>
        <sz val="11"/>
        <color theme="10"/>
        <rFont val="Calibri"/>
        <family val="2"/>
        <scheme val="minor"/>
      </rPr>
      <t xml:space="preserve">               </t>
    </r>
  </si>
  <si>
    <t>055-836-67-62</t>
  </si>
  <si>
    <t>farida.hewimova@gmail.com</t>
  </si>
  <si>
    <t xml:space="preserve">070-639-85-53,           055-386-01-51        </t>
  </si>
  <si>
    <t>412-04-92,           412-59-41</t>
  </si>
  <si>
    <t>atakishiyevbhruz@gmail.com                           mmmdovarubab855@gmail.com</t>
  </si>
  <si>
    <t>050-745-26-08</t>
  </si>
  <si>
    <t>7262313@gmail.com</t>
  </si>
  <si>
    <t>050-729-24-45</t>
  </si>
  <si>
    <t>412-38-82</t>
  </si>
  <si>
    <t>huseynovar89@gmail.com</t>
  </si>
  <si>
    <t>055-412-12-06</t>
  </si>
  <si>
    <t>412-12-06</t>
  </si>
  <si>
    <t>sevilgeograph@gmail.com</t>
  </si>
  <si>
    <t>055-977-78-92</t>
  </si>
  <si>
    <t>412-05-09</t>
  </si>
  <si>
    <t>Binəqədi rayonu M.Ə.Rəsulzadə qəs. Həmidə Məmmədquluzadə küç. Ev 8</t>
  </si>
  <si>
    <t>Binəqədi rayonu Baksol 15</t>
  </si>
  <si>
    <t>055-883-06-35</t>
  </si>
  <si>
    <t>Binəqədi rayonu M.Ə.Rəsulzadə qəs.</t>
  </si>
  <si>
    <t>Binəqədi rayonu M.Ə.Rəsulzadə qəs. F.Şahbazov küç. Ev 61</t>
  </si>
  <si>
    <t>Binəqədi şosesi ev 53</t>
  </si>
  <si>
    <t>Binəqədi rayonu M,Ə.Rəsulzadə qəs. Bina 197 ev 15</t>
  </si>
  <si>
    <t>050-484-63-48</t>
  </si>
  <si>
    <t>411-39-39</t>
  </si>
  <si>
    <t>hemidovamelahet19@gmail.com</t>
  </si>
  <si>
    <t>051-701-17-75</t>
  </si>
  <si>
    <t>ifosrasul@gmail.com</t>
  </si>
  <si>
    <t>050-730-25-95</t>
  </si>
  <si>
    <t>412-54-97</t>
  </si>
  <si>
    <t>412-20-53</t>
  </si>
  <si>
    <t>m-cemile@yahoo.com</t>
  </si>
  <si>
    <t xml:space="preserve">maralabbasova62@gmail.com  ,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</si>
</sst>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6"/>
      <color theme="1"/>
      <name val="Book Antiqua"/>
      <family val="1"/>
    </font>
    <font>
      <sz val="11"/>
      <color theme="1"/>
      <name val="Calibri"/>
      <family val="2"/>
    </font>
    <font>
      <b/>
      <sz val="20"/>
      <color theme="1"/>
      <name val="Book Antiqua"/>
      <family val="1"/>
    </font>
    <font>
      <sz val="12"/>
      <color theme="1"/>
      <name val="Book Antiqua"/>
      <family val="1"/>
    </font>
    <font>
      <sz val="14"/>
      <color theme="1"/>
      <name val="Book Antiqua"/>
      <family val="1"/>
    </font>
    <font>
      <sz val="16"/>
      <color theme="1"/>
      <name val="Book Antiqua"/>
      <family val="1"/>
    </font>
    <font>
      <i/>
      <sz val="16"/>
      <color theme="1"/>
      <name val="Book Antiqua"/>
      <family val="1"/>
    </font>
    <font>
      <b/>
      <sz val="14"/>
      <color theme="1"/>
      <name val="Book Antiqua"/>
      <family val="1"/>
    </font>
    <font>
      <i/>
      <sz val="14"/>
      <color theme="1"/>
      <name val="Book Antiqua"/>
      <family val="1"/>
    </font>
    <font>
      <sz val="8"/>
      <color theme="1"/>
      <name val="Book Antiqua"/>
      <family val="1"/>
    </font>
    <font>
      <sz val="11"/>
      <color theme="0"/>
      <name val="Book Antiqua"/>
      <family val="1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28"/>
      <color theme="1"/>
      <name val="Palatino Linotype"/>
      <family val="1"/>
    </font>
    <font>
      <i/>
      <sz val="22"/>
      <color theme="1"/>
      <name val="Book Antiqua"/>
      <family val="1"/>
    </font>
    <font>
      <b/>
      <sz val="12"/>
      <color theme="1"/>
      <name val="Book Antiqua"/>
      <family val="1"/>
    </font>
    <font>
      <b/>
      <sz val="18"/>
      <color theme="1"/>
      <name val="Book Antiqua"/>
      <family val="1"/>
    </font>
    <font>
      <sz val="9"/>
      <color theme="1"/>
      <name val="Book Antiqua"/>
      <family val="1"/>
    </font>
    <font>
      <sz val="9"/>
      <color theme="1"/>
      <name val="Palatino Linotype"/>
      <family val="1"/>
    </font>
    <font>
      <sz val="11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2131F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813DB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357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2" fontId="1" fillId="5" borderId="8" xfId="0" applyNumberFormat="1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2" fontId="1" fillId="0" borderId="4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5" borderId="8" xfId="0" applyNumberFormat="1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2" fontId="1" fillId="4" borderId="20" xfId="0" applyNumberFormat="1" applyFont="1" applyFill="1" applyBorder="1" applyAlignment="1">
      <alignment horizontal="center" vertical="center" wrapText="1"/>
    </xf>
    <xf numFmtId="2" fontId="1" fillId="5" borderId="21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3" borderId="5" xfId="0" applyNumberFormat="1" applyFont="1" applyFill="1" applyBorder="1" applyAlignment="1">
      <alignment horizontal="center" vertical="center" wrapText="1"/>
    </xf>
    <xf numFmtId="2" fontId="1" fillId="3" borderId="20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Fill="1" applyBorder="1" applyAlignment="1">
      <alignment horizontal="center" vertical="center" wrapText="1"/>
    </xf>
    <xf numFmtId="2" fontId="2" fillId="2" borderId="22" xfId="0" applyNumberFormat="1" applyFont="1" applyFill="1" applyBorder="1" applyAlignment="1">
      <alignment horizontal="center" vertical="center" wrapText="1"/>
    </xf>
    <xf numFmtId="2" fontId="2" fillId="2" borderId="23" xfId="0" applyNumberFormat="1" applyFont="1" applyFill="1" applyBorder="1" applyAlignment="1">
      <alignment horizontal="center" vertical="center" wrapText="1"/>
    </xf>
    <xf numFmtId="2" fontId="2" fillId="2" borderId="24" xfId="0" applyNumberFormat="1" applyFont="1" applyFill="1" applyBorder="1" applyAlignment="1">
      <alignment horizontal="center" vertical="center" wrapText="1"/>
    </xf>
    <xf numFmtId="1" fontId="1" fillId="4" borderId="10" xfId="0" applyNumberFormat="1" applyFont="1" applyFill="1" applyBorder="1" applyAlignment="1">
      <alignment horizontal="center" vertical="center" wrapText="1"/>
    </xf>
    <xf numFmtId="1" fontId="1" fillId="5" borderId="11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1" fillId="2" borderId="26" xfId="0" applyNumberFormat="1" applyFont="1" applyFill="1" applyBorder="1" applyAlignment="1">
      <alignment horizontal="center" vertical="center" wrapText="1"/>
    </xf>
    <xf numFmtId="1" fontId="1" fillId="2" borderId="27" xfId="0" applyNumberFormat="1" applyFont="1" applyFill="1" applyBorder="1" applyAlignment="1">
      <alignment horizontal="center" vertical="center" wrapText="1"/>
    </xf>
    <xf numFmtId="1" fontId="1" fillId="2" borderId="28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2" fontId="1" fillId="0" borderId="6" xfId="0" applyNumberFormat="1" applyFont="1" applyFill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4" borderId="10" xfId="0" applyNumberFormat="1" applyFont="1" applyFill="1" applyBorder="1" applyAlignment="1">
      <alignment horizontal="center" vertical="center" wrapText="1"/>
    </xf>
    <xf numFmtId="2" fontId="1" fillId="5" borderId="11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3" borderId="6" xfId="0" applyNumberFormat="1" applyFont="1" applyFill="1" applyBorder="1" applyAlignment="1">
      <alignment horizontal="center" vertical="center" wrapText="1"/>
    </xf>
    <xf numFmtId="2" fontId="1" fillId="3" borderId="10" xfId="0" applyNumberFormat="1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center" vertical="center" textRotation="90" wrapText="1"/>
    </xf>
    <xf numFmtId="0" fontId="6" fillId="4" borderId="26" xfId="0" applyFont="1" applyFill="1" applyBorder="1" applyAlignment="1">
      <alignment horizontal="center" vertical="center" textRotation="90" wrapText="1"/>
    </xf>
    <xf numFmtId="0" fontId="6" fillId="5" borderId="27" xfId="0" applyFont="1" applyFill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3" borderId="28" xfId="0" applyFont="1" applyFill="1" applyBorder="1" applyAlignment="1">
      <alignment horizontal="center" vertical="center" textRotation="90" wrapText="1"/>
    </xf>
    <xf numFmtId="0" fontId="6" fillId="3" borderId="26" xfId="0" applyFont="1" applyFill="1" applyBorder="1" applyAlignment="1">
      <alignment horizontal="center" vertical="center" textRotation="90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2" fontId="1" fillId="0" borderId="10" xfId="0" applyNumberFormat="1" applyFont="1" applyFill="1" applyBorder="1" applyAlignment="1">
      <alignment horizontal="center" vertical="center" wrapText="1"/>
    </xf>
    <xf numFmtId="2" fontId="1" fillId="0" borderId="1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1" fillId="0" borderId="8" xfId="0" applyNumberFormat="1" applyFont="1" applyFill="1" applyBorder="1" applyAlignment="1">
      <alignment horizontal="center" vertical="center" wrapText="1"/>
    </xf>
    <xf numFmtId="2" fontId="1" fillId="0" borderId="26" xfId="0" applyNumberFormat="1" applyFont="1" applyFill="1" applyBorder="1" applyAlignment="1">
      <alignment horizontal="center" vertical="center" wrapText="1"/>
    </xf>
    <xf numFmtId="2" fontId="1" fillId="4" borderId="26" xfId="0" applyNumberFormat="1" applyFont="1" applyFill="1" applyBorder="1" applyAlignment="1">
      <alignment horizontal="center" vertical="center" wrapText="1"/>
    </xf>
    <xf numFmtId="2" fontId="1" fillId="5" borderId="27" xfId="0" applyNumberFormat="1" applyFont="1" applyFill="1" applyBorder="1" applyAlignment="1">
      <alignment horizontal="center" vertical="center" wrapText="1"/>
    </xf>
    <xf numFmtId="2" fontId="1" fillId="0" borderId="28" xfId="0" applyNumberFormat="1" applyFont="1" applyFill="1" applyBorder="1" applyAlignment="1">
      <alignment horizontal="center" vertical="center" wrapText="1"/>
    </xf>
    <xf numFmtId="2" fontId="1" fillId="3" borderId="28" xfId="0" applyNumberFormat="1" applyFont="1" applyFill="1" applyBorder="1" applyAlignment="1">
      <alignment horizontal="center" vertical="center" wrapText="1"/>
    </xf>
    <xf numFmtId="2" fontId="1" fillId="3" borderId="2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2" fontId="14" fillId="4" borderId="1" xfId="0" applyNumberFormat="1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2" fontId="14" fillId="9" borderId="1" xfId="0" applyNumberFormat="1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2" fontId="14" fillId="4" borderId="1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2" fontId="14" fillId="4" borderId="20" xfId="0" applyNumberFormat="1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 wrapText="1"/>
    </xf>
    <xf numFmtId="2" fontId="14" fillId="9" borderId="20" xfId="0" applyNumberFormat="1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2" fontId="14" fillId="4" borderId="20" xfId="0" applyNumberFormat="1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4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4" fillId="4" borderId="44" xfId="0" applyFont="1" applyFill="1" applyBorder="1" applyAlignment="1">
      <alignment horizontal="center" vertical="center" wrapText="1"/>
    </xf>
    <xf numFmtId="0" fontId="14" fillId="9" borderId="43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2" fontId="2" fillId="2" borderId="59" xfId="0" applyNumberFormat="1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2" fontId="2" fillId="2" borderId="41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textRotation="90" wrapText="1"/>
    </xf>
    <xf numFmtId="2" fontId="1" fillId="5" borderId="19" xfId="0" applyNumberFormat="1" applyFont="1" applyFill="1" applyBorder="1" applyAlignment="1">
      <alignment horizontal="center" vertical="center" wrapText="1"/>
    </xf>
    <xf numFmtId="1" fontId="1" fillId="0" borderId="6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6" borderId="48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4" borderId="6" xfId="0" applyNumberFormat="1" applyFont="1" applyFill="1" applyBorder="1" applyAlignment="1">
      <alignment horizontal="center" vertical="center" wrapText="1"/>
    </xf>
    <xf numFmtId="2" fontId="1" fillId="4" borderId="4" xfId="0" applyNumberFormat="1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textRotation="90" wrapText="1"/>
    </xf>
    <xf numFmtId="1" fontId="1" fillId="3" borderId="8" xfId="0" applyNumberFormat="1" applyFont="1" applyFill="1" applyBorder="1" applyAlignment="1">
      <alignment horizontal="center" vertical="center" wrapText="1"/>
    </xf>
    <xf numFmtId="2" fontId="1" fillId="3" borderId="11" xfId="0" applyNumberFormat="1" applyFont="1" applyFill="1" applyBorder="1" applyAlignment="1">
      <alignment horizontal="center" vertical="center" wrapText="1"/>
    </xf>
    <xf numFmtId="2" fontId="1" fillId="3" borderId="8" xfId="0" applyNumberFormat="1" applyFont="1" applyFill="1" applyBorder="1" applyAlignment="1">
      <alignment horizontal="center" vertical="center" wrapText="1"/>
    </xf>
    <xf numFmtId="2" fontId="1" fillId="3" borderId="27" xfId="0" applyNumberFormat="1" applyFont="1" applyFill="1" applyBorder="1" applyAlignment="1">
      <alignment horizontal="center" vertical="center" wrapText="1"/>
    </xf>
    <xf numFmtId="2" fontId="1" fillId="3" borderId="19" xfId="0" applyNumberFormat="1" applyFont="1" applyFill="1" applyBorder="1" applyAlignment="1">
      <alignment horizontal="center" vertical="center" wrapText="1"/>
    </xf>
    <xf numFmtId="1" fontId="1" fillId="3" borderId="1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2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textRotation="90" wrapText="1"/>
    </xf>
    <xf numFmtId="2" fontId="2" fillId="4" borderId="6" xfId="0" applyNumberFormat="1" applyFont="1" applyFill="1" applyBorder="1" applyAlignment="1">
      <alignment horizontal="center" vertical="center" wrapText="1"/>
    </xf>
    <xf numFmtId="2" fontId="2" fillId="4" borderId="4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18" fillId="3" borderId="26" xfId="0" applyFont="1" applyFill="1" applyBorder="1" applyAlignment="1">
      <alignment horizontal="center" vertical="center" textRotation="90" wrapText="1"/>
    </xf>
    <xf numFmtId="2" fontId="2" fillId="3" borderId="6" xfId="0" applyNumberFormat="1" applyFont="1" applyFill="1" applyBorder="1" applyAlignment="1">
      <alignment horizontal="center" vertical="center" wrapText="1"/>
    </xf>
    <xf numFmtId="2" fontId="2" fillId="3" borderId="4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textRotation="90" wrapText="1"/>
    </xf>
    <xf numFmtId="0" fontId="1" fillId="8" borderId="45" xfId="0" applyFont="1" applyFill="1" applyBorder="1" applyAlignment="1">
      <alignment horizontal="center" vertical="center" wrapText="1"/>
    </xf>
    <xf numFmtId="0" fontId="1" fillId="6" borderId="47" xfId="0" applyFont="1" applyFill="1" applyBorder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9" fillId="0" borderId="0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31" xfId="0" applyFont="1" applyFill="1" applyBorder="1" applyAlignment="1">
      <alignment vertical="center" wrapText="1"/>
    </xf>
    <xf numFmtId="0" fontId="2" fillId="2" borderId="36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2" fontId="14" fillId="4" borderId="4" xfId="0" applyNumberFormat="1" applyFont="1" applyFill="1" applyBorder="1" applyAlignment="1">
      <alignment horizontal="center" vertical="center" wrapText="1"/>
    </xf>
    <xf numFmtId="0" fontId="14" fillId="10" borderId="0" xfId="0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 wrapText="1"/>
    </xf>
    <xf numFmtId="2" fontId="14" fillId="9" borderId="2" xfId="0" applyNumberFormat="1" applyFont="1" applyFill="1" applyBorder="1" applyAlignment="1">
      <alignment horizontal="center" vertical="center"/>
    </xf>
    <xf numFmtId="2" fontId="14" fillId="10" borderId="2" xfId="0" applyNumberFormat="1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 wrapText="1"/>
    </xf>
    <xf numFmtId="0" fontId="14" fillId="9" borderId="0" xfId="0" applyFont="1" applyFill="1" applyBorder="1" applyAlignment="1">
      <alignment horizontal="center" vertical="center" wrapText="1"/>
    </xf>
    <xf numFmtId="0" fontId="21" fillId="9" borderId="0" xfId="0" applyFont="1" applyFill="1" applyBorder="1" applyAlignment="1">
      <alignment horizontal="center" vertical="center"/>
    </xf>
    <xf numFmtId="0" fontId="14" fillId="9" borderId="43" xfId="0" applyFont="1" applyFill="1" applyBorder="1" applyAlignment="1">
      <alignment horizontal="center" vertical="center" wrapText="1"/>
    </xf>
    <xf numFmtId="0" fontId="14" fillId="10" borderId="43" xfId="0" applyFont="1" applyFill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14" fillId="9" borderId="63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12" fontId="22" fillId="0" borderId="6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12" fontId="22" fillId="0" borderId="4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3" fillId="0" borderId="2" xfId="1" applyBorder="1" applyAlignment="1">
      <alignment horizontal="center" vertical="center" wrapText="1"/>
    </xf>
    <xf numFmtId="0" fontId="23" fillId="0" borderId="44" xfId="1" applyBorder="1" applyAlignment="1">
      <alignment horizontal="center" vertical="center" wrapText="1"/>
    </xf>
    <xf numFmtId="0" fontId="1" fillId="0" borderId="46" xfId="0" applyFont="1" applyBorder="1" applyAlignment="1">
      <alignment horizontal="left" vertical="center" wrapText="1"/>
    </xf>
    <xf numFmtId="0" fontId="25" fillId="0" borderId="45" xfId="0" applyFont="1" applyBorder="1" applyAlignment="1">
      <alignment horizontal="left"/>
    </xf>
    <xf numFmtId="0" fontId="7" fillId="0" borderId="60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textRotation="90" wrapText="1"/>
    </xf>
    <xf numFmtId="0" fontId="6" fillId="0" borderId="46" xfId="0" applyFont="1" applyBorder="1" applyAlignment="1">
      <alignment horizontal="center" vertical="center" textRotation="90" wrapText="1"/>
    </xf>
    <xf numFmtId="0" fontId="6" fillId="0" borderId="47" xfId="0" applyFont="1" applyBorder="1" applyAlignment="1">
      <alignment horizontal="center" vertical="center" textRotation="90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right" vertical="center" wrapText="1"/>
    </xf>
    <xf numFmtId="0" fontId="1" fillId="0" borderId="30" xfId="0" applyFont="1" applyBorder="1" applyAlignment="1">
      <alignment horizontal="right" vertical="center" wrapText="1"/>
    </xf>
    <xf numFmtId="0" fontId="1" fillId="0" borderId="28" xfId="0" applyFont="1" applyBorder="1" applyAlignment="1">
      <alignment horizontal="right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textRotation="90" wrapText="1"/>
    </xf>
    <xf numFmtId="0" fontId="7" fillId="2" borderId="51" xfId="0" applyFont="1" applyFill="1" applyBorder="1" applyAlignment="1">
      <alignment horizontal="center" vertical="center" textRotation="90" wrapText="1"/>
    </xf>
    <xf numFmtId="0" fontId="7" fillId="2" borderId="52" xfId="0" applyFont="1" applyFill="1" applyBorder="1" applyAlignment="1">
      <alignment horizontal="center" vertical="center" textRotation="90" wrapText="1"/>
    </xf>
    <xf numFmtId="0" fontId="3" fillId="0" borderId="5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">
    <dxf>
      <fill>
        <patternFill>
          <bgColor rgb="FF813DB9"/>
        </patternFill>
      </fill>
    </dxf>
    <dxf>
      <fill>
        <patternFill>
          <bgColor rgb="FF33CCCC"/>
        </patternFill>
      </fill>
    </dxf>
    <dxf>
      <fill>
        <patternFill>
          <bgColor rgb="FF66FF66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813DB9"/>
      <color rgb="FF33CCCC"/>
      <color rgb="FF66FF66"/>
      <color rgb="FFF983D7"/>
      <color rgb="FF8AEAE8"/>
      <color rgb="FFA69D2C"/>
      <color rgb="FF0066FF"/>
      <color rgb="FFECE298"/>
      <color rgb="FFE9E065"/>
      <color rgb="FF50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'Tədris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dili'!$K$56:$AQ$56</c:f>
              <c:numCache>
                <c:formatCode>0.00</c:formatCode>
                <c:ptCount val="33"/>
                <c:pt idx="0">
                  <c:v>63.75</c:v>
                </c:pt>
                <c:pt idx="1">
                  <c:v>0</c:v>
                </c:pt>
                <c:pt idx="2">
                  <c:v>63.157894736842103</c:v>
                </c:pt>
                <c:pt idx="3">
                  <c:v>61.4</c:v>
                </c:pt>
                <c:pt idx="4">
                  <c:v>58.15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60.724999999999987</c:v>
                </c:pt>
                <c:pt idx="9">
                  <c:v>56.6</c:v>
                </c:pt>
                <c:pt idx="10">
                  <c:v>58.250000000000014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60.724999999999987</c:v>
                </c:pt>
                <c:pt idx="30">
                  <c:v>56.6</c:v>
                </c:pt>
                <c:pt idx="31">
                  <c:v>58.250000000000014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F-4075-AFD3-6800F2514E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'Tədris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3-46A5-A99C-04DA54609108}"/>
            </c:ext>
          </c:extLst>
        </c:ser>
        <c:ser>
          <c:idx val="1"/>
          <c:order val="1"/>
          <c:tx>
            <c:strRef>
              <c:f>'Tədris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dili'!$K$65:$AQ$65</c:f>
              <c:numCache>
                <c:formatCode>0.00</c:formatCode>
                <c:ptCount val="33"/>
                <c:pt idx="0">
                  <c:v>45</c:v>
                </c:pt>
                <c:pt idx="1">
                  <c:v>0</c:v>
                </c:pt>
                <c:pt idx="2">
                  <c:v>52.631578947368418</c:v>
                </c:pt>
                <c:pt idx="3">
                  <c:v>60</c:v>
                </c:pt>
                <c:pt idx="4">
                  <c:v>60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3-46A5-A99C-04DA54609108}"/>
            </c:ext>
          </c:extLst>
        </c:ser>
        <c:ser>
          <c:idx val="2"/>
          <c:order val="2"/>
          <c:tx>
            <c:strRef>
              <c:f>'Tədris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dili'!$K$64:$AQ$64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36.842105263157897</c:v>
                </c:pt>
                <c:pt idx="3">
                  <c:v>30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3-46A5-A99C-04DA54609108}"/>
            </c:ext>
          </c:extLst>
        </c:ser>
        <c:ser>
          <c:idx val="3"/>
          <c:order val="3"/>
          <c:tx>
            <c:strRef>
              <c:f>'Tədris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dili'!$K$63:$AQ$63</c:f>
              <c:numCache>
                <c:formatCode>0.00</c:formatCode>
                <c:ptCount val="33"/>
                <c:pt idx="0">
                  <c:v>15</c:v>
                </c:pt>
                <c:pt idx="1">
                  <c:v>0</c:v>
                </c:pt>
                <c:pt idx="2">
                  <c:v>10.526315789473685</c:v>
                </c:pt>
                <c:pt idx="3">
                  <c:v>10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3-46A5-A99C-04DA546091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Əd!$J$56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Əd!$K$56:$AQ$56</c:f>
              <c:numCache>
                <c:formatCode>0.00</c:formatCode>
                <c:ptCount val="33"/>
                <c:pt idx="0">
                  <c:v>63.2</c:v>
                </c:pt>
                <c:pt idx="1">
                  <c:v>0</c:v>
                </c:pt>
                <c:pt idx="2">
                  <c:v>58.55</c:v>
                </c:pt>
                <c:pt idx="3">
                  <c:v>62.05</c:v>
                </c:pt>
                <c:pt idx="4">
                  <c:v>59.45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60.016666666666666</c:v>
                </c:pt>
                <c:pt idx="9">
                  <c:v>0</c:v>
                </c:pt>
                <c:pt idx="10">
                  <c:v>60.016666666666666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60.016666666666666</c:v>
                </c:pt>
                <c:pt idx="30">
                  <c:v>0</c:v>
                </c:pt>
                <c:pt idx="31">
                  <c:v>60.016666666666666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A-4553-955F-615F153C3C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Əd!$J$66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D-4F5E-B76F-5E8F726A1A58}"/>
            </c:ext>
          </c:extLst>
        </c:ser>
        <c:ser>
          <c:idx val="1"/>
          <c:order val="1"/>
          <c:tx>
            <c:strRef>
              <c:f>Əd!$J$65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Əd!$K$65:$AQ$65</c:f>
              <c:numCache>
                <c:formatCode>0.00</c:formatCode>
                <c:ptCount val="33"/>
                <c:pt idx="0">
                  <c:v>55</c:v>
                </c:pt>
                <c:pt idx="1">
                  <c:v>0</c:v>
                </c:pt>
                <c:pt idx="2">
                  <c:v>60</c:v>
                </c:pt>
                <c:pt idx="3">
                  <c:v>55</c:v>
                </c:pt>
                <c:pt idx="4">
                  <c:v>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</c:v>
                </c:pt>
                <c:pt idx="9">
                  <c:v>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</c:v>
                </c:pt>
                <c:pt idx="30">
                  <c:v>0</c:v>
                </c:pt>
                <c:pt idx="31">
                  <c:v>50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D-4F5E-B76F-5E8F726A1A58}"/>
            </c:ext>
          </c:extLst>
        </c:ser>
        <c:ser>
          <c:idx val="2"/>
          <c:order val="2"/>
          <c:tx>
            <c:strRef>
              <c:f>Əd!$J$64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Əd!$K$64:$AQ$64</c:f>
              <c:numCache>
                <c:formatCode>0.00</c:formatCode>
                <c:ptCount val="33"/>
                <c:pt idx="0">
                  <c:v>25</c:v>
                </c:pt>
                <c:pt idx="1">
                  <c:v>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</c:v>
                </c:pt>
                <c:pt idx="30">
                  <c:v>0</c:v>
                </c:pt>
                <c:pt idx="31">
                  <c:v>40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D-4F5E-B76F-5E8F726A1A58}"/>
            </c:ext>
          </c:extLst>
        </c:ser>
        <c:ser>
          <c:idx val="3"/>
          <c:order val="3"/>
          <c:tx>
            <c:strRef>
              <c:f>Əd!$J$63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Əd!$K$63:$AQ$63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</c:v>
                </c:pt>
                <c:pt idx="30">
                  <c:v>0</c:v>
                </c:pt>
                <c:pt idx="31">
                  <c:v>10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DD-4F5E-B76F-5E8F726A1A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'Dövlət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B-4B69-920E-6259642560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'Dövlət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2-40A3-ACC0-89E1B5259E3E}"/>
            </c:ext>
          </c:extLst>
        </c:ser>
        <c:ser>
          <c:idx val="1"/>
          <c:order val="1"/>
          <c:tx>
            <c:strRef>
              <c:f>'Dövlət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2-40A3-ACC0-89E1B5259E3E}"/>
            </c:ext>
          </c:extLst>
        </c:ser>
        <c:ser>
          <c:idx val="2"/>
          <c:order val="2"/>
          <c:tx>
            <c:strRef>
              <c:f>'Dövlət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62-40A3-ACC0-89E1B5259E3E}"/>
            </c:ext>
          </c:extLst>
        </c:ser>
        <c:ser>
          <c:idx val="3"/>
          <c:order val="3"/>
          <c:tx>
            <c:strRef>
              <c:f>'Dövlət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62-40A3-ACC0-89E1B5259E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'X-d'!$K$56:$AQ$56</c:f>
              <c:numCache>
                <c:formatCode>0.00</c:formatCode>
                <c:ptCount val="33"/>
                <c:pt idx="0">
                  <c:v>56.85</c:v>
                </c:pt>
                <c:pt idx="1">
                  <c:v>0</c:v>
                </c:pt>
                <c:pt idx="2">
                  <c:v>44.45</c:v>
                </c:pt>
                <c:pt idx="3">
                  <c:v>46.55</c:v>
                </c:pt>
                <c:pt idx="4">
                  <c:v>51.95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47.649999999999991</c:v>
                </c:pt>
                <c:pt idx="9">
                  <c:v>56.95</c:v>
                </c:pt>
                <c:pt idx="10">
                  <c:v>53.230000000000004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47.649999999999991</c:v>
                </c:pt>
                <c:pt idx="30">
                  <c:v>56.95</c:v>
                </c:pt>
                <c:pt idx="31">
                  <c:v>53.230000000000004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C-49A1-8A71-AB1BE37C25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E-4C9F-8AE4-6B93617F1584}"/>
            </c:ext>
          </c:extLst>
        </c:ser>
        <c:ser>
          <c:idx val="1"/>
          <c:order val="1"/>
          <c:tx>
            <c:strRef>
              <c:f>'X-d'!$J$65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'X-d'!$K$65:$AQ$65</c:f>
              <c:numCache>
                <c:formatCode>0.00</c:formatCode>
                <c:ptCount val="33"/>
                <c:pt idx="0">
                  <c:v>65</c:v>
                </c:pt>
                <c:pt idx="1">
                  <c:v>0</c:v>
                </c:pt>
                <c:pt idx="2">
                  <c:v>70</c:v>
                </c:pt>
                <c:pt idx="3">
                  <c:v>75</c:v>
                </c:pt>
                <c:pt idx="4">
                  <c:v>70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80</c:v>
                </c:pt>
                <c:pt idx="9">
                  <c:v>60</c:v>
                </c:pt>
                <c:pt idx="10">
                  <c:v>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80</c:v>
                </c:pt>
                <c:pt idx="30">
                  <c:v>60</c:v>
                </c:pt>
                <c:pt idx="31">
                  <c:v>65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E-4C9F-8AE4-6B93617F1584}"/>
            </c:ext>
          </c:extLst>
        </c:ser>
        <c:ser>
          <c:idx val="2"/>
          <c:order val="2"/>
          <c:tx>
            <c:strRef>
              <c:f>'X-d'!$J$64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'X-d'!$K$64:$AQ$64</c:f>
              <c:numCache>
                <c:formatCode>0.00</c:formatCode>
                <c:ptCount val="33"/>
                <c:pt idx="0">
                  <c:v>25</c:v>
                </c:pt>
                <c:pt idx="1">
                  <c:v>0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25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25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E-4C9F-8AE4-6B93617F1584}"/>
            </c:ext>
          </c:extLst>
        </c:ser>
        <c:ser>
          <c:idx val="3"/>
          <c:order val="3"/>
          <c:tx>
            <c:strRef>
              <c:f>'X-d'!$J$63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'X-d'!$K$63:$AQ$63</c:f>
              <c:numCache>
                <c:formatCode>0.00</c:formatCode>
                <c:ptCount val="33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15</c:v>
                </c:pt>
                <c:pt idx="31">
                  <c:v>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1E-4C9F-8AE4-6B93617F15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'll 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X-d'!$K$56:$AQ$56</c:f>
              <c:numCache>
                <c:formatCode>0.00</c:formatCode>
                <c:ptCount val="33"/>
                <c:pt idx="0">
                  <c:v>54.65</c:v>
                </c:pt>
                <c:pt idx="1">
                  <c:v>0</c:v>
                </c:pt>
                <c:pt idx="2">
                  <c:v>48.05263157894737</c:v>
                </c:pt>
                <c:pt idx="3">
                  <c:v>58.421052631578945</c:v>
                </c:pt>
                <c:pt idx="4">
                  <c:v>61.315789473684212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55.9298245614035</c:v>
                </c:pt>
                <c:pt idx="9">
                  <c:v>0</c:v>
                </c:pt>
                <c:pt idx="10">
                  <c:v>55.9298245614035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55.9298245614035</c:v>
                </c:pt>
                <c:pt idx="30">
                  <c:v>0</c:v>
                </c:pt>
                <c:pt idx="31">
                  <c:v>55.9298245614035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D-4B38-AC70-F463312D45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'll 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21.05263157894737</c:v>
                </c:pt>
                <c:pt idx="3">
                  <c:v>5.2631578947368425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5.2631578947368425</c:v>
                </c:pt>
                <c:pt idx="9">
                  <c:v>0</c:v>
                </c:pt>
                <c:pt idx="10">
                  <c:v>5.2631578947368425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5.2631578947368425</c:v>
                </c:pt>
                <c:pt idx="30">
                  <c:v>0</c:v>
                </c:pt>
                <c:pt idx="31">
                  <c:v>5.2631578947368425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5-41FA-BB74-6163E334EBD8}"/>
            </c:ext>
          </c:extLst>
        </c:ser>
        <c:ser>
          <c:idx val="1"/>
          <c:order val="1"/>
          <c:tx>
            <c:strRef>
              <c:f>'ll 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X-d'!$K$65:$AQ$65</c:f>
              <c:numCache>
                <c:formatCode>0.00</c:formatCode>
                <c:ptCount val="33"/>
                <c:pt idx="0">
                  <c:v>60</c:v>
                </c:pt>
                <c:pt idx="1">
                  <c:v>0</c:v>
                </c:pt>
                <c:pt idx="2">
                  <c:v>42.10526315789474</c:v>
                </c:pt>
                <c:pt idx="3">
                  <c:v>52.631578947368418</c:v>
                </c:pt>
                <c:pt idx="4">
                  <c:v>57.89473684210526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47.368421052631582</c:v>
                </c:pt>
                <c:pt idx="9">
                  <c:v>0</c:v>
                </c:pt>
                <c:pt idx="10">
                  <c:v>47.368421052631582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47.368421052631582</c:v>
                </c:pt>
                <c:pt idx="30">
                  <c:v>0</c:v>
                </c:pt>
                <c:pt idx="31">
                  <c:v>47.368421052631582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5-41FA-BB74-6163E334EBD8}"/>
            </c:ext>
          </c:extLst>
        </c:ser>
        <c:ser>
          <c:idx val="2"/>
          <c:order val="2"/>
          <c:tx>
            <c:strRef>
              <c:f>'ll 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X-d'!$K$64:$AQ$64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15.789473684210526</c:v>
                </c:pt>
                <c:pt idx="3">
                  <c:v>21.05263157894737</c:v>
                </c:pt>
                <c:pt idx="4">
                  <c:v>21.05263157894737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26.315789473684209</c:v>
                </c:pt>
                <c:pt idx="9">
                  <c:v>0</c:v>
                </c:pt>
                <c:pt idx="10">
                  <c:v>26.315789473684209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26.315789473684209</c:v>
                </c:pt>
                <c:pt idx="30">
                  <c:v>0</c:v>
                </c:pt>
                <c:pt idx="31">
                  <c:v>26.315789473684209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5-41FA-BB74-6163E334EBD8}"/>
            </c:ext>
          </c:extLst>
        </c:ser>
        <c:ser>
          <c:idx val="3"/>
          <c:order val="3"/>
          <c:tx>
            <c:strRef>
              <c:f>'ll 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X-d'!$K$63:$AQ$63</c:f>
              <c:numCache>
                <c:formatCode>0.00</c:formatCode>
                <c:ptCount val="33"/>
                <c:pt idx="0">
                  <c:v>10</c:v>
                </c:pt>
                <c:pt idx="1">
                  <c:v>0</c:v>
                </c:pt>
                <c:pt idx="2">
                  <c:v>21.05263157894737</c:v>
                </c:pt>
                <c:pt idx="3">
                  <c:v>21.05263157894737</c:v>
                </c:pt>
                <c:pt idx="4">
                  <c:v>21.05263157894737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21.05263157894737</c:v>
                </c:pt>
                <c:pt idx="9">
                  <c:v>0</c:v>
                </c:pt>
                <c:pt idx="10">
                  <c:v>21.05263157894737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21.05263157894737</c:v>
                </c:pt>
                <c:pt idx="30">
                  <c:v>0</c:v>
                </c:pt>
                <c:pt idx="31">
                  <c:v>21.05263157894737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75-41FA-BB74-6163E334EB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Riy!$J$56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Riy!$K$56:$AQ$56</c:f>
              <c:numCache>
                <c:formatCode>0.00</c:formatCode>
                <c:ptCount val="33"/>
                <c:pt idx="0">
                  <c:v>55.55</c:v>
                </c:pt>
                <c:pt idx="1">
                  <c:v>0</c:v>
                </c:pt>
                <c:pt idx="2">
                  <c:v>49.65</c:v>
                </c:pt>
                <c:pt idx="3">
                  <c:v>46.2</c:v>
                </c:pt>
                <c:pt idx="4">
                  <c:v>53.55</c:v>
                </c:pt>
                <c:pt idx="5">
                  <c:v>55.05</c:v>
                </c:pt>
                <c:pt idx="6">
                  <c:v>53.35</c:v>
                </c:pt>
                <c:pt idx="7">
                  <c:v>0</c:v>
                </c:pt>
                <c:pt idx="8">
                  <c:v>51.560000000000016</c:v>
                </c:pt>
                <c:pt idx="9">
                  <c:v>53.1</c:v>
                </c:pt>
                <c:pt idx="10">
                  <c:v>52.484000000000002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51.560000000000016</c:v>
                </c:pt>
                <c:pt idx="30">
                  <c:v>53.1</c:v>
                </c:pt>
                <c:pt idx="31">
                  <c:v>52.484000000000002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E-4A60-B622-5C70B9E4FD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Riy!$J$66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B-4699-8406-3F3AD3A47DC2}"/>
            </c:ext>
          </c:extLst>
        </c:ser>
        <c:ser>
          <c:idx val="1"/>
          <c:order val="1"/>
          <c:tx>
            <c:strRef>
              <c:f>Riy!$J$65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Riy!$K$65:$AQ$65</c:f>
              <c:numCache>
                <c:formatCode>0.00</c:formatCode>
                <c:ptCount val="33"/>
                <c:pt idx="0">
                  <c:v>60</c:v>
                </c:pt>
                <c:pt idx="1">
                  <c:v>0</c:v>
                </c:pt>
                <c:pt idx="2">
                  <c:v>75</c:v>
                </c:pt>
                <c:pt idx="3">
                  <c:v>80</c:v>
                </c:pt>
                <c:pt idx="4">
                  <c:v>70</c:v>
                </c:pt>
                <c:pt idx="5">
                  <c:v>50</c:v>
                </c:pt>
                <c:pt idx="6">
                  <c:v>50</c:v>
                </c:pt>
                <c:pt idx="7">
                  <c:v>0</c:v>
                </c:pt>
                <c:pt idx="8">
                  <c:v>75</c:v>
                </c:pt>
                <c:pt idx="9">
                  <c:v>50</c:v>
                </c:pt>
                <c:pt idx="10">
                  <c:v>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75</c:v>
                </c:pt>
                <c:pt idx="30">
                  <c:v>50</c:v>
                </c:pt>
                <c:pt idx="31">
                  <c:v>65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FB-4699-8406-3F3AD3A47DC2}"/>
            </c:ext>
          </c:extLst>
        </c:ser>
        <c:ser>
          <c:idx val="2"/>
          <c:order val="2"/>
          <c:tx>
            <c:strRef>
              <c:f>Riy!$J$64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Riy!$K$64:$AQ$64</c:f>
              <c:numCache>
                <c:formatCode>0.00</c:formatCode>
                <c:ptCount val="33"/>
                <c:pt idx="0">
                  <c:v>25</c:v>
                </c:pt>
                <c:pt idx="1">
                  <c:v>0</c:v>
                </c:pt>
                <c:pt idx="2">
                  <c:v>20</c:v>
                </c:pt>
                <c:pt idx="3">
                  <c:v>15</c:v>
                </c:pt>
                <c:pt idx="4">
                  <c:v>20</c:v>
                </c:pt>
                <c:pt idx="5">
                  <c:v>40</c:v>
                </c:pt>
                <c:pt idx="6">
                  <c:v>40</c:v>
                </c:pt>
                <c:pt idx="7">
                  <c:v>0</c:v>
                </c:pt>
                <c:pt idx="8">
                  <c:v>15</c:v>
                </c:pt>
                <c:pt idx="9">
                  <c:v>40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40</c:v>
                </c:pt>
                <c:pt idx="31">
                  <c:v>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FB-4699-8406-3F3AD3A47DC2}"/>
            </c:ext>
          </c:extLst>
        </c:ser>
        <c:ser>
          <c:idx val="3"/>
          <c:order val="3"/>
          <c:tx>
            <c:strRef>
              <c:f>Riy!$J$63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Riy!$K$63:$AQ$63</c:f>
              <c:numCache>
                <c:formatCode>0.00</c:formatCode>
                <c:ptCount val="33"/>
                <c:pt idx="0">
                  <c:v>15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FB-4699-8406-3F3AD3A47D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İnf!$J$56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İnf!$K$56:$AQ$56</c:f>
              <c:numCache>
                <c:formatCode>0.00</c:formatCode>
                <c:ptCount val="33"/>
                <c:pt idx="0">
                  <c:v>61.15</c:v>
                </c:pt>
                <c:pt idx="1">
                  <c:v>0</c:v>
                </c:pt>
                <c:pt idx="2">
                  <c:v>71.2</c:v>
                </c:pt>
                <c:pt idx="3">
                  <c:v>73.5</c:v>
                </c:pt>
                <c:pt idx="4">
                  <c:v>66.7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70.466666666666669</c:v>
                </c:pt>
                <c:pt idx="9">
                  <c:v>0</c:v>
                </c:pt>
                <c:pt idx="10">
                  <c:v>70.466666666666669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70.466666666666669</c:v>
                </c:pt>
                <c:pt idx="30">
                  <c:v>0</c:v>
                </c:pt>
                <c:pt idx="31">
                  <c:v>70.466666666666669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9-4A63-849D-94E3020AE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İnf!$J$66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1-4362-966E-1E367815DA8E}"/>
            </c:ext>
          </c:extLst>
        </c:ser>
        <c:ser>
          <c:idx val="1"/>
          <c:order val="1"/>
          <c:tx>
            <c:strRef>
              <c:f>İnf!$J$65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İnf!$K$65:$AQ$65</c:f>
              <c:numCache>
                <c:formatCode>0.00</c:formatCode>
                <c:ptCount val="33"/>
                <c:pt idx="0">
                  <c:v>55</c:v>
                </c:pt>
                <c:pt idx="1">
                  <c:v>0</c:v>
                </c:pt>
                <c:pt idx="2">
                  <c:v>40</c:v>
                </c:pt>
                <c:pt idx="3">
                  <c:v>25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  <c:pt idx="30">
                  <c:v>0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1-4362-966E-1E367815DA8E}"/>
            </c:ext>
          </c:extLst>
        </c:ser>
        <c:ser>
          <c:idx val="2"/>
          <c:order val="2"/>
          <c:tx>
            <c:strRef>
              <c:f>İnf!$J$64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İnf!$K$64:$AQ$64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30</c:v>
                </c:pt>
                <c:pt idx="3">
                  <c:v>50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45</c:v>
                </c:pt>
                <c:pt idx="9">
                  <c:v>0</c:v>
                </c:pt>
                <c:pt idx="10">
                  <c:v>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45</c:v>
                </c:pt>
                <c:pt idx="30">
                  <c:v>0</c:v>
                </c:pt>
                <c:pt idx="31">
                  <c:v>45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1-4362-966E-1E367815DA8E}"/>
            </c:ext>
          </c:extLst>
        </c:ser>
        <c:ser>
          <c:idx val="3"/>
          <c:order val="3"/>
          <c:tx>
            <c:strRef>
              <c:f>İnf!$J$63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İnf!$K$63:$AQ$63</c:f>
              <c:numCache>
                <c:formatCode>0.00</c:formatCode>
                <c:ptCount val="33"/>
                <c:pt idx="0">
                  <c:v>25</c:v>
                </c:pt>
                <c:pt idx="1">
                  <c:v>0</c:v>
                </c:pt>
                <c:pt idx="2">
                  <c:v>30</c:v>
                </c:pt>
                <c:pt idx="3">
                  <c:v>25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25</c:v>
                </c:pt>
                <c:pt idx="30">
                  <c:v>0</c:v>
                </c:pt>
                <c:pt idx="31">
                  <c:v>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1-4362-966E-1E367815DA8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'Az-t'!$K$56:$AQ$56</c:f>
              <c:numCache>
                <c:formatCode>0.00</c:formatCode>
                <c:ptCount val="33"/>
                <c:pt idx="0">
                  <c:v>61.45</c:v>
                </c:pt>
                <c:pt idx="1">
                  <c:v>0</c:v>
                </c:pt>
                <c:pt idx="2">
                  <c:v>43.6</c:v>
                </c:pt>
                <c:pt idx="3">
                  <c:v>43.65</c:v>
                </c:pt>
                <c:pt idx="4">
                  <c:v>49.1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45.45</c:v>
                </c:pt>
                <c:pt idx="9">
                  <c:v>0</c:v>
                </c:pt>
                <c:pt idx="10">
                  <c:v>45.45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45.45</c:v>
                </c:pt>
                <c:pt idx="30">
                  <c:v>0</c:v>
                </c:pt>
                <c:pt idx="31">
                  <c:v>45.45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8-47C4-B676-DC46E66E59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9-46E4-8F7C-2B91B1A4BDDB}"/>
            </c:ext>
          </c:extLst>
        </c:ser>
        <c:ser>
          <c:idx val="1"/>
          <c:order val="1"/>
          <c:tx>
            <c:strRef>
              <c:f>'Az-t'!$J$65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'Az-t'!$K$65:$AQ$65</c:f>
              <c:numCache>
                <c:formatCode>0.00</c:formatCode>
                <c:ptCount val="33"/>
                <c:pt idx="0">
                  <c:v>55</c:v>
                </c:pt>
                <c:pt idx="1">
                  <c:v>0</c:v>
                </c:pt>
                <c:pt idx="2">
                  <c:v>85</c:v>
                </c:pt>
                <c:pt idx="3">
                  <c:v>85</c:v>
                </c:pt>
                <c:pt idx="4">
                  <c:v>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80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80</c:v>
                </c:pt>
                <c:pt idx="30">
                  <c:v>0</c:v>
                </c:pt>
                <c:pt idx="31">
                  <c:v>80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9-46E4-8F7C-2B91B1A4BDDB}"/>
            </c:ext>
          </c:extLst>
        </c:ser>
        <c:ser>
          <c:idx val="2"/>
          <c:order val="2"/>
          <c:tx>
            <c:strRef>
              <c:f>'Az-t'!$J$64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'Az-t'!$K$64:$AQ$64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15</c:v>
                </c:pt>
                <c:pt idx="3">
                  <c:v>15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0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9-46E4-8F7C-2B91B1A4BDDB}"/>
            </c:ext>
          </c:extLst>
        </c:ser>
        <c:ser>
          <c:idx val="3"/>
          <c:order val="3"/>
          <c:tx>
            <c:strRef>
              <c:f>'Az-t'!$J$63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'Az-t'!$K$63:$AQ$63</c:f>
              <c:numCache>
                <c:formatCode>0.00</c:formatCode>
                <c:ptCount val="33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29-46E4-8F7C-2B91B1A4BD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'Ü-t'!$J$56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'Ü-t'!$K$56:$AQ$56</c:f>
              <c:numCache>
                <c:formatCode>0.00</c:formatCode>
                <c:ptCount val="33"/>
                <c:pt idx="0">
                  <c:v>61.9</c:v>
                </c:pt>
                <c:pt idx="1">
                  <c:v>0</c:v>
                </c:pt>
                <c:pt idx="2">
                  <c:v>43.55</c:v>
                </c:pt>
                <c:pt idx="3">
                  <c:v>45</c:v>
                </c:pt>
                <c:pt idx="4">
                  <c:v>42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43.516666666666666</c:v>
                </c:pt>
                <c:pt idx="9">
                  <c:v>0</c:v>
                </c:pt>
                <c:pt idx="10">
                  <c:v>43.516666666666666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43.516666666666666</c:v>
                </c:pt>
                <c:pt idx="30">
                  <c:v>0</c:v>
                </c:pt>
                <c:pt idx="31">
                  <c:v>43.516666666666666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3-4626-A51C-217404113C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'Ü-t'!$J$66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0</c:v>
                </c:pt>
                <c:pt idx="31">
                  <c:v>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9-46DA-BD13-8A91F967708D}"/>
            </c:ext>
          </c:extLst>
        </c:ser>
        <c:ser>
          <c:idx val="1"/>
          <c:order val="1"/>
          <c:tx>
            <c:strRef>
              <c:f>'Ü-t'!$J$65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'Ü-t'!$K$65:$AQ$65</c:f>
              <c:numCache>
                <c:formatCode>0.00</c:formatCode>
                <c:ptCount val="33"/>
                <c:pt idx="0">
                  <c:v>50</c:v>
                </c:pt>
                <c:pt idx="1">
                  <c:v>0</c:v>
                </c:pt>
                <c:pt idx="2">
                  <c:v>70</c:v>
                </c:pt>
                <c:pt idx="3">
                  <c:v>85</c:v>
                </c:pt>
                <c:pt idx="4">
                  <c:v>85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75</c:v>
                </c:pt>
                <c:pt idx="9">
                  <c:v>0</c:v>
                </c:pt>
                <c:pt idx="10">
                  <c:v>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75</c:v>
                </c:pt>
                <c:pt idx="30">
                  <c:v>0</c:v>
                </c:pt>
                <c:pt idx="31">
                  <c:v>75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9-46DA-BD13-8A91F967708D}"/>
            </c:ext>
          </c:extLst>
        </c:ser>
        <c:ser>
          <c:idx val="2"/>
          <c:order val="2"/>
          <c:tx>
            <c:strRef>
              <c:f>'Ü-t'!$J$64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'Ü-t'!$K$64:$AQ$64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20</c:v>
                </c:pt>
                <c:pt idx="3">
                  <c:v>5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0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0</c:v>
                </c:pt>
                <c:pt idx="31">
                  <c:v>15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9-46DA-BD13-8A91F967708D}"/>
            </c:ext>
          </c:extLst>
        </c:ser>
        <c:ser>
          <c:idx val="3"/>
          <c:order val="3"/>
          <c:tx>
            <c:strRef>
              <c:f>'Ü-t'!$J$63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'Ü-t'!$K$63:$AQ$63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0</c:v>
                </c:pt>
                <c:pt idx="31">
                  <c:v>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39-46DA-BD13-8A91F96770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Fiz!$J$56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Fiz!$K$56:$AQ$56</c:f>
              <c:numCache>
                <c:formatCode>0.00</c:formatCode>
                <c:ptCount val="33"/>
                <c:pt idx="0">
                  <c:v>62.4</c:v>
                </c:pt>
                <c:pt idx="1">
                  <c:v>0</c:v>
                </c:pt>
                <c:pt idx="2">
                  <c:v>61.8</c:v>
                </c:pt>
                <c:pt idx="3">
                  <c:v>48.75</c:v>
                </c:pt>
                <c:pt idx="4">
                  <c:v>62.15</c:v>
                </c:pt>
                <c:pt idx="5">
                  <c:v>60.9</c:v>
                </c:pt>
                <c:pt idx="6">
                  <c:v>0</c:v>
                </c:pt>
                <c:pt idx="7">
                  <c:v>0</c:v>
                </c:pt>
                <c:pt idx="8">
                  <c:v>58.4</c:v>
                </c:pt>
                <c:pt idx="9">
                  <c:v>0</c:v>
                </c:pt>
                <c:pt idx="10">
                  <c:v>58.4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58.4</c:v>
                </c:pt>
                <c:pt idx="30">
                  <c:v>0</c:v>
                </c:pt>
                <c:pt idx="31">
                  <c:v>58.4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5-49FC-B8EE-0F1AE18992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Fiz!$J$66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8-4EC1-BEB5-17F98DDF2947}"/>
            </c:ext>
          </c:extLst>
        </c:ser>
        <c:ser>
          <c:idx val="1"/>
          <c:order val="1"/>
          <c:tx>
            <c:strRef>
              <c:f>Fiz!$J$65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Fiz!$K$65:$AQ$65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45</c:v>
                </c:pt>
                <c:pt idx="3">
                  <c:v>75</c:v>
                </c:pt>
                <c:pt idx="4">
                  <c:v>55</c:v>
                </c:pt>
                <c:pt idx="5">
                  <c:v>65</c:v>
                </c:pt>
                <c:pt idx="6">
                  <c:v>0</c:v>
                </c:pt>
                <c:pt idx="7">
                  <c:v>0</c:v>
                </c:pt>
                <c:pt idx="8">
                  <c:v>55</c:v>
                </c:pt>
                <c:pt idx="9">
                  <c:v>0</c:v>
                </c:pt>
                <c:pt idx="10">
                  <c:v>55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55</c:v>
                </c:pt>
                <c:pt idx="30">
                  <c:v>0</c:v>
                </c:pt>
                <c:pt idx="31">
                  <c:v>55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8-4EC1-BEB5-17F98DDF2947}"/>
            </c:ext>
          </c:extLst>
        </c:ser>
        <c:ser>
          <c:idx val="2"/>
          <c:order val="2"/>
          <c:tx>
            <c:strRef>
              <c:f>Fiz!$J$64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Fiz!$K$64:$AQ$64</c:f>
              <c:numCache>
                <c:formatCode>0.00</c:formatCode>
                <c:ptCount val="33"/>
                <c:pt idx="0">
                  <c:v>40</c:v>
                </c:pt>
                <c:pt idx="1">
                  <c:v>0</c:v>
                </c:pt>
                <c:pt idx="2">
                  <c:v>35</c:v>
                </c:pt>
                <c:pt idx="3">
                  <c:v>15</c:v>
                </c:pt>
                <c:pt idx="4">
                  <c:v>20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25</c:v>
                </c:pt>
                <c:pt idx="30">
                  <c:v>0</c:v>
                </c:pt>
                <c:pt idx="31">
                  <c:v>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8-4EC1-BEB5-17F98DDF2947}"/>
            </c:ext>
          </c:extLst>
        </c:ser>
        <c:ser>
          <c:idx val="3"/>
          <c:order val="3"/>
          <c:tx>
            <c:strRef>
              <c:f>Fiz!$J$63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Fiz!$K$63:$AQ$63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20</c:v>
                </c:pt>
                <c:pt idx="3">
                  <c:v>10</c:v>
                </c:pt>
                <c:pt idx="4">
                  <c:v>25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0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78-4EC1-BEB5-17F98DDF29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Kim!$J$56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Kim!$K$56:$AQ$56</c:f>
              <c:numCache>
                <c:formatCode>0.00</c:formatCode>
                <c:ptCount val="33"/>
                <c:pt idx="0">
                  <c:v>57.2</c:v>
                </c:pt>
                <c:pt idx="1">
                  <c:v>0</c:v>
                </c:pt>
                <c:pt idx="2">
                  <c:v>44.7</c:v>
                </c:pt>
                <c:pt idx="3">
                  <c:v>53.6</c:v>
                </c:pt>
                <c:pt idx="4">
                  <c:v>53.5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50.6</c:v>
                </c:pt>
                <c:pt idx="9">
                  <c:v>0</c:v>
                </c:pt>
                <c:pt idx="10">
                  <c:v>50.6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50.6</c:v>
                </c:pt>
                <c:pt idx="30">
                  <c:v>0</c:v>
                </c:pt>
                <c:pt idx="31">
                  <c:v>50.6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E-48E4-BBEF-1086FB029F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Kim!$J$66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2-4FF1-A697-2D3C9A3AEC2B}"/>
            </c:ext>
          </c:extLst>
        </c:ser>
        <c:ser>
          <c:idx val="1"/>
          <c:order val="1"/>
          <c:tx>
            <c:strRef>
              <c:f>Kim!$J$65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Kim!$K$65:$AQ$65</c:f>
              <c:numCache>
                <c:formatCode>0.00</c:formatCode>
                <c:ptCount val="33"/>
                <c:pt idx="0">
                  <c:v>75</c:v>
                </c:pt>
                <c:pt idx="1">
                  <c:v>0</c:v>
                </c:pt>
                <c:pt idx="2">
                  <c:v>75</c:v>
                </c:pt>
                <c:pt idx="3">
                  <c:v>70</c:v>
                </c:pt>
                <c:pt idx="4">
                  <c:v>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65</c:v>
                </c:pt>
                <c:pt idx="9">
                  <c:v>0</c:v>
                </c:pt>
                <c:pt idx="10">
                  <c:v>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65</c:v>
                </c:pt>
                <c:pt idx="30">
                  <c:v>0</c:v>
                </c:pt>
                <c:pt idx="31">
                  <c:v>65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2-4FF1-A697-2D3C9A3AEC2B}"/>
            </c:ext>
          </c:extLst>
        </c:ser>
        <c:ser>
          <c:idx val="2"/>
          <c:order val="2"/>
          <c:tx>
            <c:strRef>
              <c:f>Kim!$J$64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Kim!$K$64:$AQ$64</c:f>
              <c:numCache>
                <c:formatCode>0.00</c:formatCode>
                <c:ptCount val="33"/>
                <c:pt idx="0">
                  <c:v>5</c:v>
                </c:pt>
                <c:pt idx="1">
                  <c:v>0</c:v>
                </c:pt>
                <c:pt idx="2">
                  <c:v>20</c:v>
                </c:pt>
                <c:pt idx="3">
                  <c:v>30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  <c:pt idx="30">
                  <c:v>0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2-4FF1-A697-2D3C9A3AEC2B}"/>
            </c:ext>
          </c:extLst>
        </c:ser>
        <c:ser>
          <c:idx val="3"/>
          <c:order val="3"/>
          <c:tx>
            <c:strRef>
              <c:f>Kim!$J$63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Kim!$K$63:$AQ$63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0</c:v>
                </c:pt>
                <c:pt idx="31">
                  <c:v>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42-4FF1-A697-2D3C9A3AEC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Bio!$J$56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Bio!$K$56:$AQ$56</c:f>
              <c:numCache>
                <c:formatCode>0.00</c:formatCode>
                <c:ptCount val="33"/>
                <c:pt idx="0">
                  <c:v>49.95</c:v>
                </c:pt>
                <c:pt idx="1">
                  <c:v>0</c:v>
                </c:pt>
                <c:pt idx="2">
                  <c:v>48.05</c:v>
                </c:pt>
                <c:pt idx="3">
                  <c:v>44.45</c:v>
                </c:pt>
                <c:pt idx="4">
                  <c:v>49.8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47.433333333333337</c:v>
                </c:pt>
                <c:pt idx="9">
                  <c:v>49.3</c:v>
                </c:pt>
                <c:pt idx="10">
                  <c:v>48.553333333333327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47.433333333333337</c:v>
                </c:pt>
                <c:pt idx="30">
                  <c:v>49.3</c:v>
                </c:pt>
                <c:pt idx="31">
                  <c:v>48.553333333333327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24D-B909-F6220AB061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Bio!$J$66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5-4A0A-8FA7-5A8BC5C45A12}"/>
            </c:ext>
          </c:extLst>
        </c:ser>
        <c:ser>
          <c:idx val="1"/>
          <c:order val="1"/>
          <c:tx>
            <c:strRef>
              <c:f>Bio!$J$65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Bio!$K$65:$AQ$65</c:f>
              <c:numCache>
                <c:formatCode>0.00</c:formatCode>
                <c:ptCount val="33"/>
                <c:pt idx="0">
                  <c:v>75</c:v>
                </c:pt>
                <c:pt idx="1">
                  <c:v>0</c:v>
                </c:pt>
                <c:pt idx="2">
                  <c:v>75</c:v>
                </c:pt>
                <c:pt idx="3">
                  <c:v>80</c:v>
                </c:pt>
                <c:pt idx="4">
                  <c:v>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75</c:v>
                </c:pt>
                <c:pt idx="9">
                  <c:v>65</c:v>
                </c:pt>
                <c:pt idx="10">
                  <c:v>70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75</c:v>
                </c:pt>
                <c:pt idx="30">
                  <c:v>65</c:v>
                </c:pt>
                <c:pt idx="31">
                  <c:v>70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5-4A0A-8FA7-5A8BC5C45A12}"/>
            </c:ext>
          </c:extLst>
        </c:ser>
        <c:ser>
          <c:idx val="2"/>
          <c:order val="2"/>
          <c:tx>
            <c:strRef>
              <c:f>Bio!$J$64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Bio!$K$64:$AQ$64</c:f>
              <c:numCache>
                <c:formatCode>0.00</c:formatCode>
                <c:ptCount val="33"/>
                <c:pt idx="0">
                  <c:v>10</c:v>
                </c:pt>
                <c:pt idx="1">
                  <c:v>0</c:v>
                </c:pt>
                <c:pt idx="2">
                  <c:v>20</c:v>
                </c:pt>
                <c:pt idx="3">
                  <c:v>10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25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25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25-4A0A-8FA7-5A8BC5C45A12}"/>
            </c:ext>
          </c:extLst>
        </c:ser>
        <c:ser>
          <c:idx val="3"/>
          <c:order val="3"/>
          <c:tx>
            <c:strRef>
              <c:f>Bio!$J$63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Bio!$K$63:$AQ$63</c:f>
              <c:numCache>
                <c:formatCode>0.00</c:formatCode>
                <c:ptCount val="33"/>
                <c:pt idx="0">
                  <c:v>15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25-4A0A-8FA7-5A8BC5C45A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Coğ!$J$56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Coğ!$K$56:$AQ$56</c:f>
              <c:numCache>
                <c:formatCode>0.00</c:formatCode>
                <c:ptCount val="33"/>
                <c:pt idx="0">
                  <c:v>62.5</c:v>
                </c:pt>
                <c:pt idx="1">
                  <c:v>0</c:v>
                </c:pt>
                <c:pt idx="2">
                  <c:v>55.25</c:v>
                </c:pt>
                <c:pt idx="3">
                  <c:v>47.3</c:v>
                </c:pt>
                <c:pt idx="4">
                  <c:v>50.1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50.88333333333334</c:v>
                </c:pt>
                <c:pt idx="9">
                  <c:v>0</c:v>
                </c:pt>
                <c:pt idx="10">
                  <c:v>50.88333333333334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50.88333333333334</c:v>
                </c:pt>
                <c:pt idx="30">
                  <c:v>0</c:v>
                </c:pt>
                <c:pt idx="31">
                  <c:v>50.88333333333334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5-42F3-86AD-CC5293E2C3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Coğ!$J$66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6-4146-BC2D-6DC6AE4CF780}"/>
            </c:ext>
          </c:extLst>
        </c:ser>
        <c:ser>
          <c:idx val="1"/>
          <c:order val="1"/>
          <c:tx>
            <c:strRef>
              <c:f>Coğ!$J$65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Coğ!$K$65:$AQ$65</c:f>
              <c:numCache>
                <c:formatCode>0.00</c:formatCode>
                <c:ptCount val="33"/>
                <c:pt idx="0">
                  <c:v>60</c:v>
                </c:pt>
                <c:pt idx="1">
                  <c:v>0</c:v>
                </c:pt>
                <c:pt idx="2">
                  <c:v>55</c:v>
                </c:pt>
                <c:pt idx="3">
                  <c:v>85</c:v>
                </c:pt>
                <c:pt idx="4">
                  <c:v>70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75</c:v>
                </c:pt>
                <c:pt idx="9">
                  <c:v>0</c:v>
                </c:pt>
                <c:pt idx="10">
                  <c:v>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75</c:v>
                </c:pt>
                <c:pt idx="30">
                  <c:v>0</c:v>
                </c:pt>
                <c:pt idx="31">
                  <c:v>75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6-4146-BC2D-6DC6AE4CF780}"/>
            </c:ext>
          </c:extLst>
        </c:ser>
        <c:ser>
          <c:idx val="2"/>
          <c:order val="2"/>
          <c:tx>
            <c:strRef>
              <c:f>Coğ!$J$64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Coğ!$K$64:$AQ$64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30</c:v>
                </c:pt>
                <c:pt idx="3">
                  <c:v>15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25</c:v>
                </c:pt>
                <c:pt idx="30">
                  <c:v>0</c:v>
                </c:pt>
                <c:pt idx="31">
                  <c:v>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6-4146-BC2D-6DC6AE4CF780}"/>
            </c:ext>
          </c:extLst>
        </c:ser>
        <c:ser>
          <c:idx val="3"/>
          <c:order val="3"/>
          <c:tx>
            <c:strRef>
              <c:f>Coğ!$J$63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Coğ!$K$63:$AQ$63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46-4146-BC2D-6DC6AE4CF7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'Həy-b'!$J$56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'Həy-b'!$K$56:$AQ$56</c:f>
              <c:numCache>
                <c:formatCode>0.00</c:formatCode>
                <c:ptCount val="33"/>
                <c:pt idx="0">
                  <c:v>56.3</c:v>
                </c:pt>
                <c:pt idx="1">
                  <c:v>0</c:v>
                </c:pt>
                <c:pt idx="2">
                  <c:v>51.05</c:v>
                </c:pt>
                <c:pt idx="3">
                  <c:v>55.6</c:v>
                </c:pt>
                <c:pt idx="4">
                  <c:v>55.05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53.9</c:v>
                </c:pt>
                <c:pt idx="9">
                  <c:v>0</c:v>
                </c:pt>
                <c:pt idx="10">
                  <c:v>53.9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53.9</c:v>
                </c:pt>
                <c:pt idx="30">
                  <c:v>0</c:v>
                </c:pt>
                <c:pt idx="31">
                  <c:v>53.9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7-43DF-903F-5226AE8BE9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'Həy-b'!$J$66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A83-8655-DC95D19F5553}"/>
            </c:ext>
          </c:extLst>
        </c:ser>
        <c:ser>
          <c:idx val="1"/>
          <c:order val="1"/>
          <c:tx>
            <c:strRef>
              <c:f>'Həy-b'!$J$65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'Həy-b'!$K$65:$AQ$65</c:f>
              <c:numCache>
                <c:formatCode>0.00</c:formatCode>
                <c:ptCount val="33"/>
                <c:pt idx="0">
                  <c:v>65</c:v>
                </c:pt>
                <c:pt idx="1">
                  <c:v>0</c:v>
                </c:pt>
                <c:pt idx="2">
                  <c:v>60</c:v>
                </c:pt>
                <c:pt idx="3">
                  <c:v>50</c:v>
                </c:pt>
                <c:pt idx="4">
                  <c:v>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</c:v>
                </c:pt>
                <c:pt idx="9">
                  <c:v>0</c:v>
                </c:pt>
                <c:pt idx="10">
                  <c:v>60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</c:v>
                </c:pt>
                <c:pt idx="30">
                  <c:v>0</c:v>
                </c:pt>
                <c:pt idx="31">
                  <c:v>60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F-4A83-8655-DC95D19F5553}"/>
            </c:ext>
          </c:extLst>
        </c:ser>
        <c:ser>
          <c:idx val="2"/>
          <c:order val="2"/>
          <c:tx>
            <c:strRef>
              <c:f>'Həy-b'!$J$64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'Həy-b'!$K$64:$AQ$64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30</c:v>
                </c:pt>
                <c:pt idx="3">
                  <c:v>45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  <c:pt idx="30">
                  <c:v>0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A83-8655-DC95D19F5553}"/>
            </c:ext>
          </c:extLst>
        </c:ser>
        <c:ser>
          <c:idx val="3"/>
          <c:order val="3"/>
          <c:tx>
            <c:strRef>
              <c:f>'Həy-b'!$J$63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'Həy-b'!$K$63:$AQ$63</c:f>
              <c:numCache>
                <c:formatCode>0.00</c:formatCode>
                <c:ptCount val="33"/>
                <c:pt idx="0">
                  <c:v>15</c:v>
                </c:pt>
                <c:pt idx="1">
                  <c:v>0</c:v>
                </c:pt>
                <c:pt idx="2">
                  <c:v>10</c:v>
                </c:pt>
                <c:pt idx="3">
                  <c:v>5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</c:v>
                </c:pt>
                <c:pt idx="30">
                  <c:v>0</c:v>
                </c:pt>
                <c:pt idx="31">
                  <c:v>10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F-4A83-8655-DC95D19F55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Texn!$J$56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Texn!$K$56:$AQ$56</c:f>
              <c:numCache>
                <c:formatCode>0.00</c:formatCode>
                <c:ptCount val="33"/>
                <c:pt idx="0">
                  <c:v>63.25</c:v>
                </c:pt>
                <c:pt idx="1">
                  <c:v>0</c:v>
                </c:pt>
                <c:pt idx="2">
                  <c:v>66.25</c:v>
                </c:pt>
                <c:pt idx="3">
                  <c:v>65.2</c:v>
                </c:pt>
                <c:pt idx="4">
                  <c:v>68.150000000000006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66.533333333333331</c:v>
                </c:pt>
                <c:pt idx="9">
                  <c:v>0</c:v>
                </c:pt>
                <c:pt idx="10">
                  <c:v>66.533333333333331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66.533333333333331</c:v>
                </c:pt>
                <c:pt idx="30">
                  <c:v>0</c:v>
                </c:pt>
                <c:pt idx="31">
                  <c:v>66.533333333333331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3-4855-9CF6-38AAFD3372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Texn!$J$66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8-4641-90EC-BF00B9570B61}"/>
            </c:ext>
          </c:extLst>
        </c:ser>
        <c:ser>
          <c:idx val="1"/>
          <c:order val="1"/>
          <c:tx>
            <c:strRef>
              <c:f>Texn!$J$65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Texn!$K$65:$AQ$65</c:f>
              <c:numCache>
                <c:formatCode>0.00</c:formatCode>
                <c:ptCount val="33"/>
                <c:pt idx="0">
                  <c:v>45</c:v>
                </c:pt>
                <c:pt idx="1">
                  <c:v>0</c:v>
                </c:pt>
                <c:pt idx="2">
                  <c:v>35</c:v>
                </c:pt>
                <c:pt idx="3">
                  <c:v>40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40</c:v>
                </c:pt>
                <c:pt idx="9">
                  <c:v>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40</c:v>
                </c:pt>
                <c:pt idx="30">
                  <c:v>0</c:v>
                </c:pt>
                <c:pt idx="31">
                  <c:v>40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8-4641-90EC-BF00B9570B61}"/>
            </c:ext>
          </c:extLst>
        </c:ser>
        <c:ser>
          <c:idx val="2"/>
          <c:order val="2"/>
          <c:tx>
            <c:strRef>
              <c:f>Texn!$J$64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Texn!$K$64:$AQ$64</c:f>
              <c:numCache>
                <c:formatCode>0.00</c:formatCode>
                <c:ptCount val="33"/>
                <c:pt idx="0">
                  <c:v>35</c:v>
                </c:pt>
                <c:pt idx="1">
                  <c:v>0</c:v>
                </c:pt>
                <c:pt idx="2">
                  <c:v>40</c:v>
                </c:pt>
                <c:pt idx="3">
                  <c:v>40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</c:v>
                </c:pt>
                <c:pt idx="9">
                  <c:v>0</c:v>
                </c:pt>
                <c:pt idx="10">
                  <c:v>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35</c:v>
                </c:pt>
                <c:pt idx="30">
                  <c:v>0</c:v>
                </c:pt>
                <c:pt idx="31">
                  <c:v>35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8-4641-90EC-BF00B9570B61}"/>
            </c:ext>
          </c:extLst>
        </c:ser>
        <c:ser>
          <c:idx val="3"/>
          <c:order val="3"/>
          <c:tx>
            <c:strRef>
              <c:f>Texn!$J$63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Texn!$K$63:$AQ$63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25</c:v>
                </c:pt>
                <c:pt idx="3">
                  <c:v>20</c:v>
                </c:pt>
                <c:pt idx="4">
                  <c:v>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25</c:v>
                </c:pt>
                <c:pt idx="30">
                  <c:v>0</c:v>
                </c:pt>
                <c:pt idx="31">
                  <c:v>25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C8-4641-90EC-BF00B9570B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'Fiz-t'!$K$56:$AQ$56</c:f>
              <c:numCache>
                <c:formatCode>0.00</c:formatCode>
                <c:ptCount val="33"/>
                <c:pt idx="0">
                  <c:v>81.400000000000006</c:v>
                </c:pt>
                <c:pt idx="1">
                  <c:v>0</c:v>
                </c:pt>
                <c:pt idx="2">
                  <c:v>68.650000000000006</c:v>
                </c:pt>
                <c:pt idx="3">
                  <c:v>72.900000000000006</c:v>
                </c:pt>
                <c:pt idx="4">
                  <c:v>74.55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72.033333333333331</c:v>
                </c:pt>
                <c:pt idx="9">
                  <c:v>0</c:v>
                </c:pt>
                <c:pt idx="10">
                  <c:v>72.033333333333331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72.033333333333331</c:v>
                </c:pt>
                <c:pt idx="30">
                  <c:v>0</c:v>
                </c:pt>
                <c:pt idx="31">
                  <c:v>72.033333333333331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C-4536-8E2B-39007835E3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9-45BB-96CD-120B75CBEB94}"/>
            </c:ext>
          </c:extLst>
        </c:ser>
        <c:ser>
          <c:idx val="1"/>
          <c:order val="1"/>
          <c:tx>
            <c:strRef>
              <c:f>'Fiz-t'!$J$65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45</c:v>
                </c:pt>
                <c:pt idx="3">
                  <c:v>15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0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0</c:v>
                </c:pt>
                <c:pt idx="31">
                  <c:v>15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9-45BB-96CD-120B75CBEB94}"/>
            </c:ext>
          </c:extLst>
        </c:ser>
        <c:ser>
          <c:idx val="2"/>
          <c:order val="2"/>
          <c:tx>
            <c:strRef>
              <c:f>'Fiz-t'!$J$64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'Fiz-t'!$K$64:$AQ$64</c:f>
              <c:numCache>
                <c:formatCode>0.00</c:formatCode>
                <c:ptCount val="33"/>
                <c:pt idx="0">
                  <c:v>35</c:v>
                </c:pt>
                <c:pt idx="1">
                  <c:v>0</c:v>
                </c:pt>
                <c:pt idx="2">
                  <c:v>45</c:v>
                </c:pt>
                <c:pt idx="3">
                  <c:v>70</c:v>
                </c:pt>
                <c:pt idx="4">
                  <c:v>70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</c:v>
                </c:pt>
                <c:pt idx="9">
                  <c:v>0</c:v>
                </c:pt>
                <c:pt idx="10">
                  <c:v>70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</c:v>
                </c:pt>
                <c:pt idx="30">
                  <c:v>0</c:v>
                </c:pt>
                <c:pt idx="31">
                  <c:v>70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9-45BB-96CD-120B75CBEB94}"/>
            </c:ext>
          </c:extLst>
        </c:ser>
        <c:ser>
          <c:idx val="3"/>
          <c:order val="3"/>
          <c:tx>
            <c:strRef>
              <c:f>'Fiz-t'!$J$63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'Fiz-t'!$K$63:$AQ$63</c:f>
              <c:numCache>
                <c:formatCode>0.00</c:formatCode>
                <c:ptCount val="33"/>
                <c:pt idx="0">
                  <c:v>65</c:v>
                </c:pt>
                <c:pt idx="1">
                  <c:v>0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</c:v>
                </c:pt>
                <c:pt idx="9">
                  <c:v>0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15</c:v>
                </c:pt>
                <c:pt idx="30">
                  <c:v>0</c:v>
                </c:pt>
                <c:pt idx="31">
                  <c:v>15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9-45BB-96CD-120B75CBEB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Mus!$J$56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Mus!$K$56:$AQ$56</c:f>
              <c:numCache>
                <c:formatCode>0.00</c:formatCode>
                <c:ptCount val="33"/>
                <c:pt idx="0">
                  <c:v>62.9</c:v>
                </c:pt>
                <c:pt idx="1">
                  <c:v>0</c:v>
                </c:pt>
                <c:pt idx="2">
                  <c:v>64.7</c:v>
                </c:pt>
                <c:pt idx="3">
                  <c:v>59.65</c:v>
                </c:pt>
                <c:pt idx="4">
                  <c:v>59.55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61.29999999999999</c:v>
                </c:pt>
                <c:pt idx="9">
                  <c:v>0</c:v>
                </c:pt>
                <c:pt idx="10">
                  <c:v>61.29999999999999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61.29999999999999</c:v>
                </c:pt>
                <c:pt idx="30">
                  <c:v>0</c:v>
                </c:pt>
                <c:pt idx="31">
                  <c:v>61.29999999999999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6-4968-B1AA-2AE386DCC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Mus!$J$66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D-4263-BDA3-CFE9407E493D}"/>
            </c:ext>
          </c:extLst>
        </c:ser>
        <c:ser>
          <c:idx val="1"/>
          <c:order val="1"/>
          <c:tx>
            <c:strRef>
              <c:f>Mus!$J$65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Mus!$K$65:$AQ$65</c:f>
              <c:numCache>
                <c:formatCode>0.00</c:formatCode>
                <c:ptCount val="33"/>
                <c:pt idx="0">
                  <c:v>50</c:v>
                </c:pt>
                <c:pt idx="1">
                  <c:v>0</c:v>
                </c:pt>
                <c:pt idx="2">
                  <c:v>60</c:v>
                </c:pt>
                <c:pt idx="3">
                  <c:v>50</c:v>
                </c:pt>
                <c:pt idx="4">
                  <c:v>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</c:v>
                </c:pt>
                <c:pt idx="9">
                  <c:v>0</c:v>
                </c:pt>
                <c:pt idx="10">
                  <c:v>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</c:v>
                </c:pt>
                <c:pt idx="30">
                  <c:v>0</c:v>
                </c:pt>
                <c:pt idx="31">
                  <c:v>50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D-4263-BDA3-CFE9407E493D}"/>
            </c:ext>
          </c:extLst>
        </c:ser>
        <c:ser>
          <c:idx val="2"/>
          <c:order val="2"/>
          <c:tx>
            <c:strRef>
              <c:f>Mus!$J$64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Mus!$K$64:$AQ$64</c:f>
              <c:numCache>
                <c:formatCode>0.00</c:formatCode>
                <c:ptCount val="33"/>
                <c:pt idx="0">
                  <c:v>30</c:v>
                </c:pt>
                <c:pt idx="1">
                  <c:v>0</c:v>
                </c:pt>
                <c:pt idx="2">
                  <c:v>15</c:v>
                </c:pt>
                <c:pt idx="3">
                  <c:v>25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  <c:pt idx="30">
                  <c:v>0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4D-4263-BDA3-CFE9407E493D}"/>
            </c:ext>
          </c:extLst>
        </c:ser>
        <c:ser>
          <c:idx val="3"/>
          <c:order val="3"/>
          <c:tx>
            <c:strRef>
              <c:f>Mus!$J$63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Mus!$K$63:$AQ$63</c:f>
              <c:numCache>
                <c:formatCode>0.00</c:formatCode>
                <c:ptCount val="33"/>
                <c:pt idx="0">
                  <c:v>20</c:v>
                </c:pt>
                <c:pt idx="1">
                  <c:v>0</c:v>
                </c:pt>
                <c:pt idx="2">
                  <c:v>25</c:v>
                </c:pt>
                <c:pt idx="3">
                  <c:v>25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20</c:v>
                </c:pt>
                <c:pt idx="30">
                  <c:v>0</c:v>
                </c:pt>
                <c:pt idx="31">
                  <c:v>20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4D-4263-BDA3-CFE9407E49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'Təs-i'!$J$56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'Təs-i'!$K$56:$AQ$56</c:f>
              <c:numCache>
                <c:formatCode>0.00</c:formatCode>
                <c:ptCount val="33"/>
                <c:pt idx="0">
                  <c:v>68.650000000000006</c:v>
                </c:pt>
                <c:pt idx="1">
                  <c:v>0</c:v>
                </c:pt>
                <c:pt idx="2">
                  <c:v>64.400000000000006</c:v>
                </c:pt>
                <c:pt idx="3">
                  <c:v>63.4</c:v>
                </c:pt>
                <c:pt idx="4">
                  <c:v>61.3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63.033333333333346</c:v>
                </c:pt>
                <c:pt idx="9">
                  <c:v>0</c:v>
                </c:pt>
                <c:pt idx="10">
                  <c:v>63.033333333333346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63.033333333333346</c:v>
                </c:pt>
                <c:pt idx="30">
                  <c:v>0</c:v>
                </c:pt>
                <c:pt idx="31">
                  <c:v>63.033333333333346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3-43A1-974B-8687BDB5AF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'Təs-i'!$J$66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D-47D8-9602-A9F113FDB1D0}"/>
            </c:ext>
          </c:extLst>
        </c:ser>
        <c:ser>
          <c:idx val="1"/>
          <c:order val="1"/>
          <c:tx>
            <c:strRef>
              <c:f>'Təs-i'!$J$65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'Təs-i'!$K$65:$AQ$65</c:f>
              <c:numCache>
                <c:formatCode>0.00</c:formatCode>
                <c:ptCount val="33"/>
                <c:pt idx="0">
                  <c:v>25</c:v>
                </c:pt>
                <c:pt idx="1">
                  <c:v>0</c:v>
                </c:pt>
                <c:pt idx="2">
                  <c:v>60</c:v>
                </c:pt>
                <c:pt idx="3">
                  <c:v>60</c:v>
                </c:pt>
                <c:pt idx="4">
                  <c:v>65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60</c:v>
                </c:pt>
                <c:pt idx="9">
                  <c:v>0</c:v>
                </c:pt>
                <c:pt idx="10">
                  <c:v>60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60</c:v>
                </c:pt>
                <c:pt idx="30">
                  <c:v>0</c:v>
                </c:pt>
                <c:pt idx="31">
                  <c:v>60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D-47D8-9602-A9F113FDB1D0}"/>
            </c:ext>
          </c:extLst>
        </c:ser>
        <c:ser>
          <c:idx val="2"/>
          <c:order val="2"/>
          <c:tx>
            <c:strRef>
              <c:f>'Təs-i'!$J$64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'Təs-i'!$K$64:$AQ$64</c:f>
              <c:numCache>
                <c:formatCode>0.00</c:formatCode>
                <c:ptCount val="33"/>
                <c:pt idx="0">
                  <c:v>50</c:v>
                </c:pt>
                <c:pt idx="1">
                  <c:v>0</c:v>
                </c:pt>
                <c:pt idx="2">
                  <c:v>15</c:v>
                </c:pt>
                <c:pt idx="3">
                  <c:v>25</c:v>
                </c:pt>
                <c:pt idx="4">
                  <c:v>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  <c:pt idx="30">
                  <c:v>0</c:v>
                </c:pt>
                <c:pt idx="31">
                  <c:v>30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D-47D8-9602-A9F113FDB1D0}"/>
            </c:ext>
          </c:extLst>
        </c:ser>
        <c:ser>
          <c:idx val="3"/>
          <c:order val="3"/>
          <c:tx>
            <c:strRef>
              <c:f>'Təs-i'!$J$63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'Təs-i'!$K$63:$AQ$63</c:f>
              <c:numCache>
                <c:formatCode>0.00</c:formatCode>
                <c:ptCount val="33"/>
                <c:pt idx="0">
                  <c:v>25</c:v>
                </c:pt>
                <c:pt idx="1">
                  <c:v>0</c:v>
                </c:pt>
                <c:pt idx="2">
                  <c:v>25</c:v>
                </c:pt>
                <c:pt idx="3">
                  <c:v>15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</c:v>
                </c:pt>
                <c:pt idx="30">
                  <c:v>0</c:v>
                </c:pt>
                <c:pt idx="31">
                  <c:v>10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D-47D8-9602-A9F113FDB1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'Ç-h'!$J$56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6-4C60-9DE1-DC8115F40F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'Ç-h'!$J$66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1-4527-9CB1-252D2A7840B9}"/>
            </c:ext>
          </c:extLst>
        </c:ser>
        <c:ser>
          <c:idx val="1"/>
          <c:order val="1"/>
          <c:tx>
            <c:strRef>
              <c:f>'Ç-h'!$J$65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1-4527-9CB1-252D2A7840B9}"/>
            </c:ext>
          </c:extLst>
        </c:ser>
        <c:ser>
          <c:idx val="2"/>
          <c:order val="2"/>
          <c:tx>
            <c:strRef>
              <c:f>'Ç-h'!$J$64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91-4527-9CB1-252D2A7840B9}"/>
            </c:ext>
          </c:extLst>
        </c:ser>
        <c:ser>
          <c:idx val="3"/>
          <c:order val="3"/>
          <c:tx>
            <c:strRef>
              <c:f>'Ç-h'!$J$63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91-4527-9CB1-252D2A7840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Əlavə!$J$56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0-4C58-AB92-E7A582F652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Əlavə!$J$66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5-44AF-8FF9-DFE6C84F8CF8}"/>
            </c:ext>
          </c:extLst>
        </c:ser>
        <c:ser>
          <c:idx val="1"/>
          <c:order val="1"/>
          <c:tx>
            <c:strRef>
              <c:f>Əlavə!$J$65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5-44AF-8FF9-DFE6C84F8CF8}"/>
            </c:ext>
          </c:extLst>
        </c:ser>
        <c:ser>
          <c:idx val="2"/>
          <c:order val="2"/>
          <c:tx>
            <c:strRef>
              <c:f>Əlavə!$J$64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5-44AF-8FF9-DFE6C84F8CF8}"/>
            </c:ext>
          </c:extLst>
        </c:ser>
        <c:ser>
          <c:idx val="3"/>
          <c:order val="3"/>
          <c:tx>
            <c:strRef>
              <c:f>Əlavə!$J$63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5-44AF-8FF9-DFE6C84F8C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95318112348966E-3"/>
          <c:y val="1.730826207365057E-2"/>
          <c:w val="0.99248978301578505"/>
          <c:h val="0.493069071272905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Dinamika!$F$26</c:f>
              <c:strCache>
                <c:ptCount val="1"/>
                <c:pt idx="0">
                  <c:v>#N/A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Dinamika!$G$26:$AM$26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1-4D2E-9CCC-27DC1437A5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2007921312"/>
        <c:axId val="2007915488"/>
        <c:extLst/>
      </c:barChart>
      <c:catAx>
        <c:axId val="200792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2007915488"/>
        <c:crosses val="autoZero"/>
        <c:auto val="1"/>
        <c:lblAlgn val="ctr"/>
        <c:lblOffset val="100"/>
        <c:noMultiLvlLbl val="0"/>
      </c:catAx>
      <c:valAx>
        <c:axId val="2007915488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200792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905263654899786E-3"/>
          <c:y val="3.55297157622739E-2"/>
          <c:w val="0.99217801094313429"/>
          <c:h val="0.4610820438538189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Dinamika!$F$35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Dinamika!$G$35:$AM$35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3-4CC2-A6C6-AC325F2BE370}"/>
            </c:ext>
          </c:extLst>
        </c:ser>
        <c:ser>
          <c:idx val="1"/>
          <c:order val="1"/>
          <c:tx>
            <c:strRef>
              <c:f>Dinamika!$F$34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Dinamika!$G$34:$AM$34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3-4CC2-A6C6-AC325F2BE370}"/>
            </c:ext>
          </c:extLst>
        </c:ser>
        <c:ser>
          <c:idx val="2"/>
          <c:order val="2"/>
          <c:tx>
            <c:strRef>
              <c:f>Dinamika!$F$33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Dinamika!$G$33:$AM$33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3-4CC2-A6C6-AC325F2BE370}"/>
            </c:ext>
          </c:extLst>
        </c:ser>
        <c:ser>
          <c:idx val="3"/>
          <c:order val="3"/>
          <c:tx>
            <c:strRef>
              <c:f>Dinamika!$F$32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Dinamika!$G$32:$AM$32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F3-4CC2-A6C6-AC325F2BE3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761418064"/>
        <c:axId val="1761414320"/>
      </c:barChart>
      <c:catAx>
        <c:axId val="17614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761414320"/>
        <c:crosses val="autoZero"/>
        <c:auto val="1"/>
        <c:lblAlgn val="ctr"/>
        <c:lblOffset val="100"/>
        <c:noMultiLvlLbl val="0"/>
      </c:catAx>
      <c:valAx>
        <c:axId val="17614143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6141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574623</xdr:colOff>
      <xdr:row>35</xdr:row>
      <xdr:rowOff>179756</xdr:rowOff>
    </xdr:from>
    <xdr:to>
      <xdr:col>39</xdr:col>
      <xdr:colOff>49967</xdr:colOff>
      <xdr:row>60</xdr:row>
      <xdr:rowOff>99936</xdr:rowOff>
    </xdr:to>
    <xdr:graphicFrame macro="">
      <xdr:nvGraphicFramePr>
        <xdr:cNvPr id="145" name="Chart 144">
          <a:extLst>
            <a:ext uri="{FF2B5EF4-FFF2-40B4-BE49-F238E27FC236}">
              <a16:creationId xmlns:a16="http://schemas.microsoft.com/office/drawing/2014/main" id="{00000000-0008-0000-1600-00009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562131</xdr:colOff>
      <xdr:row>62</xdr:row>
      <xdr:rowOff>0</xdr:rowOff>
    </xdr:from>
    <xdr:to>
      <xdr:col>39</xdr:col>
      <xdr:colOff>49968</xdr:colOff>
      <xdr:row>89</xdr:row>
      <xdr:rowOff>20112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farida.hewimova@gmail.com" TargetMode="External"/><Relationship Id="rId13" Type="http://schemas.openxmlformats.org/officeDocument/2006/relationships/hyperlink" Target="mailto:hemidovamelahet19@gmail.com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mailto:elekbarovatamella@gmail.com," TargetMode="External"/><Relationship Id="rId7" Type="http://schemas.openxmlformats.org/officeDocument/2006/relationships/hyperlink" Target="mailto:bahar889999@gmail.com," TargetMode="External"/><Relationship Id="rId12" Type="http://schemas.openxmlformats.org/officeDocument/2006/relationships/hyperlink" Target="mailto:sevilgeograph@gmail.com" TargetMode="External"/><Relationship Id="rId17" Type="http://schemas.openxmlformats.org/officeDocument/2006/relationships/hyperlink" Target="mailto:m-cemile@yahoo.com" TargetMode="External"/><Relationship Id="rId2" Type="http://schemas.openxmlformats.org/officeDocument/2006/relationships/hyperlink" Target="mailto:maralabbasova62@gmail.com%20%20," TargetMode="External"/><Relationship Id="rId16" Type="http://schemas.openxmlformats.org/officeDocument/2006/relationships/hyperlink" Target="mailto:ifosrasul@gmail.com" TargetMode="External"/><Relationship Id="rId1" Type="http://schemas.openxmlformats.org/officeDocument/2006/relationships/hyperlink" Target="mailto:yaz.gul.15@mail.ru" TargetMode="External"/><Relationship Id="rId6" Type="http://schemas.openxmlformats.org/officeDocument/2006/relationships/hyperlink" Target="mailto:nerminemeherremova@gmail.com" TargetMode="External"/><Relationship Id="rId11" Type="http://schemas.openxmlformats.org/officeDocument/2006/relationships/hyperlink" Target="mailto:huseynovar89@gmail.com" TargetMode="External"/><Relationship Id="rId5" Type="http://schemas.openxmlformats.org/officeDocument/2006/relationships/hyperlink" Target="mailto:turqutbayramov@gmail.com" TargetMode="External"/><Relationship Id="rId15" Type="http://schemas.openxmlformats.org/officeDocument/2006/relationships/hyperlink" Target="mailto:ifosrasul@gmail.com" TargetMode="External"/><Relationship Id="rId10" Type="http://schemas.openxmlformats.org/officeDocument/2006/relationships/hyperlink" Target="mailto:7262313@gmail.com" TargetMode="External"/><Relationship Id="rId4" Type="http://schemas.openxmlformats.org/officeDocument/2006/relationships/hyperlink" Target="mailto:turqutbayramov@gmail.com" TargetMode="External"/><Relationship Id="rId9" Type="http://schemas.openxmlformats.org/officeDocument/2006/relationships/hyperlink" Target="mailto:atakishiyevbhruz@gmail.com" TargetMode="External"/><Relationship Id="rId14" Type="http://schemas.openxmlformats.org/officeDocument/2006/relationships/hyperlink" Target="mailto:hemidovamelahet19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"/>
  <sheetViews>
    <sheetView showGridLines="0" topLeftCell="E10" zoomScale="93" zoomScaleNormal="93" workbookViewId="0">
      <selection activeCell="L27" sqref="L27"/>
    </sheetView>
  </sheetViews>
  <sheetFormatPr defaultColWidth="8.85546875" defaultRowHeight="16.5" x14ac:dyDescent="0.25"/>
  <cols>
    <col min="1" max="1" width="1.5703125" style="76" customWidth="1"/>
    <col min="2" max="2" width="5" style="131" customWidth="1"/>
    <col min="3" max="3" width="9.7109375" style="76" customWidth="1"/>
    <col min="4" max="6" width="20.7109375" style="76" customWidth="1"/>
    <col min="7" max="7" width="6.85546875" style="76" customWidth="1"/>
    <col min="8" max="9" width="5.7109375" style="76" customWidth="1"/>
    <col min="10" max="10" width="8.7109375" style="76" customWidth="1"/>
    <col min="11" max="13" width="15.7109375" style="76" customWidth="1"/>
    <col min="14" max="14" width="74" style="76" customWidth="1"/>
    <col min="15" max="15" width="1.5703125" style="76" customWidth="1"/>
    <col min="16" max="16384" width="8.85546875" style="76"/>
  </cols>
  <sheetData>
    <row r="1" spans="1:14" ht="49.15" customHeight="1" x14ac:dyDescent="0.25">
      <c r="B1" s="248" t="s">
        <v>88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</row>
    <row r="2" spans="1:14" ht="28.15" customHeight="1" thickBot="1" x14ac:dyDescent="0.3">
      <c r="B2" s="246" t="s">
        <v>29</v>
      </c>
      <c r="C2" s="247"/>
      <c r="D2" s="77">
        <v>8</v>
      </c>
      <c r="E2" s="79" t="s">
        <v>41</v>
      </c>
      <c r="F2" s="80" t="s">
        <v>227</v>
      </c>
      <c r="G2" s="246" t="s">
        <v>63</v>
      </c>
      <c r="H2" s="247"/>
      <c r="I2" s="263" t="s">
        <v>228</v>
      </c>
      <c r="J2" s="264"/>
      <c r="K2" s="249" t="s">
        <v>90</v>
      </c>
      <c r="L2" s="250"/>
      <c r="M2" s="251"/>
      <c r="N2" s="88" t="s">
        <v>229</v>
      </c>
    </row>
    <row r="3" spans="1:14" ht="18.600000000000001" customHeight="1" thickTop="1" thickBot="1" x14ac:dyDescent="0.3">
      <c r="B3" s="245" t="s">
        <v>0</v>
      </c>
      <c r="C3" s="257" t="s">
        <v>99</v>
      </c>
      <c r="D3" s="259" t="s">
        <v>1</v>
      </c>
      <c r="E3" s="259"/>
      <c r="F3" s="259"/>
      <c r="G3" s="260" t="s">
        <v>3</v>
      </c>
      <c r="H3" s="259" t="s">
        <v>34</v>
      </c>
      <c r="I3" s="259"/>
      <c r="J3" s="262"/>
      <c r="K3" s="252" t="s">
        <v>87</v>
      </c>
      <c r="L3" s="253"/>
      <c r="M3" s="254"/>
      <c r="N3" s="255" t="s">
        <v>86</v>
      </c>
    </row>
    <row r="4" spans="1:14" ht="48.75" thickTop="1" thickBot="1" x14ac:dyDescent="0.3">
      <c r="A4" s="62"/>
      <c r="B4" s="245"/>
      <c r="C4" s="258"/>
      <c r="D4" s="49" t="s">
        <v>4</v>
      </c>
      <c r="E4" s="49" t="s">
        <v>5</v>
      </c>
      <c r="F4" s="49" t="s">
        <v>2</v>
      </c>
      <c r="G4" s="261"/>
      <c r="H4" s="78" t="s">
        <v>38</v>
      </c>
      <c r="I4" s="78" t="s">
        <v>39</v>
      </c>
      <c r="J4" s="89" t="s">
        <v>40</v>
      </c>
      <c r="K4" s="87" t="s">
        <v>91</v>
      </c>
      <c r="L4" s="78" t="s">
        <v>85</v>
      </c>
      <c r="M4" s="78" t="s">
        <v>89</v>
      </c>
      <c r="N4" s="256"/>
    </row>
    <row r="5" spans="1:14" ht="18.2" customHeight="1" thickTop="1" x14ac:dyDescent="0.25">
      <c r="A5" s="62"/>
      <c r="B5" s="144">
        <v>1</v>
      </c>
      <c r="C5" s="231">
        <v>1356498</v>
      </c>
      <c r="D5" s="232" t="s">
        <v>124</v>
      </c>
      <c r="E5" s="232" t="s">
        <v>125</v>
      </c>
      <c r="F5" s="232" t="s">
        <v>126</v>
      </c>
      <c r="G5" s="232" t="s">
        <v>127</v>
      </c>
      <c r="H5" s="232">
        <v>19</v>
      </c>
      <c r="I5" s="232">
        <v>9</v>
      </c>
      <c r="J5" s="233">
        <v>2007</v>
      </c>
      <c r="K5" s="234" t="s">
        <v>128</v>
      </c>
      <c r="L5" s="232" t="s">
        <v>129</v>
      </c>
      <c r="M5" s="232"/>
      <c r="N5" s="233" t="s">
        <v>130</v>
      </c>
    </row>
    <row r="6" spans="1:14" ht="18.2" customHeight="1" x14ac:dyDescent="0.25">
      <c r="A6" s="62"/>
      <c r="B6" s="121">
        <v>2</v>
      </c>
      <c r="C6" s="231">
        <v>1356404</v>
      </c>
      <c r="D6" s="235" t="s">
        <v>131</v>
      </c>
      <c r="E6" s="235" t="s">
        <v>132</v>
      </c>
      <c r="F6" s="235" t="s">
        <v>133</v>
      </c>
      <c r="G6" s="235" t="s">
        <v>127</v>
      </c>
      <c r="H6" s="235">
        <v>22</v>
      </c>
      <c r="I6" s="235">
        <v>7</v>
      </c>
      <c r="J6" s="236">
        <v>2008</v>
      </c>
      <c r="K6" s="237" t="s">
        <v>134</v>
      </c>
      <c r="L6" s="235" t="s">
        <v>135</v>
      </c>
      <c r="M6" s="235" t="s">
        <v>136</v>
      </c>
      <c r="N6" s="236" t="s">
        <v>137</v>
      </c>
    </row>
    <row r="7" spans="1:14" ht="18.2" customHeight="1" x14ac:dyDescent="0.25">
      <c r="A7" s="62"/>
      <c r="B7" s="121">
        <v>3</v>
      </c>
      <c r="C7" s="231">
        <v>1356298</v>
      </c>
      <c r="D7" s="235" t="s">
        <v>138</v>
      </c>
      <c r="E7" s="235" t="s">
        <v>132</v>
      </c>
      <c r="F7" s="235" t="s">
        <v>139</v>
      </c>
      <c r="G7" s="235" t="s">
        <v>127</v>
      </c>
      <c r="H7" s="235">
        <v>2</v>
      </c>
      <c r="I7" s="235">
        <v>2</v>
      </c>
      <c r="J7" s="236">
        <v>2008</v>
      </c>
      <c r="K7" s="238"/>
      <c r="L7" s="235" t="s">
        <v>140</v>
      </c>
      <c r="M7" s="235" t="s">
        <v>141</v>
      </c>
      <c r="N7" s="236" t="s">
        <v>142</v>
      </c>
    </row>
    <row r="8" spans="1:14" ht="18.2" customHeight="1" x14ac:dyDescent="0.25">
      <c r="A8" s="62"/>
      <c r="B8" s="121">
        <v>4</v>
      </c>
      <c r="C8" s="231">
        <v>1356179</v>
      </c>
      <c r="D8" s="235" t="s">
        <v>143</v>
      </c>
      <c r="E8" s="235" t="s">
        <v>144</v>
      </c>
      <c r="F8" s="235" t="s">
        <v>139</v>
      </c>
      <c r="G8" s="235" t="s">
        <v>145</v>
      </c>
      <c r="H8" s="235">
        <v>17</v>
      </c>
      <c r="I8" s="235">
        <v>2</v>
      </c>
      <c r="J8" s="236">
        <v>2007</v>
      </c>
      <c r="K8" s="238" t="s">
        <v>146</v>
      </c>
      <c r="L8" s="235"/>
      <c r="M8" s="235" t="s">
        <v>141</v>
      </c>
      <c r="N8" s="236" t="s">
        <v>142</v>
      </c>
    </row>
    <row r="9" spans="1:14" ht="18.2" customHeight="1" x14ac:dyDescent="0.25">
      <c r="A9" s="62"/>
      <c r="B9" s="121">
        <v>5</v>
      </c>
      <c r="C9" s="231">
        <v>1253147</v>
      </c>
      <c r="D9" s="235" t="s">
        <v>147</v>
      </c>
      <c r="E9" s="235" t="s">
        <v>148</v>
      </c>
      <c r="F9" s="235" t="s">
        <v>149</v>
      </c>
      <c r="G9" s="235" t="s">
        <v>127</v>
      </c>
      <c r="H9" s="235">
        <v>9</v>
      </c>
      <c r="I9" s="235">
        <v>3</v>
      </c>
      <c r="J9" s="236">
        <v>2008</v>
      </c>
      <c r="K9" s="238"/>
      <c r="L9" s="235" t="s">
        <v>150</v>
      </c>
      <c r="M9" s="235" t="s">
        <v>151</v>
      </c>
      <c r="N9" s="236" t="s">
        <v>152</v>
      </c>
    </row>
    <row r="10" spans="1:14" ht="18.2" customHeight="1" x14ac:dyDescent="0.25">
      <c r="A10" s="62"/>
      <c r="B10" s="121">
        <v>6</v>
      </c>
      <c r="C10" s="231">
        <v>1031550</v>
      </c>
      <c r="D10" s="235" t="s">
        <v>153</v>
      </c>
      <c r="E10" s="235" t="s">
        <v>154</v>
      </c>
      <c r="F10" s="235" t="s">
        <v>155</v>
      </c>
      <c r="G10" s="235" t="s">
        <v>145</v>
      </c>
      <c r="H10" s="235">
        <v>11</v>
      </c>
      <c r="I10" s="235">
        <v>3</v>
      </c>
      <c r="J10" s="236">
        <v>2008</v>
      </c>
      <c r="K10" s="238" t="s">
        <v>156</v>
      </c>
      <c r="L10" s="235"/>
      <c r="M10" s="235" t="s">
        <v>157</v>
      </c>
      <c r="N10" s="236" t="s">
        <v>158</v>
      </c>
    </row>
    <row r="11" spans="1:14" ht="18.2" customHeight="1" x14ac:dyDescent="0.25">
      <c r="A11" s="62"/>
      <c r="B11" s="121">
        <v>7</v>
      </c>
      <c r="C11" s="231">
        <v>1357286</v>
      </c>
      <c r="D11" s="235" t="s">
        <v>159</v>
      </c>
      <c r="E11" s="235" t="s">
        <v>160</v>
      </c>
      <c r="F11" s="235" t="s">
        <v>161</v>
      </c>
      <c r="G11" s="235" t="s">
        <v>127</v>
      </c>
      <c r="H11" s="235">
        <v>23</v>
      </c>
      <c r="I11" s="235">
        <v>10</v>
      </c>
      <c r="J11" s="236">
        <v>2007</v>
      </c>
      <c r="K11" s="238" t="s">
        <v>162</v>
      </c>
      <c r="L11" s="235" t="s">
        <v>163</v>
      </c>
      <c r="M11" s="235" t="s">
        <v>164</v>
      </c>
      <c r="N11" s="236" t="s">
        <v>165</v>
      </c>
    </row>
    <row r="12" spans="1:14" ht="18.2" customHeight="1" x14ac:dyDescent="0.25">
      <c r="A12" s="62"/>
      <c r="B12" s="121">
        <v>8</v>
      </c>
      <c r="C12" s="231">
        <v>2428416</v>
      </c>
      <c r="D12" s="235" t="s">
        <v>166</v>
      </c>
      <c r="E12" s="235" t="s">
        <v>167</v>
      </c>
      <c r="F12" s="235" t="s">
        <v>168</v>
      </c>
      <c r="G12" s="235" t="s">
        <v>127</v>
      </c>
      <c r="H12" s="235">
        <v>26</v>
      </c>
      <c r="I12" s="235">
        <v>12</v>
      </c>
      <c r="J12" s="236">
        <v>2007</v>
      </c>
      <c r="K12" s="238"/>
      <c r="L12" s="235" t="s">
        <v>169</v>
      </c>
      <c r="M12" s="235"/>
      <c r="N12" s="236" t="s">
        <v>170</v>
      </c>
    </row>
    <row r="13" spans="1:14" ht="18.2" customHeight="1" x14ac:dyDescent="0.25">
      <c r="A13" s="62"/>
      <c r="B13" s="121">
        <v>9</v>
      </c>
      <c r="C13" s="231">
        <v>1356063</v>
      </c>
      <c r="D13" s="235" t="s">
        <v>171</v>
      </c>
      <c r="E13" s="235" t="s">
        <v>172</v>
      </c>
      <c r="F13" s="235" t="s">
        <v>173</v>
      </c>
      <c r="G13" s="235" t="s">
        <v>145</v>
      </c>
      <c r="H13" s="235">
        <v>25</v>
      </c>
      <c r="I13" s="235">
        <v>8</v>
      </c>
      <c r="J13" s="236">
        <v>2008</v>
      </c>
      <c r="K13" s="238"/>
      <c r="L13" s="235" t="s">
        <v>174</v>
      </c>
      <c r="M13" s="235"/>
      <c r="N13" s="236" t="s">
        <v>175</v>
      </c>
    </row>
    <row r="14" spans="1:14" ht="18.2" customHeight="1" x14ac:dyDescent="0.25">
      <c r="A14" s="62"/>
      <c r="B14" s="121">
        <v>10</v>
      </c>
      <c r="C14" s="231">
        <v>1355916</v>
      </c>
      <c r="D14" s="235" t="s">
        <v>176</v>
      </c>
      <c r="E14" s="235" t="s">
        <v>177</v>
      </c>
      <c r="F14" s="235" t="s">
        <v>178</v>
      </c>
      <c r="G14" s="235" t="s">
        <v>145</v>
      </c>
      <c r="H14" s="235">
        <v>27</v>
      </c>
      <c r="I14" s="235">
        <v>11</v>
      </c>
      <c r="J14" s="236">
        <v>2006</v>
      </c>
      <c r="K14" s="238" t="s">
        <v>179</v>
      </c>
      <c r="L14" s="235"/>
      <c r="M14" s="235"/>
      <c r="N14" s="236" t="s">
        <v>180</v>
      </c>
    </row>
    <row r="15" spans="1:14" ht="18.2" customHeight="1" x14ac:dyDescent="0.25">
      <c r="A15" s="62"/>
      <c r="B15" s="121">
        <v>11</v>
      </c>
      <c r="C15" s="231">
        <v>1355576</v>
      </c>
      <c r="D15" s="235" t="s">
        <v>181</v>
      </c>
      <c r="E15" s="235" t="s">
        <v>182</v>
      </c>
      <c r="F15" s="235" t="s">
        <v>183</v>
      </c>
      <c r="G15" s="235" t="s">
        <v>145</v>
      </c>
      <c r="H15" s="235">
        <v>29</v>
      </c>
      <c r="I15" s="235">
        <v>9</v>
      </c>
      <c r="J15" s="236">
        <v>2007</v>
      </c>
      <c r="K15" s="238" t="s">
        <v>184</v>
      </c>
      <c r="L15" s="235"/>
      <c r="M15" s="235" t="s">
        <v>185</v>
      </c>
      <c r="N15" s="236" t="s">
        <v>186</v>
      </c>
    </row>
    <row r="16" spans="1:14" ht="18.2" customHeight="1" x14ac:dyDescent="0.25">
      <c r="A16" s="62"/>
      <c r="B16" s="121">
        <v>12</v>
      </c>
      <c r="C16" s="231">
        <v>1674572</v>
      </c>
      <c r="D16" s="235" t="s">
        <v>187</v>
      </c>
      <c r="E16" s="235" t="s">
        <v>188</v>
      </c>
      <c r="F16" s="235" t="s">
        <v>189</v>
      </c>
      <c r="G16" s="235" t="s">
        <v>127</v>
      </c>
      <c r="H16" s="235">
        <v>14</v>
      </c>
      <c r="I16" s="235">
        <v>6</v>
      </c>
      <c r="J16" s="236">
        <v>2006</v>
      </c>
      <c r="K16" s="238" t="s">
        <v>190</v>
      </c>
      <c r="L16" s="235"/>
      <c r="M16" s="235"/>
      <c r="N16" s="236" t="s">
        <v>283</v>
      </c>
    </row>
    <row r="17" spans="1:14" ht="18.2" customHeight="1" x14ac:dyDescent="0.25">
      <c r="A17" s="62"/>
      <c r="B17" s="121">
        <v>13</v>
      </c>
      <c r="C17" s="231">
        <v>2002217</v>
      </c>
      <c r="D17" s="235" t="s">
        <v>191</v>
      </c>
      <c r="E17" s="235" t="s">
        <v>177</v>
      </c>
      <c r="F17" s="235" t="s">
        <v>192</v>
      </c>
      <c r="G17" s="235" t="s">
        <v>145</v>
      </c>
      <c r="H17" s="235">
        <v>16</v>
      </c>
      <c r="I17" s="235">
        <v>6</v>
      </c>
      <c r="J17" s="236">
        <v>2008</v>
      </c>
      <c r="K17" s="238"/>
      <c r="L17" s="235" t="s">
        <v>277</v>
      </c>
      <c r="M17" s="235"/>
      <c r="N17" s="236" t="s">
        <v>285</v>
      </c>
    </row>
    <row r="18" spans="1:14" ht="18.2" customHeight="1" x14ac:dyDescent="0.25">
      <c r="A18" s="62"/>
      <c r="B18" s="121">
        <v>14</v>
      </c>
      <c r="C18" s="231">
        <v>1356289</v>
      </c>
      <c r="D18" s="235" t="s">
        <v>193</v>
      </c>
      <c r="E18" s="235" t="s">
        <v>194</v>
      </c>
      <c r="F18" s="235" t="s">
        <v>195</v>
      </c>
      <c r="G18" s="235" t="s">
        <v>127</v>
      </c>
      <c r="H18" s="235">
        <v>4</v>
      </c>
      <c r="I18" s="235">
        <v>11</v>
      </c>
      <c r="J18" s="236">
        <v>2006</v>
      </c>
      <c r="K18" s="238" t="s">
        <v>196</v>
      </c>
      <c r="L18" s="235"/>
      <c r="M18" s="235" t="s">
        <v>197</v>
      </c>
      <c r="N18" s="236" t="s">
        <v>198</v>
      </c>
    </row>
    <row r="19" spans="1:14" ht="18.2" customHeight="1" x14ac:dyDescent="0.25">
      <c r="A19" s="62"/>
      <c r="B19" s="121">
        <v>15</v>
      </c>
      <c r="C19" s="231">
        <v>1354929</v>
      </c>
      <c r="D19" s="235" t="s">
        <v>199</v>
      </c>
      <c r="E19" s="235" t="s">
        <v>200</v>
      </c>
      <c r="F19" s="235" t="s">
        <v>201</v>
      </c>
      <c r="G19" s="235" t="s">
        <v>145</v>
      </c>
      <c r="H19" s="235">
        <v>16</v>
      </c>
      <c r="I19" s="235">
        <v>5</v>
      </c>
      <c r="J19" s="236">
        <v>2008</v>
      </c>
      <c r="K19" s="238" t="s">
        <v>202</v>
      </c>
      <c r="L19" s="235" t="s">
        <v>281</v>
      </c>
      <c r="M19" s="235"/>
      <c r="N19" s="236" t="s">
        <v>280</v>
      </c>
    </row>
    <row r="20" spans="1:14" ht="18.2" customHeight="1" x14ac:dyDescent="0.25">
      <c r="A20" s="62"/>
      <c r="B20" s="121">
        <v>16</v>
      </c>
      <c r="C20" s="231">
        <v>1829373</v>
      </c>
      <c r="D20" s="235" t="s">
        <v>203</v>
      </c>
      <c r="E20" s="235" t="s">
        <v>204</v>
      </c>
      <c r="F20" s="235" t="s">
        <v>205</v>
      </c>
      <c r="G20" s="235" t="s">
        <v>127</v>
      </c>
      <c r="H20" s="235">
        <v>3</v>
      </c>
      <c r="I20" s="235">
        <v>8</v>
      </c>
      <c r="J20" s="236">
        <v>2008</v>
      </c>
      <c r="K20" s="238" t="s">
        <v>206</v>
      </c>
      <c r="L20" s="235"/>
      <c r="M20" s="235"/>
      <c r="N20" s="236" t="s">
        <v>207</v>
      </c>
    </row>
    <row r="21" spans="1:14" ht="18.2" customHeight="1" x14ac:dyDescent="0.25">
      <c r="A21" s="62"/>
      <c r="B21" s="121">
        <v>17</v>
      </c>
      <c r="C21" s="231">
        <v>1350788</v>
      </c>
      <c r="D21" s="235" t="s">
        <v>208</v>
      </c>
      <c r="E21" s="235" t="s">
        <v>209</v>
      </c>
      <c r="F21" s="235" t="s">
        <v>210</v>
      </c>
      <c r="G21" s="235" t="s">
        <v>127</v>
      </c>
      <c r="H21" s="235">
        <v>22</v>
      </c>
      <c r="I21" s="235">
        <v>7</v>
      </c>
      <c r="J21" s="236">
        <v>2008</v>
      </c>
      <c r="K21" s="238"/>
      <c r="L21" s="235" t="s">
        <v>211</v>
      </c>
      <c r="M21" s="235" t="s">
        <v>278</v>
      </c>
      <c r="N21" s="236" t="s">
        <v>279</v>
      </c>
    </row>
    <row r="22" spans="1:14" ht="18.2" customHeight="1" x14ac:dyDescent="0.25">
      <c r="A22" s="62"/>
      <c r="B22" s="121">
        <v>18</v>
      </c>
      <c r="C22" s="231">
        <v>1350643</v>
      </c>
      <c r="D22" s="235" t="s">
        <v>212</v>
      </c>
      <c r="E22" s="235" t="s">
        <v>213</v>
      </c>
      <c r="F22" s="235" t="s">
        <v>214</v>
      </c>
      <c r="G22" s="235" t="s">
        <v>127</v>
      </c>
      <c r="H22" s="235">
        <v>19</v>
      </c>
      <c r="I22" s="235">
        <v>3</v>
      </c>
      <c r="J22" s="236">
        <v>2008</v>
      </c>
      <c r="K22" s="238" t="s">
        <v>215</v>
      </c>
      <c r="L22" s="235" t="s">
        <v>216</v>
      </c>
      <c r="M22" s="235"/>
      <c r="N22" s="236" t="s">
        <v>284</v>
      </c>
    </row>
    <row r="23" spans="1:14" ht="18.2" customHeight="1" x14ac:dyDescent="0.25">
      <c r="A23" s="62"/>
      <c r="B23" s="121">
        <v>19</v>
      </c>
      <c r="C23" s="231">
        <v>2188973</v>
      </c>
      <c r="D23" s="235" t="s">
        <v>217</v>
      </c>
      <c r="E23" s="235" t="s">
        <v>218</v>
      </c>
      <c r="F23" s="235" t="s">
        <v>168</v>
      </c>
      <c r="G23" s="235" t="s">
        <v>127</v>
      </c>
      <c r="H23" s="235">
        <v>15</v>
      </c>
      <c r="I23" s="235">
        <v>2</v>
      </c>
      <c r="J23" s="236">
        <v>2008</v>
      </c>
      <c r="K23" s="238" t="s">
        <v>219</v>
      </c>
      <c r="L23" s="235" t="s">
        <v>220</v>
      </c>
      <c r="M23" s="235"/>
      <c r="N23" s="236" t="s">
        <v>282</v>
      </c>
    </row>
    <row r="24" spans="1:14" ht="18.2" customHeight="1" x14ac:dyDescent="0.25">
      <c r="A24" s="62"/>
      <c r="B24" s="121">
        <v>20</v>
      </c>
      <c r="C24" s="231">
        <v>1402855</v>
      </c>
      <c r="D24" s="235" t="s">
        <v>221</v>
      </c>
      <c r="E24" s="235" t="s">
        <v>222</v>
      </c>
      <c r="F24" s="235" t="s">
        <v>223</v>
      </c>
      <c r="G24" s="235" t="s">
        <v>127</v>
      </c>
      <c r="H24" s="235">
        <v>9</v>
      </c>
      <c r="I24" s="235">
        <v>4</v>
      </c>
      <c r="J24" s="236">
        <v>2008</v>
      </c>
      <c r="K24" s="238"/>
      <c r="L24" s="239"/>
      <c r="M24" s="235" t="s">
        <v>224</v>
      </c>
      <c r="N24" s="236" t="s">
        <v>225</v>
      </c>
    </row>
    <row r="25" spans="1:14" ht="18.2" customHeight="1" x14ac:dyDescent="0.25">
      <c r="A25" s="62"/>
      <c r="B25" s="121">
        <v>21</v>
      </c>
      <c r="C25" s="231"/>
      <c r="D25" s="235"/>
      <c r="E25" s="235"/>
      <c r="F25" s="235"/>
      <c r="G25" s="235"/>
      <c r="H25" s="235"/>
      <c r="I25" s="235"/>
      <c r="J25" s="236"/>
      <c r="K25" s="240"/>
      <c r="L25" s="235"/>
      <c r="M25" s="235"/>
      <c r="N25" s="236"/>
    </row>
    <row r="26" spans="1:14" ht="18.2" customHeight="1" x14ac:dyDescent="0.25">
      <c r="A26" s="62"/>
      <c r="B26" s="121">
        <v>22</v>
      </c>
      <c r="C26" s="60"/>
      <c r="D26" s="9"/>
      <c r="E26" s="9"/>
      <c r="F26" s="9"/>
      <c r="G26" s="9"/>
      <c r="H26" s="9"/>
      <c r="I26" s="9"/>
      <c r="J26" s="23"/>
      <c r="K26" s="61"/>
      <c r="L26" s="9"/>
      <c r="M26" s="9"/>
      <c r="N26" s="23"/>
    </row>
    <row r="27" spans="1:14" ht="18.2" customHeight="1" x14ac:dyDescent="0.25">
      <c r="A27" s="62"/>
      <c r="B27" s="121">
        <v>23</v>
      </c>
      <c r="C27" s="60"/>
      <c r="D27" s="9"/>
      <c r="E27" s="9"/>
      <c r="F27" s="9"/>
      <c r="G27" s="9"/>
      <c r="H27" s="9"/>
      <c r="I27" s="9"/>
      <c r="J27" s="23"/>
      <c r="K27" s="61"/>
      <c r="L27" s="9"/>
      <c r="M27" s="9"/>
      <c r="N27" s="23"/>
    </row>
    <row r="28" spans="1:14" ht="18.2" customHeight="1" x14ac:dyDescent="0.25">
      <c r="A28" s="62"/>
      <c r="B28" s="121">
        <v>24</v>
      </c>
      <c r="C28" s="60"/>
      <c r="D28" s="9"/>
      <c r="E28" s="9"/>
      <c r="F28" s="9"/>
      <c r="G28" s="9"/>
      <c r="H28" s="9"/>
      <c r="I28" s="9"/>
      <c r="J28" s="23"/>
      <c r="K28" s="61"/>
      <c r="L28" s="9"/>
      <c r="M28" s="9"/>
      <c r="N28" s="23"/>
    </row>
    <row r="29" spans="1:14" ht="18.2" customHeight="1" x14ac:dyDescent="0.25">
      <c r="A29" s="62"/>
      <c r="B29" s="121">
        <v>25</v>
      </c>
      <c r="C29" s="60"/>
      <c r="D29" s="9"/>
      <c r="E29" s="9"/>
      <c r="F29" s="9"/>
      <c r="G29" s="9"/>
      <c r="H29" s="9"/>
      <c r="I29" s="9"/>
      <c r="J29" s="23"/>
      <c r="K29" s="61"/>
      <c r="L29" s="9"/>
      <c r="M29" s="9"/>
      <c r="N29" s="23"/>
    </row>
    <row r="30" spans="1:14" ht="18.2" customHeight="1" x14ac:dyDescent="0.25">
      <c r="A30" s="62"/>
      <c r="B30" s="121">
        <v>26</v>
      </c>
      <c r="C30" s="60"/>
      <c r="D30" s="9"/>
      <c r="E30" s="9"/>
      <c r="F30" s="9"/>
      <c r="G30" s="9"/>
      <c r="H30" s="9"/>
      <c r="I30" s="9"/>
      <c r="J30" s="23"/>
      <c r="K30" s="61"/>
      <c r="L30" s="9"/>
      <c r="M30" s="9"/>
      <c r="N30" s="23"/>
    </row>
    <row r="31" spans="1:14" ht="18.2" customHeight="1" x14ac:dyDescent="0.25">
      <c r="A31" s="62"/>
      <c r="B31" s="121">
        <v>27</v>
      </c>
      <c r="C31" s="60"/>
      <c r="D31" s="9"/>
      <c r="E31" s="9"/>
      <c r="F31" s="9"/>
      <c r="G31" s="9"/>
      <c r="H31" s="9"/>
      <c r="I31" s="9"/>
      <c r="J31" s="23"/>
      <c r="K31" s="61"/>
      <c r="L31" s="9"/>
      <c r="M31" s="9"/>
      <c r="N31" s="23"/>
    </row>
    <row r="32" spans="1:14" ht="18.2" customHeight="1" x14ac:dyDescent="0.25">
      <c r="A32" s="62"/>
      <c r="B32" s="121">
        <v>28</v>
      </c>
      <c r="C32" s="61"/>
      <c r="D32" s="9"/>
      <c r="E32" s="9"/>
      <c r="F32" s="9"/>
      <c r="G32" s="9"/>
      <c r="H32" s="9"/>
      <c r="I32" s="9"/>
      <c r="J32" s="23"/>
      <c r="K32" s="61"/>
      <c r="L32" s="9"/>
      <c r="M32" s="9"/>
      <c r="N32" s="23"/>
    </row>
    <row r="33" spans="1:14" ht="18.2" customHeight="1" x14ac:dyDescent="0.25">
      <c r="A33" s="62"/>
      <c r="B33" s="121">
        <v>29</v>
      </c>
      <c r="C33" s="61"/>
      <c r="D33" s="9"/>
      <c r="E33" s="9"/>
      <c r="F33" s="9"/>
      <c r="G33" s="9"/>
      <c r="H33" s="9"/>
      <c r="I33" s="9"/>
      <c r="J33" s="23"/>
      <c r="K33" s="61"/>
      <c r="L33" s="9"/>
      <c r="M33" s="9"/>
      <c r="N33" s="23"/>
    </row>
    <row r="34" spans="1:14" ht="18.2" customHeight="1" x14ac:dyDescent="0.25">
      <c r="A34" s="62"/>
      <c r="B34" s="121">
        <v>30</v>
      </c>
      <c r="C34" s="61"/>
      <c r="D34" s="9"/>
      <c r="E34" s="9"/>
      <c r="F34" s="9"/>
      <c r="G34" s="9"/>
      <c r="H34" s="9"/>
      <c r="I34" s="9"/>
      <c r="J34" s="23"/>
      <c r="K34" s="61"/>
      <c r="L34" s="9"/>
      <c r="M34" s="9"/>
      <c r="N34" s="23"/>
    </row>
    <row r="35" spans="1:14" ht="18.2" customHeight="1" x14ac:dyDescent="0.25">
      <c r="A35" s="62"/>
      <c r="B35" s="121">
        <v>31</v>
      </c>
      <c r="C35" s="61"/>
      <c r="D35" s="9"/>
      <c r="E35" s="9"/>
      <c r="F35" s="9"/>
      <c r="G35" s="9"/>
      <c r="H35" s="9"/>
      <c r="I35" s="9"/>
      <c r="J35" s="23"/>
      <c r="K35" s="61"/>
      <c r="L35" s="9"/>
      <c r="M35" s="9"/>
      <c r="N35" s="23"/>
    </row>
    <row r="36" spans="1:14" ht="18.2" customHeight="1" x14ac:dyDescent="0.25">
      <c r="A36" s="62"/>
      <c r="B36" s="121">
        <v>32</v>
      </c>
      <c r="C36" s="61"/>
      <c r="D36" s="9"/>
      <c r="E36" s="9"/>
      <c r="F36" s="9"/>
      <c r="G36" s="9"/>
      <c r="H36" s="9"/>
      <c r="I36" s="9"/>
      <c r="J36" s="23"/>
      <c r="K36" s="61"/>
      <c r="L36" s="9"/>
      <c r="M36" s="9"/>
      <c r="N36" s="23"/>
    </row>
    <row r="37" spans="1:14" ht="18.2" customHeight="1" x14ac:dyDescent="0.25">
      <c r="A37" s="62"/>
      <c r="B37" s="121">
        <v>33</v>
      </c>
      <c r="C37" s="61"/>
      <c r="D37" s="9"/>
      <c r="E37" s="9"/>
      <c r="F37" s="9"/>
      <c r="G37" s="9"/>
      <c r="H37" s="9"/>
      <c r="I37" s="9"/>
      <c r="J37" s="23"/>
      <c r="K37" s="61"/>
      <c r="L37" s="9"/>
      <c r="M37" s="9"/>
      <c r="N37" s="23"/>
    </row>
    <row r="38" spans="1:14" ht="18.2" customHeight="1" x14ac:dyDescent="0.25">
      <c r="A38" s="62"/>
      <c r="B38" s="121">
        <v>34</v>
      </c>
      <c r="C38" s="61"/>
      <c r="D38" s="9"/>
      <c r="E38" s="9"/>
      <c r="F38" s="9"/>
      <c r="G38" s="9"/>
      <c r="H38" s="9"/>
      <c r="I38" s="9"/>
      <c r="J38" s="23"/>
      <c r="K38" s="61"/>
      <c r="L38" s="9"/>
      <c r="M38" s="9"/>
      <c r="N38" s="23"/>
    </row>
    <row r="39" spans="1:14" ht="18.2" customHeight="1" x14ac:dyDescent="0.25">
      <c r="A39" s="62"/>
      <c r="B39" s="121">
        <v>35</v>
      </c>
      <c r="C39" s="61"/>
      <c r="D39" s="9"/>
      <c r="E39" s="9"/>
      <c r="F39" s="9"/>
      <c r="G39" s="9"/>
      <c r="H39" s="9"/>
      <c r="I39" s="9"/>
      <c r="J39" s="23"/>
      <c r="K39" s="61"/>
      <c r="L39" s="9"/>
      <c r="M39" s="9"/>
      <c r="N39" s="23"/>
    </row>
    <row r="40" spans="1:14" ht="18.2" customHeight="1" x14ac:dyDescent="0.25">
      <c r="A40" s="62"/>
      <c r="B40" s="121">
        <v>36</v>
      </c>
      <c r="C40" s="61"/>
      <c r="D40" s="9"/>
      <c r="E40" s="9"/>
      <c r="F40" s="9"/>
      <c r="G40" s="9"/>
      <c r="H40" s="9"/>
      <c r="I40" s="9"/>
      <c r="J40" s="23"/>
      <c r="K40" s="61"/>
      <c r="L40" s="9"/>
      <c r="M40" s="9"/>
      <c r="N40" s="23"/>
    </row>
    <row r="41" spans="1:14" ht="18.2" customHeight="1" x14ac:dyDescent="0.25">
      <c r="A41" s="62"/>
      <c r="B41" s="121">
        <v>37</v>
      </c>
      <c r="C41" s="61"/>
      <c r="D41" s="9"/>
      <c r="E41" s="9"/>
      <c r="F41" s="9"/>
      <c r="G41" s="9"/>
      <c r="H41" s="9"/>
      <c r="I41" s="9"/>
      <c r="J41" s="23"/>
      <c r="K41" s="61"/>
      <c r="L41" s="9"/>
      <c r="M41" s="9"/>
      <c r="N41" s="23"/>
    </row>
    <row r="42" spans="1:14" ht="18.2" customHeight="1" x14ac:dyDescent="0.25">
      <c r="A42" s="62"/>
      <c r="B42" s="121">
        <v>38</v>
      </c>
      <c r="C42" s="61"/>
      <c r="D42" s="9"/>
      <c r="E42" s="9"/>
      <c r="F42" s="9"/>
      <c r="G42" s="9"/>
      <c r="H42" s="9"/>
      <c r="I42" s="9"/>
      <c r="J42" s="23"/>
      <c r="K42" s="61"/>
      <c r="L42" s="9"/>
      <c r="M42" s="9"/>
      <c r="N42" s="23"/>
    </row>
    <row r="43" spans="1:14" ht="18.2" customHeight="1" x14ac:dyDescent="0.25">
      <c r="A43" s="62"/>
      <c r="B43" s="121">
        <v>39</v>
      </c>
      <c r="C43" s="61"/>
      <c r="D43" s="9"/>
      <c r="E43" s="9"/>
      <c r="F43" s="9"/>
      <c r="G43" s="9"/>
      <c r="H43" s="9"/>
      <c r="I43" s="9"/>
      <c r="J43" s="23"/>
      <c r="K43" s="61"/>
      <c r="L43" s="9"/>
      <c r="M43" s="9"/>
      <c r="N43" s="23"/>
    </row>
    <row r="44" spans="1:14" ht="18.2" customHeight="1" x14ac:dyDescent="0.25">
      <c r="A44" s="62"/>
      <c r="B44" s="121">
        <v>40</v>
      </c>
      <c r="C44" s="61"/>
      <c r="D44" s="9"/>
      <c r="E44" s="9"/>
      <c r="F44" s="9"/>
      <c r="G44" s="9"/>
      <c r="H44" s="9"/>
      <c r="I44" s="9"/>
      <c r="J44" s="23"/>
      <c r="K44" s="61"/>
      <c r="L44" s="9"/>
      <c r="M44" s="9"/>
      <c r="N44" s="23"/>
    </row>
    <row r="45" spans="1:14" ht="18.2" customHeight="1" x14ac:dyDescent="0.25">
      <c r="A45" s="62"/>
      <c r="B45" s="121">
        <v>41</v>
      </c>
      <c r="C45" s="61"/>
      <c r="D45" s="9"/>
      <c r="E45" s="9"/>
      <c r="F45" s="9"/>
      <c r="G45" s="9"/>
      <c r="H45" s="9"/>
      <c r="I45" s="9"/>
      <c r="J45" s="23"/>
      <c r="K45" s="61"/>
      <c r="L45" s="9"/>
      <c r="M45" s="9"/>
      <c r="N45" s="23"/>
    </row>
    <row r="46" spans="1:14" ht="18.2" customHeight="1" x14ac:dyDescent="0.25">
      <c r="A46" s="62"/>
      <c r="B46" s="121">
        <v>42</v>
      </c>
      <c r="C46" s="61"/>
      <c r="D46" s="9"/>
      <c r="E46" s="9"/>
      <c r="F46" s="9"/>
      <c r="G46" s="9"/>
      <c r="H46" s="9"/>
      <c r="I46" s="9"/>
      <c r="J46" s="23"/>
      <c r="K46" s="61"/>
      <c r="L46" s="9"/>
      <c r="M46" s="9"/>
      <c r="N46" s="23"/>
    </row>
    <row r="47" spans="1:14" ht="18.2" customHeight="1" x14ac:dyDescent="0.25">
      <c r="A47" s="62"/>
      <c r="B47" s="121">
        <v>43</v>
      </c>
      <c r="C47" s="61"/>
      <c r="D47" s="9"/>
      <c r="E47" s="9"/>
      <c r="F47" s="9"/>
      <c r="G47" s="9"/>
      <c r="H47" s="9"/>
      <c r="I47" s="9"/>
      <c r="J47" s="23"/>
      <c r="K47" s="61"/>
      <c r="L47" s="9"/>
      <c r="M47" s="9"/>
      <c r="N47" s="23"/>
    </row>
    <row r="48" spans="1:14" ht="18.2" customHeight="1" x14ac:dyDescent="0.25">
      <c r="A48" s="62"/>
      <c r="B48" s="121">
        <v>44</v>
      </c>
      <c r="C48" s="61"/>
      <c r="D48" s="9"/>
      <c r="E48" s="9"/>
      <c r="F48" s="9"/>
      <c r="G48" s="9"/>
      <c r="H48" s="9"/>
      <c r="I48" s="9"/>
      <c r="J48" s="23"/>
      <c r="K48" s="61"/>
      <c r="L48" s="9"/>
      <c r="M48" s="9"/>
      <c r="N48" s="23"/>
    </row>
    <row r="49" spans="1:14" ht="18.2" customHeight="1" x14ac:dyDescent="0.25">
      <c r="A49" s="62"/>
      <c r="B49" s="121">
        <v>45</v>
      </c>
      <c r="C49" s="61"/>
      <c r="D49" s="9"/>
      <c r="E49" s="9"/>
      <c r="F49" s="9"/>
      <c r="G49" s="9"/>
      <c r="H49" s="9"/>
      <c r="I49" s="9"/>
      <c r="J49" s="23"/>
      <c r="K49" s="61"/>
      <c r="L49" s="9"/>
      <c r="M49" s="9"/>
      <c r="N49" s="23"/>
    </row>
    <row r="50" spans="1:14" ht="18.2" customHeight="1" x14ac:dyDescent="0.25">
      <c r="A50" s="62"/>
      <c r="B50" s="121">
        <v>46</v>
      </c>
      <c r="C50" s="61"/>
      <c r="D50" s="9"/>
      <c r="E50" s="9"/>
      <c r="F50" s="9"/>
      <c r="G50" s="9"/>
      <c r="H50" s="9"/>
      <c r="I50" s="9"/>
      <c r="J50" s="23"/>
      <c r="K50" s="61"/>
      <c r="L50" s="9"/>
      <c r="M50" s="9"/>
      <c r="N50" s="23"/>
    </row>
    <row r="51" spans="1:14" ht="18.2" customHeight="1" x14ac:dyDescent="0.25">
      <c r="A51" s="62"/>
      <c r="B51" s="121">
        <v>47</v>
      </c>
      <c r="C51" s="61"/>
      <c r="D51" s="9"/>
      <c r="E51" s="9"/>
      <c r="F51" s="9"/>
      <c r="G51" s="9"/>
      <c r="H51" s="9"/>
      <c r="I51" s="9"/>
      <c r="J51" s="23"/>
      <c r="K51" s="61"/>
      <c r="L51" s="9"/>
      <c r="M51" s="9"/>
      <c r="N51" s="23"/>
    </row>
    <row r="52" spans="1:14" ht="18.2" customHeight="1" x14ac:dyDescent="0.25">
      <c r="A52" s="62"/>
      <c r="B52" s="121">
        <v>48</v>
      </c>
      <c r="C52" s="61"/>
      <c r="D52" s="9"/>
      <c r="E52" s="9"/>
      <c r="F52" s="9"/>
      <c r="G52" s="9"/>
      <c r="H52" s="9"/>
      <c r="I52" s="9"/>
      <c r="J52" s="23"/>
      <c r="K52" s="61"/>
      <c r="L52" s="9"/>
      <c r="M52" s="9"/>
      <c r="N52" s="23"/>
    </row>
    <row r="53" spans="1:14" ht="18.2" customHeight="1" x14ac:dyDescent="0.25">
      <c r="A53" s="62"/>
      <c r="B53" s="121">
        <v>49</v>
      </c>
      <c r="C53" s="61"/>
      <c r="D53" s="9"/>
      <c r="E53" s="9"/>
      <c r="F53" s="9"/>
      <c r="G53" s="9"/>
      <c r="H53" s="9"/>
      <c r="I53" s="9"/>
      <c r="J53" s="23"/>
      <c r="K53" s="61"/>
      <c r="L53" s="9"/>
      <c r="M53" s="9"/>
      <c r="N53" s="23"/>
    </row>
    <row r="54" spans="1:14" ht="18.2" customHeight="1" thickBot="1" x14ac:dyDescent="0.3">
      <c r="A54" s="83"/>
      <c r="B54" s="123">
        <v>50</v>
      </c>
      <c r="C54" s="86"/>
      <c r="D54" s="84"/>
      <c r="E54" s="84"/>
      <c r="F54" s="84"/>
      <c r="G54" s="84"/>
      <c r="H54" s="84"/>
      <c r="I54" s="84"/>
      <c r="J54" s="85"/>
      <c r="K54" s="86"/>
      <c r="L54" s="84"/>
      <c r="M54" s="84"/>
      <c r="N54" s="85"/>
    </row>
    <row r="55" spans="1:14" ht="17.25" thickTop="1" x14ac:dyDescent="0.25"/>
    <row r="56" spans="1:14" x14ac:dyDescent="0.25">
      <c r="D56" s="82"/>
      <c r="E56" s="82"/>
      <c r="F56" s="82"/>
    </row>
  </sheetData>
  <sortState ref="D6:J9">
    <sortCondition ref="D6:D9"/>
  </sortState>
  <mergeCells count="12">
    <mergeCell ref="B3:B4"/>
    <mergeCell ref="B2:C2"/>
    <mergeCell ref="B1:N1"/>
    <mergeCell ref="K2:M2"/>
    <mergeCell ref="K3:M3"/>
    <mergeCell ref="N3:N4"/>
    <mergeCell ref="C3:C4"/>
    <mergeCell ref="D3:F3"/>
    <mergeCell ref="G3:G4"/>
    <mergeCell ref="H3:J3"/>
    <mergeCell ref="G2:H2"/>
    <mergeCell ref="I2:J2"/>
  </mergeCells>
  <printOptions horizontalCentered="1"/>
  <pageMargins left="0" right="0" top="0" bottom="0" header="0" footer="0"/>
  <pageSetup paperSize="9" scale="53" fitToWidth="0" orientation="landscape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4"/>
  <sheetViews>
    <sheetView showGridLines="0" zoomScale="93" zoomScaleNormal="93" workbookViewId="0">
      <selection activeCell="I7" sqref="I7"/>
    </sheetView>
  </sheetViews>
  <sheetFormatPr defaultColWidth="8.85546875" defaultRowHeight="16.5" x14ac:dyDescent="0.25"/>
  <cols>
    <col min="1" max="1" width="1.5703125" style="131" customWidth="1"/>
    <col min="2" max="2" width="9.7109375" style="131" customWidth="1"/>
    <col min="3" max="3" width="23.85546875" style="131" customWidth="1"/>
    <col min="4" max="4" width="63.28515625" style="131" customWidth="1"/>
    <col min="5" max="5" width="9.28515625" style="131" customWidth="1"/>
    <col min="6" max="6" width="9.7109375" style="131" customWidth="1"/>
    <col min="7" max="7" width="16.85546875" style="131" customWidth="1"/>
    <col min="8" max="8" width="13.5703125" style="131" customWidth="1"/>
    <col min="9" max="9" width="36.5703125" style="131" customWidth="1"/>
    <col min="10" max="13" width="8.85546875" style="131"/>
    <col min="14" max="39" width="8.85546875" style="205"/>
    <col min="40" max="16384" width="8.85546875" style="131"/>
  </cols>
  <sheetData>
    <row r="1" spans="1:39" ht="49.15" customHeight="1" thickBot="1" x14ac:dyDescent="0.3">
      <c r="B1" s="273" t="s">
        <v>104</v>
      </c>
      <c r="C1" s="273"/>
      <c r="D1" s="273"/>
      <c r="E1" s="273"/>
      <c r="F1" s="273"/>
      <c r="G1" s="273"/>
      <c r="H1" s="273"/>
      <c r="I1" s="273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</row>
    <row r="2" spans="1:39" ht="18.600000000000001" customHeight="1" thickTop="1" x14ac:dyDescent="0.25">
      <c r="A2" s="83"/>
      <c r="B2" s="274" t="s">
        <v>97</v>
      </c>
      <c r="C2" s="274" t="s">
        <v>30</v>
      </c>
      <c r="D2" s="276" t="s">
        <v>101</v>
      </c>
      <c r="E2" s="280" t="s">
        <v>65</v>
      </c>
      <c r="F2" s="274" t="s">
        <v>99</v>
      </c>
      <c r="G2" s="278" t="s">
        <v>87</v>
      </c>
      <c r="H2" s="279"/>
      <c r="I2" s="271" t="s">
        <v>103</v>
      </c>
      <c r="J2" s="265" t="s">
        <v>111</v>
      </c>
      <c r="K2" s="266"/>
      <c r="L2" s="266"/>
      <c r="M2" s="266"/>
      <c r="N2" s="267"/>
      <c r="O2" s="265" t="s">
        <v>113</v>
      </c>
      <c r="P2" s="266"/>
      <c r="Q2" s="266"/>
      <c r="R2" s="266"/>
      <c r="S2" s="267"/>
      <c r="T2" s="265" t="s">
        <v>118</v>
      </c>
      <c r="U2" s="266"/>
      <c r="V2" s="266"/>
      <c r="W2" s="266"/>
      <c r="X2" s="267"/>
      <c r="Y2" s="265" t="s">
        <v>119</v>
      </c>
      <c r="Z2" s="266"/>
      <c r="AA2" s="266"/>
      <c r="AB2" s="266"/>
      <c r="AC2" s="267"/>
      <c r="AD2" s="265" t="s">
        <v>120</v>
      </c>
      <c r="AE2" s="266"/>
      <c r="AF2" s="266"/>
      <c r="AG2" s="266"/>
      <c r="AH2" s="267"/>
      <c r="AI2" s="268" t="s">
        <v>121</v>
      </c>
      <c r="AJ2" s="269"/>
      <c r="AK2" s="269"/>
      <c r="AL2" s="269"/>
      <c r="AM2" s="270"/>
    </row>
    <row r="3" spans="1:39" ht="60" customHeight="1" thickBot="1" x14ac:dyDescent="0.3">
      <c r="A3" s="83"/>
      <c r="B3" s="275"/>
      <c r="C3" s="275"/>
      <c r="D3" s="277"/>
      <c r="E3" s="281"/>
      <c r="F3" s="275"/>
      <c r="G3" s="145" t="s">
        <v>102</v>
      </c>
      <c r="H3" s="130" t="s">
        <v>89</v>
      </c>
      <c r="I3" s="272"/>
      <c r="J3" s="210" t="s">
        <v>112</v>
      </c>
      <c r="K3" s="84" t="s">
        <v>114</v>
      </c>
      <c r="L3" s="84" t="s">
        <v>115</v>
      </c>
      <c r="M3" s="84" t="s">
        <v>116</v>
      </c>
      <c r="N3" s="85" t="s">
        <v>117</v>
      </c>
      <c r="O3" s="210" t="s">
        <v>112</v>
      </c>
      <c r="P3" s="84" t="s">
        <v>114</v>
      </c>
      <c r="Q3" s="84" t="s">
        <v>115</v>
      </c>
      <c r="R3" s="84" t="s">
        <v>116</v>
      </c>
      <c r="S3" s="85" t="s">
        <v>117</v>
      </c>
      <c r="T3" s="210" t="s">
        <v>112</v>
      </c>
      <c r="U3" s="84" t="s">
        <v>114</v>
      </c>
      <c r="V3" s="84" t="s">
        <v>115</v>
      </c>
      <c r="W3" s="84" t="s">
        <v>116</v>
      </c>
      <c r="X3" s="85" t="s">
        <v>117</v>
      </c>
      <c r="Y3" s="210" t="s">
        <v>112</v>
      </c>
      <c r="Z3" s="84" t="s">
        <v>114</v>
      </c>
      <c r="AA3" s="84" t="s">
        <v>115</v>
      </c>
      <c r="AB3" s="84" t="s">
        <v>116</v>
      </c>
      <c r="AC3" s="85" t="s">
        <v>117</v>
      </c>
      <c r="AD3" s="210" t="s">
        <v>112</v>
      </c>
      <c r="AE3" s="84" t="s">
        <v>114</v>
      </c>
      <c r="AF3" s="84" t="s">
        <v>115</v>
      </c>
      <c r="AG3" s="84" t="s">
        <v>116</v>
      </c>
      <c r="AH3" s="85" t="s">
        <v>117</v>
      </c>
      <c r="AI3" s="210" t="s">
        <v>112</v>
      </c>
      <c r="AJ3" s="84" t="s">
        <v>114</v>
      </c>
      <c r="AK3" s="84" t="s">
        <v>115</v>
      </c>
      <c r="AL3" s="84" t="s">
        <v>116</v>
      </c>
      <c r="AM3" s="85" t="s">
        <v>117</v>
      </c>
    </row>
    <row r="4" spans="1:39" ht="18.2" customHeight="1" thickTop="1" x14ac:dyDescent="0.25">
      <c r="A4" s="83"/>
      <c r="B4" s="144">
        <v>101</v>
      </c>
      <c r="C4" s="144" t="s">
        <v>68</v>
      </c>
      <c r="D4" s="146" t="s">
        <v>233</v>
      </c>
      <c r="E4" s="144">
        <v>102</v>
      </c>
      <c r="F4" s="244">
        <v>1211755</v>
      </c>
      <c r="G4" s="60" t="s">
        <v>291</v>
      </c>
      <c r="H4" s="41" t="s">
        <v>292</v>
      </c>
      <c r="I4" s="242" t="s">
        <v>290</v>
      </c>
      <c r="J4" s="211"/>
      <c r="K4" s="41"/>
      <c r="L4" s="41"/>
      <c r="M4" s="41"/>
      <c r="N4" s="133"/>
      <c r="O4" s="211"/>
      <c r="P4" s="41"/>
      <c r="Q4" s="41"/>
      <c r="R4" s="41"/>
      <c r="S4" s="133"/>
      <c r="T4" s="211"/>
      <c r="U4" s="41"/>
      <c r="V4" s="41"/>
      <c r="W4" s="41"/>
      <c r="X4" s="133"/>
      <c r="Y4" s="211"/>
      <c r="Z4" s="41"/>
      <c r="AA4" s="41"/>
      <c r="AB4" s="41"/>
      <c r="AC4" s="133"/>
      <c r="AD4" s="211"/>
      <c r="AE4" s="41"/>
      <c r="AF4" s="41"/>
      <c r="AG4" s="41"/>
      <c r="AH4" s="133"/>
      <c r="AI4" s="211"/>
      <c r="AJ4" s="41"/>
      <c r="AK4" s="41"/>
      <c r="AL4" s="41"/>
      <c r="AM4" s="133"/>
    </row>
    <row r="5" spans="1:39" ht="18.2" customHeight="1" x14ac:dyDescent="0.25">
      <c r="A5" s="83"/>
      <c r="B5" s="122">
        <v>102</v>
      </c>
      <c r="C5" s="122" t="s">
        <v>69</v>
      </c>
      <c r="D5" s="147" t="s">
        <v>233</v>
      </c>
      <c r="E5" s="122">
        <v>68</v>
      </c>
      <c r="F5" s="243">
        <v>1211755</v>
      </c>
      <c r="G5" s="61" t="s">
        <v>291</v>
      </c>
      <c r="H5" s="9" t="s">
        <v>292</v>
      </c>
      <c r="I5" s="241" t="s">
        <v>290</v>
      </c>
      <c r="J5" s="209"/>
      <c r="K5" s="9"/>
      <c r="L5" s="9"/>
      <c r="M5" s="9"/>
      <c r="N5" s="23"/>
      <c r="O5" s="209"/>
      <c r="P5" s="9"/>
      <c r="Q5" s="9"/>
      <c r="R5" s="9"/>
      <c r="S5" s="23"/>
      <c r="T5" s="209"/>
      <c r="U5" s="9"/>
      <c r="V5" s="9"/>
      <c r="W5" s="9"/>
      <c r="X5" s="23"/>
      <c r="Y5" s="209"/>
      <c r="Z5" s="9"/>
      <c r="AA5" s="9"/>
      <c r="AB5" s="9"/>
      <c r="AC5" s="23"/>
      <c r="AD5" s="209"/>
      <c r="AE5" s="9"/>
      <c r="AF5" s="9"/>
      <c r="AG5" s="9"/>
      <c r="AH5" s="23"/>
      <c r="AI5" s="209"/>
      <c r="AJ5" s="9"/>
      <c r="AK5" s="9"/>
      <c r="AL5" s="9"/>
      <c r="AM5" s="23"/>
    </row>
    <row r="6" spans="1:39" ht="18.2" customHeight="1" x14ac:dyDescent="0.25">
      <c r="A6" s="83"/>
      <c r="B6" s="122">
        <v>103</v>
      </c>
      <c r="C6" s="122" t="s">
        <v>70</v>
      </c>
      <c r="D6" s="147"/>
      <c r="E6" s="122"/>
      <c r="F6" s="122"/>
      <c r="G6" s="61"/>
      <c r="H6" s="9"/>
      <c r="I6" s="206"/>
      <c r="J6" s="209"/>
      <c r="K6" s="9"/>
      <c r="L6" s="9"/>
      <c r="M6" s="9"/>
      <c r="N6" s="23"/>
      <c r="O6" s="209"/>
      <c r="P6" s="9"/>
      <c r="Q6" s="9"/>
      <c r="R6" s="9"/>
      <c r="S6" s="23"/>
      <c r="T6" s="209"/>
      <c r="U6" s="9"/>
      <c r="V6" s="9"/>
      <c r="W6" s="9"/>
      <c r="X6" s="23"/>
      <c r="Y6" s="209"/>
      <c r="Z6" s="9"/>
      <c r="AA6" s="9"/>
      <c r="AB6" s="9"/>
      <c r="AC6" s="23"/>
      <c r="AD6" s="209"/>
      <c r="AE6" s="9"/>
      <c r="AF6" s="9"/>
      <c r="AG6" s="9"/>
      <c r="AH6" s="23"/>
      <c r="AI6" s="209"/>
      <c r="AJ6" s="9"/>
      <c r="AK6" s="9"/>
      <c r="AL6" s="9"/>
      <c r="AM6" s="23"/>
    </row>
    <row r="7" spans="1:39" ht="30.75" customHeight="1" x14ac:dyDescent="0.25">
      <c r="A7" s="83"/>
      <c r="B7" s="122">
        <v>104</v>
      </c>
      <c r="C7" s="122" t="s">
        <v>71</v>
      </c>
      <c r="D7" s="147" t="s">
        <v>234</v>
      </c>
      <c r="E7" s="122">
        <v>102</v>
      </c>
      <c r="F7" s="122" t="s">
        <v>252</v>
      </c>
      <c r="G7" s="61" t="s">
        <v>253</v>
      </c>
      <c r="H7" s="9" t="s">
        <v>254</v>
      </c>
      <c r="I7" s="241" t="s">
        <v>295</v>
      </c>
      <c r="J7" s="209"/>
      <c r="K7" s="9"/>
      <c r="L7" s="9"/>
      <c r="M7" s="9"/>
      <c r="N7" s="23"/>
      <c r="O7" s="209"/>
      <c r="P7" s="9"/>
      <c r="Q7" s="9"/>
      <c r="R7" s="9"/>
      <c r="S7" s="23"/>
      <c r="T7" s="209"/>
      <c r="U7" s="9"/>
      <c r="V7" s="9"/>
      <c r="W7" s="9"/>
      <c r="X7" s="23"/>
      <c r="Y7" s="209"/>
      <c r="Z7" s="9"/>
      <c r="AA7" s="9"/>
      <c r="AB7" s="9"/>
      <c r="AC7" s="23"/>
      <c r="AD7" s="209"/>
      <c r="AE7" s="9"/>
      <c r="AF7" s="9"/>
      <c r="AG7" s="9"/>
      <c r="AH7" s="23"/>
      <c r="AI7" s="209"/>
      <c r="AJ7" s="9"/>
      <c r="AK7" s="9"/>
      <c r="AL7" s="9"/>
      <c r="AM7" s="23"/>
    </row>
    <row r="8" spans="1:39" ht="29.25" customHeight="1" x14ac:dyDescent="0.25">
      <c r="A8" s="83"/>
      <c r="B8" s="122">
        <v>105</v>
      </c>
      <c r="C8" s="122" t="s">
        <v>105</v>
      </c>
      <c r="D8" s="147" t="s">
        <v>235</v>
      </c>
      <c r="E8" s="122">
        <v>34.340000000000003</v>
      </c>
      <c r="F8" s="122" t="s">
        <v>246</v>
      </c>
      <c r="G8" s="61" t="s">
        <v>247</v>
      </c>
      <c r="H8" s="9" t="s">
        <v>248</v>
      </c>
      <c r="I8" s="241" t="s">
        <v>255</v>
      </c>
      <c r="J8" s="209"/>
      <c r="K8" s="9"/>
      <c r="L8" s="9"/>
      <c r="M8" s="9"/>
      <c r="N8" s="23"/>
      <c r="O8" s="209"/>
      <c r="P8" s="9"/>
      <c r="Q8" s="9"/>
      <c r="R8" s="9"/>
      <c r="S8" s="23"/>
      <c r="T8" s="209"/>
      <c r="U8" s="9"/>
      <c r="V8" s="9"/>
      <c r="W8" s="9"/>
      <c r="X8" s="23"/>
      <c r="Y8" s="209"/>
      <c r="Z8" s="9"/>
      <c r="AA8" s="9"/>
      <c r="AB8" s="9"/>
      <c r="AC8" s="23"/>
      <c r="AD8" s="209"/>
      <c r="AE8" s="9"/>
      <c r="AF8" s="9"/>
      <c r="AG8" s="9"/>
      <c r="AH8" s="23"/>
      <c r="AI8" s="209"/>
      <c r="AJ8" s="9"/>
      <c r="AK8" s="9"/>
      <c r="AL8" s="9"/>
      <c r="AM8" s="23"/>
    </row>
    <row r="9" spans="1:39" ht="18.2" customHeight="1" x14ac:dyDescent="0.25">
      <c r="A9" s="83"/>
      <c r="B9" s="122">
        <v>106</v>
      </c>
      <c r="C9" s="122" t="s">
        <v>72</v>
      </c>
      <c r="D9" s="147" t="s">
        <v>229</v>
      </c>
      <c r="E9" s="122">
        <v>170</v>
      </c>
      <c r="F9" s="122">
        <v>1194467</v>
      </c>
      <c r="G9" s="61" t="s">
        <v>289</v>
      </c>
      <c r="H9" s="9" t="s">
        <v>293</v>
      </c>
      <c r="I9" s="241" t="s">
        <v>294</v>
      </c>
      <c r="J9" s="209"/>
      <c r="K9" s="9"/>
      <c r="L9" s="9"/>
      <c r="M9" s="9"/>
      <c r="N9" s="23"/>
      <c r="O9" s="209"/>
      <c r="P9" s="9"/>
      <c r="Q9" s="9"/>
      <c r="R9" s="9"/>
      <c r="S9" s="23"/>
      <c r="T9" s="209"/>
      <c r="U9" s="9"/>
      <c r="V9" s="9"/>
      <c r="W9" s="9"/>
      <c r="X9" s="23"/>
      <c r="Y9" s="209"/>
      <c r="Z9" s="9"/>
      <c r="AA9" s="9"/>
      <c r="AB9" s="9"/>
      <c r="AC9" s="23"/>
      <c r="AD9" s="209"/>
      <c r="AE9" s="9"/>
      <c r="AF9" s="9"/>
      <c r="AG9" s="9"/>
      <c r="AH9" s="23"/>
      <c r="AI9" s="209"/>
      <c r="AJ9" s="9"/>
      <c r="AK9" s="9"/>
      <c r="AL9" s="9"/>
      <c r="AM9" s="23"/>
    </row>
    <row r="10" spans="1:39" ht="18.2" customHeight="1" x14ac:dyDescent="0.25">
      <c r="A10" s="83"/>
      <c r="B10" s="122">
        <v>107</v>
      </c>
      <c r="C10" s="122" t="s">
        <v>73</v>
      </c>
      <c r="D10" s="147" t="s">
        <v>236</v>
      </c>
      <c r="E10" s="122">
        <v>34</v>
      </c>
      <c r="F10" s="122">
        <v>1791830</v>
      </c>
      <c r="G10" s="61" t="s">
        <v>249</v>
      </c>
      <c r="H10" s="9" t="s">
        <v>250</v>
      </c>
      <c r="I10" s="241" t="s">
        <v>251</v>
      </c>
      <c r="J10" s="211"/>
      <c r="K10" s="9"/>
      <c r="L10" s="9"/>
      <c r="M10" s="9"/>
      <c r="N10" s="23"/>
      <c r="O10" s="209"/>
      <c r="P10" s="9"/>
      <c r="Q10" s="9"/>
      <c r="R10" s="9"/>
      <c r="S10" s="23"/>
      <c r="T10" s="209"/>
      <c r="U10" s="9"/>
      <c r="V10" s="9"/>
      <c r="W10" s="9"/>
      <c r="X10" s="23"/>
      <c r="Y10" s="209"/>
      <c r="Z10" s="9"/>
      <c r="AA10" s="9"/>
      <c r="AB10" s="9"/>
      <c r="AC10" s="23"/>
      <c r="AD10" s="209"/>
      <c r="AE10" s="9"/>
      <c r="AF10" s="9"/>
      <c r="AG10" s="9"/>
      <c r="AH10" s="23"/>
      <c r="AI10" s="211"/>
      <c r="AJ10" s="9"/>
      <c r="AK10" s="9"/>
      <c r="AL10" s="9"/>
      <c r="AM10" s="23"/>
    </row>
    <row r="11" spans="1:39" ht="18.2" customHeight="1" x14ac:dyDescent="0.25">
      <c r="A11" s="83"/>
      <c r="B11" s="122">
        <v>108</v>
      </c>
      <c r="C11" s="122" t="s">
        <v>74</v>
      </c>
      <c r="D11" s="147" t="s">
        <v>237</v>
      </c>
      <c r="E11" s="122">
        <v>34</v>
      </c>
      <c r="F11" s="122">
        <v>1093316</v>
      </c>
      <c r="G11" s="61" t="s">
        <v>256</v>
      </c>
      <c r="H11" s="9" t="s">
        <v>257</v>
      </c>
      <c r="I11" s="241" t="s">
        <v>258</v>
      </c>
      <c r="J11" s="209"/>
      <c r="K11" s="9"/>
      <c r="L11" s="9"/>
      <c r="M11" s="9"/>
      <c r="N11" s="23"/>
      <c r="O11" s="209"/>
      <c r="P11" s="9"/>
      <c r="Q11" s="9"/>
      <c r="R11" s="9"/>
      <c r="S11" s="23"/>
      <c r="T11" s="209"/>
      <c r="U11" s="9"/>
      <c r="V11" s="9"/>
      <c r="W11" s="9"/>
      <c r="X11" s="23"/>
      <c r="Y11" s="209"/>
      <c r="Z11" s="9"/>
      <c r="AA11" s="9"/>
      <c r="AB11" s="9"/>
      <c r="AC11" s="23"/>
      <c r="AD11" s="209"/>
      <c r="AE11" s="9"/>
      <c r="AF11" s="9"/>
      <c r="AG11" s="9"/>
      <c r="AH11" s="23"/>
      <c r="AI11" s="209"/>
      <c r="AJ11" s="9"/>
      <c r="AK11" s="9"/>
      <c r="AL11" s="9"/>
      <c r="AM11" s="23"/>
    </row>
    <row r="12" spans="1:39" ht="18.2" customHeight="1" x14ac:dyDescent="0.25">
      <c r="A12" s="83"/>
      <c r="B12" s="122">
        <v>109</v>
      </c>
      <c r="C12" s="122" t="s">
        <v>75</v>
      </c>
      <c r="D12" s="147" t="s">
        <v>237</v>
      </c>
      <c r="E12" s="122">
        <v>34</v>
      </c>
      <c r="F12" s="122">
        <v>1093316</v>
      </c>
      <c r="G12" s="61" t="s">
        <v>256</v>
      </c>
      <c r="H12" s="9" t="s">
        <v>257</v>
      </c>
      <c r="I12" s="241" t="s">
        <v>258</v>
      </c>
      <c r="J12" s="209"/>
      <c r="K12" s="9"/>
      <c r="L12" s="9"/>
      <c r="M12" s="9"/>
      <c r="N12" s="23"/>
      <c r="O12" s="209"/>
      <c r="P12" s="9"/>
      <c r="Q12" s="9"/>
      <c r="R12" s="9"/>
      <c r="S12" s="23"/>
      <c r="T12" s="209"/>
      <c r="U12" s="9"/>
      <c r="V12" s="9"/>
      <c r="W12" s="9"/>
      <c r="X12" s="23"/>
      <c r="Y12" s="209"/>
      <c r="Z12" s="9"/>
      <c r="AA12" s="9"/>
      <c r="AB12" s="9"/>
      <c r="AC12" s="23"/>
      <c r="AD12" s="209"/>
      <c r="AE12" s="9"/>
      <c r="AF12" s="9"/>
      <c r="AG12" s="9"/>
      <c r="AH12" s="23"/>
      <c r="AI12" s="209"/>
      <c r="AJ12" s="9"/>
      <c r="AK12" s="9"/>
      <c r="AL12" s="9"/>
      <c r="AM12" s="23"/>
    </row>
    <row r="13" spans="1:39" ht="18.2" customHeight="1" x14ac:dyDescent="0.25">
      <c r="A13" s="83"/>
      <c r="B13" s="122">
        <v>110</v>
      </c>
      <c r="C13" s="122" t="s">
        <v>76</v>
      </c>
      <c r="D13" s="147" t="s">
        <v>238</v>
      </c>
      <c r="E13" s="122">
        <v>68</v>
      </c>
      <c r="F13" s="122">
        <v>1619437</v>
      </c>
      <c r="G13" s="61" t="s">
        <v>259</v>
      </c>
      <c r="H13" s="9"/>
      <c r="I13" s="241" t="s">
        <v>260</v>
      </c>
      <c r="J13" s="209"/>
      <c r="K13" s="9"/>
      <c r="L13" s="9"/>
      <c r="M13" s="9"/>
      <c r="N13" s="23"/>
      <c r="O13" s="209"/>
      <c r="P13" s="9"/>
      <c r="Q13" s="9"/>
      <c r="R13" s="9"/>
      <c r="S13" s="23"/>
      <c r="T13" s="209"/>
      <c r="U13" s="9"/>
      <c r="V13" s="9"/>
      <c r="W13" s="9"/>
      <c r="X13" s="23"/>
      <c r="Y13" s="209"/>
      <c r="Z13" s="9"/>
      <c r="AA13" s="9"/>
      <c r="AB13" s="9"/>
      <c r="AC13" s="23"/>
      <c r="AD13" s="209"/>
      <c r="AE13" s="9"/>
      <c r="AF13" s="9"/>
      <c r="AG13" s="9"/>
      <c r="AH13" s="23"/>
      <c r="AI13" s="209"/>
      <c r="AJ13" s="9"/>
      <c r="AK13" s="9"/>
      <c r="AL13" s="9"/>
      <c r="AM13" s="23"/>
    </row>
    <row r="14" spans="1:39" ht="18.2" customHeight="1" x14ac:dyDescent="0.25">
      <c r="A14" s="83"/>
      <c r="B14" s="122">
        <v>111</v>
      </c>
      <c r="C14" s="122" t="s">
        <v>64</v>
      </c>
      <c r="D14" s="147" t="s">
        <v>239</v>
      </c>
      <c r="E14" s="122">
        <v>34</v>
      </c>
      <c r="F14" s="122">
        <v>1069207</v>
      </c>
      <c r="G14" s="61" t="s">
        <v>271</v>
      </c>
      <c r="H14" s="9" t="s">
        <v>272</v>
      </c>
      <c r="I14" s="241" t="s">
        <v>273</v>
      </c>
      <c r="J14" s="209"/>
      <c r="K14" s="9"/>
      <c r="L14" s="9"/>
      <c r="M14" s="9"/>
      <c r="N14" s="23"/>
      <c r="O14" s="209"/>
      <c r="P14" s="9"/>
      <c r="Q14" s="9"/>
      <c r="R14" s="9"/>
      <c r="S14" s="23"/>
      <c r="T14" s="209"/>
      <c r="U14" s="9"/>
      <c r="V14" s="9"/>
      <c r="W14" s="9"/>
      <c r="X14" s="23"/>
      <c r="Y14" s="209"/>
      <c r="Z14" s="9"/>
      <c r="AA14" s="9"/>
      <c r="AB14" s="9"/>
      <c r="AC14" s="23"/>
      <c r="AD14" s="209"/>
      <c r="AE14" s="9"/>
      <c r="AF14" s="9"/>
      <c r="AG14" s="9"/>
      <c r="AH14" s="23"/>
      <c r="AI14" s="209"/>
      <c r="AJ14" s="9"/>
      <c r="AK14" s="9"/>
      <c r="AL14" s="9"/>
      <c r="AM14" s="23"/>
    </row>
    <row r="15" spans="1:39" ht="18.2" customHeight="1" x14ac:dyDescent="0.25">
      <c r="A15" s="83"/>
      <c r="B15" s="122">
        <v>112</v>
      </c>
      <c r="C15" s="122" t="s">
        <v>77</v>
      </c>
      <c r="D15" s="147" t="s">
        <v>240</v>
      </c>
      <c r="E15" s="122">
        <v>68</v>
      </c>
      <c r="F15" s="122">
        <v>1069818</v>
      </c>
      <c r="G15" s="61" t="s">
        <v>286</v>
      </c>
      <c r="H15" s="9" t="s">
        <v>287</v>
      </c>
      <c r="I15" s="241" t="s">
        <v>288</v>
      </c>
      <c r="J15" s="209"/>
      <c r="K15" s="9"/>
      <c r="L15" s="9"/>
      <c r="M15" s="9"/>
      <c r="N15" s="23"/>
      <c r="O15" s="209"/>
      <c r="P15" s="9"/>
      <c r="Q15" s="9"/>
      <c r="R15" s="9"/>
      <c r="S15" s="23"/>
      <c r="T15" s="209"/>
      <c r="U15" s="9"/>
      <c r="V15" s="9"/>
      <c r="W15" s="9"/>
      <c r="X15" s="23"/>
      <c r="Y15" s="209"/>
      <c r="Z15" s="9"/>
      <c r="AA15" s="9"/>
      <c r="AB15" s="9"/>
      <c r="AC15" s="23"/>
      <c r="AD15" s="209"/>
      <c r="AE15" s="9"/>
      <c r="AF15" s="9"/>
      <c r="AG15" s="9"/>
      <c r="AH15" s="23"/>
      <c r="AI15" s="209"/>
      <c r="AJ15" s="9"/>
      <c r="AK15" s="9"/>
      <c r="AL15" s="9"/>
      <c r="AM15" s="23"/>
    </row>
    <row r="16" spans="1:39" ht="18.2" customHeight="1" x14ac:dyDescent="0.25">
      <c r="A16" s="83"/>
      <c r="B16" s="122">
        <v>113</v>
      </c>
      <c r="C16" s="122" t="s">
        <v>78</v>
      </c>
      <c r="D16" s="147" t="s">
        <v>241</v>
      </c>
      <c r="E16" s="122">
        <v>68</v>
      </c>
      <c r="F16" s="122">
        <v>1092959</v>
      </c>
      <c r="G16" s="61" t="s">
        <v>274</v>
      </c>
      <c r="H16" s="9" t="s">
        <v>275</v>
      </c>
      <c r="I16" s="241" t="s">
        <v>276</v>
      </c>
      <c r="J16" s="211"/>
      <c r="K16" s="9"/>
      <c r="L16" s="9"/>
      <c r="M16" s="9"/>
      <c r="N16" s="23"/>
      <c r="O16" s="209"/>
      <c r="P16" s="9"/>
      <c r="Q16" s="9"/>
      <c r="R16" s="9"/>
      <c r="S16" s="23"/>
      <c r="T16" s="209"/>
      <c r="U16" s="9"/>
      <c r="V16" s="9"/>
      <c r="W16" s="9"/>
      <c r="X16" s="23"/>
      <c r="Y16" s="209"/>
      <c r="Z16" s="9"/>
      <c r="AA16" s="9"/>
      <c r="AB16" s="9"/>
      <c r="AC16" s="23"/>
      <c r="AD16" s="209"/>
      <c r="AE16" s="9"/>
      <c r="AF16" s="9"/>
      <c r="AG16" s="9"/>
      <c r="AH16" s="23"/>
      <c r="AI16" s="211"/>
      <c r="AJ16" s="9"/>
      <c r="AK16" s="9"/>
      <c r="AL16" s="9"/>
      <c r="AM16" s="23"/>
    </row>
    <row r="17" spans="1:39" ht="18.2" customHeight="1" x14ac:dyDescent="0.25">
      <c r="A17" s="83"/>
      <c r="B17" s="122">
        <v>114</v>
      </c>
      <c r="C17" s="122" t="s">
        <v>79</v>
      </c>
      <c r="D17" s="147" t="s">
        <v>240</v>
      </c>
      <c r="E17" s="122">
        <v>34</v>
      </c>
      <c r="F17" s="122">
        <v>1069818</v>
      </c>
      <c r="G17" s="61" t="s">
        <v>286</v>
      </c>
      <c r="H17" s="9" t="s">
        <v>287</v>
      </c>
      <c r="I17" s="241" t="s">
        <v>288</v>
      </c>
      <c r="J17" s="209"/>
      <c r="K17" s="9"/>
      <c r="L17" s="9"/>
      <c r="M17" s="9"/>
      <c r="N17" s="23"/>
      <c r="O17" s="209"/>
      <c r="P17" s="9"/>
      <c r="Q17" s="9"/>
      <c r="R17" s="9"/>
      <c r="S17" s="23"/>
      <c r="T17" s="209"/>
      <c r="U17" s="9"/>
      <c r="V17" s="9"/>
      <c r="W17" s="9"/>
      <c r="X17" s="23"/>
      <c r="Y17" s="209"/>
      <c r="Z17" s="9"/>
      <c r="AA17" s="9"/>
      <c r="AB17" s="9"/>
      <c r="AC17" s="23"/>
      <c r="AD17" s="209"/>
      <c r="AE17" s="9"/>
      <c r="AF17" s="9"/>
      <c r="AG17" s="9"/>
      <c r="AH17" s="23"/>
      <c r="AI17" s="209"/>
      <c r="AJ17" s="9"/>
      <c r="AK17" s="9"/>
      <c r="AL17" s="9"/>
      <c r="AM17" s="23"/>
    </row>
    <row r="18" spans="1:39" ht="32.25" customHeight="1" x14ac:dyDescent="0.25">
      <c r="A18" s="83"/>
      <c r="B18" s="122">
        <v>115</v>
      </c>
      <c r="C18" s="122" t="s">
        <v>80</v>
      </c>
      <c r="D18" s="147" t="s">
        <v>242</v>
      </c>
      <c r="E18" s="122">
        <v>34.340000000000003</v>
      </c>
      <c r="F18" s="122" t="s">
        <v>232</v>
      </c>
      <c r="G18" s="61" t="s">
        <v>266</v>
      </c>
      <c r="H18" s="9" t="s">
        <v>267</v>
      </c>
      <c r="I18" s="241" t="s">
        <v>268</v>
      </c>
      <c r="J18" s="209"/>
      <c r="K18" s="9"/>
      <c r="L18" s="9"/>
      <c r="M18" s="9"/>
      <c r="N18" s="23"/>
      <c r="O18" s="209"/>
      <c r="P18" s="9"/>
      <c r="Q18" s="9"/>
      <c r="R18" s="9"/>
      <c r="S18" s="23"/>
      <c r="T18" s="209"/>
      <c r="U18" s="9"/>
      <c r="V18" s="9"/>
      <c r="W18" s="9"/>
      <c r="X18" s="23"/>
      <c r="Y18" s="209"/>
      <c r="Z18" s="9"/>
      <c r="AA18" s="9"/>
      <c r="AB18" s="9"/>
      <c r="AC18" s="23"/>
      <c r="AD18" s="209"/>
      <c r="AE18" s="9"/>
      <c r="AF18" s="9"/>
      <c r="AG18" s="9"/>
      <c r="AH18" s="23"/>
      <c r="AI18" s="209"/>
      <c r="AJ18" s="9"/>
      <c r="AK18" s="9"/>
      <c r="AL18" s="9"/>
      <c r="AM18" s="23"/>
    </row>
    <row r="19" spans="1:39" ht="29.25" customHeight="1" x14ac:dyDescent="0.25">
      <c r="A19" s="83"/>
      <c r="B19" s="122">
        <v>116</v>
      </c>
      <c r="C19" s="122" t="s">
        <v>81</v>
      </c>
      <c r="D19" s="147" t="s">
        <v>243</v>
      </c>
      <c r="E19" s="122">
        <v>68.680000000000007</v>
      </c>
      <c r="F19" s="122" t="s">
        <v>231</v>
      </c>
      <c r="G19" s="61" t="s">
        <v>261</v>
      </c>
      <c r="H19" s="9" t="s">
        <v>262</v>
      </c>
      <c r="I19" s="241" t="s">
        <v>263</v>
      </c>
      <c r="J19" s="209"/>
      <c r="K19" s="9"/>
      <c r="L19" s="9"/>
      <c r="M19" s="9"/>
      <c r="N19" s="23"/>
      <c r="O19" s="209"/>
      <c r="P19" s="9"/>
      <c r="Q19" s="9"/>
      <c r="R19" s="9"/>
      <c r="S19" s="23"/>
      <c r="T19" s="209"/>
      <c r="U19" s="9"/>
      <c r="V19" s="9"/>
      <c r="W19" s="9"/>
      <c r="X19" s="23"/>
      <c r="Y19" s="209"/>
      <c r="Z19" s="9"/>
      <c r="AA19" s="9"/>
      <c r="AB19" s="9"/>
      <c r="AC19" s="23"/>
      <c r="AD19" s="209"/>
      <c r="AE19" s="9"/>
      <c r="AF19" s="9"/>
      <c r="AG19" s="9"/>
      <c r="AH19" s="23"/>
      <c r="AI19" s="209"/>
      <c r="AJ19" s="9"/>
      <c r="AK19" s="9"/>
      <c r="AL19" s="9"/>
      <c r="AM19" s="23"/>
    </row>
    <row r="20" spans="1:39" ht="18.2" customHeight="1" x14ac:dyDescent="0.25">
      <c r="A20" s="83"/>
      <c r="B20" s="122">
        <v>117</v>
      </c>
      <c r="C20" s="122" t="s">
        <v>82</v>
      </c>
      <c r="D20" s="147" t="s">
        <v>244</v>
      </c>
      <c r="E20" s="122">
        <v>34</v>
      </c>
      <c r="F20" s="122">
        <v>1787014</v>
      </c>
      <c r="G20" s="61" t="s">
        <v>264</v>
      </c>
      <c r="H20" s="9"/>
      <c r="I20" s="241" t="s">
        <v>265</v>
      </c>
      <c r="J20" s="209"/>
      <c r="K20" s="9"/>
      <c r="L20" s="9"/>
      <c r="M20" s="9"/>
      <c r="N20" s="23"/>
      <c r="O20" s="209"/>
      <c r="P20" s="9"/>
      <c r="Q20" s="9"/>
      <c r="R20" s="9"/>
      <c r="S20" s="23"/>
      <c r="T20" s="209"/>
      <c r="U20" s="9"/>
      <c r="V20" s="9"/>
      <c r="W20" s="9"/>
      <c r="X20" s="23"/>
      <c r="Y20" s="209"/>
      <c r="Z20" s="9"/>
      <c r="AA20" s="9"/>
      <c r="AB20" s="9"/>
      <c r="AC20" s="23"/>
      <c r="AD20" s="209"/>
      <c r="AE20" s="9"/>
      <c r="AF20" s="9"/>
      <c r="AG20" s="9"/>
      <c r="AH20" s="23"/>
      <c r="AI20" s="209"/>
      <c r="AJ20" s="9"/>
      <c r="AK20" s="9"/>
      <c r="AL20" s="9"/>
      <c r="AM20" s="23"/>
    </row>
    <row r="21" spans="1:39" ht="18.2" customHeight="1" x14ac:dyDescent="0.25">
      <c r="A21" s="83"/>
      <c r="B21" s="122">
        <v>118</v>
      </c>
      <c r="C21" s="122" t="s">
        <v>83</v>
      </c>
      <c r="D21" s="147" t="s">
        <v>245</v>
      </c>
      <c r="E21" s="122">
        <v>34</v>
      </c>
      <c r="F21" s="122">
        <v>1784642</v>
      </c>
      <c r="G21" s="61" t="s">
        <v>269</v>
      </c>
      <c r="H21" s="9"/>
      <c r="I21" s="241" t="s">
        <v>270</v>
      </c>
      <c r="J21" s="209"/>
      <c r="K21" s="9"/>
      <c r="L21" s="9"/>
      <c r="M21" s="9"/>
      <c r="N21" s="23"/>
      <c r="O21" s="209"/>
      <c r="P21" s="9"/>
      <c r="Q21" s="9"/>
      <c r="R21" s="9"/>
      <c r="S21" s="23"/>
      <c r="T21" s="209"/>
      <c r="U21" s="9"/>
      <c r="V21" s="9"/>
      <c r="W21" s="9"/>
      <c r="X21" s="23"/>
      <c r="Y21" s="209"/>
      <c r="Z21" s="9"/>
      <c r="AA21" s="9"/>
      <c r="AB21" s="9"/>
      <c r="AC21" s="23"/>
      <c r="AD21" s="209"/>
      <c r="AE21" s="9"/>
      <c r="AF21" s="9"/>
      <c r="AG21" s="9"/>
      <c r="AH21" s="23"/>
      <c r="AI21" s="209"/>
      <c r="AJ21" s="9"/>
      <c r="AK21" s="9"/>
      <c r="AL21" s="9"/>
      <c r="AM21" s="23"/>
    </row>
    <row r="22" spans="1:39" ht="30.75" customHeight="1" x14ac:dyDescent="0.25">
      <c r="A22" s="83"/>
      <c r="B22" s="122">
        <v>119</v>
      </c>
      <c r="C22" s="122" t="s">
        <v>84</v>
      </c>
      <c r="D22" s="147"/>
      <c r="E22" s="122"/>
      <c r="F22" s="122"/>
      <c r="G22" s="61"/>
      <c r="H22" s="9"/>
      <c r="I22" s="206"/>
      <c r="J22" s="211"/>
      <c r="K22" s="9"/>
      <c r="L22" s="9"/>
      <c r="M22" s="9"/>
      <c r="N22" s="23"/>
      <c r="O22" s="209"/>
      <c r="P22" s="9"/>
      <c r="Q22" s="9"/>
      <c r="R22" s="9"/>
      <c r="S22" s="23"/>
      <c r="T22" s="209"/>
      <c r="U22" s="9"/>
      <c r="V22" s="9"/>
      <c r="W22" s="9"/>
      <c r="X22" s="23"/>
      <c r="Y22" s="209"/>
      <c r="Z22" s="9"/>
      <c r="AA22" s="9"/>
      <c r="AB22" s="9"/>
      <c r="AC22" s="23"/>
      <c r="AD22" s="209"/>
      <c r="AE22" s="9"/>
      <c r="AF22" s="9"/>
      <c r="AG22" s="9"/>
      <c r="AH22" s="23"/>
      <c r="AI22" s="211"/>
      <c r="AJ22" s="9"/>
      <c r="AK22" s="9"/>
      <c r="AL22" s="9"/>
      <c r="AM22" s="23"/>
    </row>
    <row r="23" spans="1:39" ht="27.75" customHeight="1" thickBot="1" x14ac:dyDescent="0.3">
      <c r="A23" s="83"/>
      <c r="B23" s="123">
        <v>120</v>
      </c>
      <c r="C23" s="123" t="s">
        <v>106</v>
      </c>
      <c r="D23" s="148"/>
      <c r="E23" s="123"/>
      <c r="F23" s="123"/>
      <c r="G23" s="86"/>
      <c r="H23" s="84"/>
      <c r="I23" s="207"/>
      <c r="J23" s="210"/>
      <c r="K23" s="84"/>
      <c r="L23" s="84"/>
      <c r="M23" s="84"/>
      <c r="N23" s="85"/>
      <c r="O23" s="210"/>
      <c r="P23" s="84"/>
      <c r="Q23" s="84"/>
      <c r="R23" s="84"/>
      <c r="S23" s="85"/>
      <c r="T23" s="210"/>
      <c r="U23" s="84"/>
      <c r="V23" s="84"/>
      <c r="W23" s="84"/>
      <c r="X23" s="85"/>
      <c r="Y23" s="210"/>
      <c r="Z23" s="84"/>
      <c r="AA23" s="84"/>
      <c r="AB23" s="84"/>
      <c r="AC23" s="85"/>
      <c r="AD23" s="210"/>
      <c r="AE23" s="84"/>
      <c r="AF23" s="84"/>
      <c r="AG23" s="84"/>
      <c r="AH23" s="85"/>
      <c r="AI23" s="210"/>
      <c r="AJ23" s="84"/>
      <c r="AK23" s="84"/>
      <c r="AL23" s="84"/>
      <c r="AM23" s="85"/>
    </row>
    <row r="24" spans="1:39" ht="18.2" customHeight="1" thickTop="1" x14ac:dyDescent="0.25">
      <c r="A24" s="83"/>
    </row>
  </sheetData>
  <mergeCells count="14">
    <mergeCell ref="I2:I3"/>
    <mergeCell ref="B1:I1"/>
    <mergeCell ref="B2:B3"/>
    <mergeCell ref="C2:C3"/>
    <mergeCell ref="D2:D3"/>
    <mergeCell ref="G2:H2"/>
    <mergeCell ref="E2:E3"/>
    <mergeCell ref="F2:F3"/>
    <mergeCell ref="Y2:AC2"/>
    <mergeCell ref="AI2:AM2"/>
    <mergeCell ref="AD2:AH2"/>
    <mergeCell ref="J2:N2"/>
    <mergeCell ref="O2:S2"/>
    <mergeCell ref="T2:X2"/>
  </mergeCells>
  <hyperlinks>
    <hyperlink ref="I10" r:id="rId1"/>
    <hyperlink ref="I7" r:id="rId2"/>
    <hyperlink ref="I8" r:id="rId3" display="elekbarovatamella@gmail.com,"/>
    <hyperlink ref="I11" r:id="rId4"/>
    <hyperlink ref="I12" r:id="rId5"/>
    <hyperlink ref="I13" r:id="rId6"/>
    <hyperlink ref="I19" r:id="rId7" display="bahar889999@gmail.com,                   "/>
    <hyperlink ref="I20" r:id="rId8"/>
    <hyperlink ref="I18" r:id="rId9" display="atakishiyevbhruz@gmail.com"/>
    <hyperlink ref="I21" r:id="rId10"/>
    <hyperlink ref="I14" r:id="rId11"/>
    <hyperlink ref="I16" r:id="rId12"/>
    <hyperlink ref="I15" r:id="rId13"/>
    <hyperlink ref="I17" r:id="rId14"/>
    <hyperlink ref="I4" r:id="rId15"/>
    <hyperlink ref="I5" r:id="rId16"/>
    <hyperlink ref="I9" r:id="rId17"/>
  </hyperlinks>
  <printOptions horizontalCentered="1"/>
  <pageMargins left="0" right="0" top="0" bottom="0" header="0" footer="0"/>
  <pageSetup paperSize="9" scale="31" fitToHeight="0" orientation="landscape" r:id="rId18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7" zoomScale="89" zoomScaleNormal="89" workbookViewId="0">
      <selection activeCell="K25" sqref="K25"/>
    </sheetView>
  </sheetViews>
  <sheetFormatPr defaultColWidth="8.85546875" defaultRowHeight="16.5" x14ac:dyDescent="0.25"/>
  <cols>
    <col min="1" max="1" width="1.5703125" style="1" customWidth="1"/>
    <col min="2" max="2" width="9.7109375" style="1" customWidth="1"/>
    <col min="3" max="5" width="20.7109375" style="1" customWidth="1"/>
    <col min="6" max="6" width="6.85546875" style="1" customWidth="1"/>
    <col min="7" max="8" width="5.7109375" style="1" customWidth="1"/>
    <col min="9" max="9" width="8.7109375" style="1" customWidth="1"/>
    <col min="10" max="10" width="9.28515625" style="1" customWidth="1"/>
    <col min="11" max="43" width="6.85546875" style="1" customWidth="1"/>
    <col min="44" max="44" width="1.5703125" style="1" customWidth="1"/>
    <col min="45" max="16384" width="8.85546875" style="1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10" t="s">
        <v>29</v>
      </c>
      <c r="C2" s="12">
        <f>Şagirdlər!D2</f>
        <v>8</v>
      </c>
      <c r="D2" s="10" t="s">
        <v>41</v>
      </c>
      <c r="E2" s="13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Müəllimlər!C4</f>
        <v>Tədris dili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 t="str">
        <f>Müəllimlər!D4</f>
        <v>Səfərova Elnarə Yəhya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Müəllimlər!E4</f>
        <v>102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4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63" t="s">
        <v>38</v>
      </c>
      <c r="H5" s="163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>
        <v>48</v>
      </c>
      <c r="L6" s="43"/>
      <c r="M6" s="43">
        <v>60</v>
      </c>
      <c r="N6" s="43">
        <v>50</v>
      </c>
      <c r="O6" s="43">
        <v>45</v>
      </c>
      <c r="P6" s="43"/>
      <c r="Q6" s="43"/>
      <c r="R6" s="43"/>
      <c r="S6" s="44">
        <f>IFERROR(AVERAGE(M6:R6),"")</f>
        <v>51.666666666666664</v>
      </c>
      <c r="T6" s="43">
        <v>35</v>
      </c>
      <c r="U6" s="44">
        <f>IF(T6="",S6,IF(S6="",T6,S6*40/100+T6*60/100))</f>
        <v>41.666666666666664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51.666666666666664</v>
      </c>
      <c r="AO6" s="48">
        <f>IFERROR(AVERAGE(T6,AG6),"")</f>
        <v>35</v>
      </c>
      <c r="AP6" s="48">
        <f>IF(AO6="",AN6,IF(AN6="",AO6,AN6*40/100+AO6*60/100))</f>
        <v>41.666666666666664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>
        <v>53</v>
      </c>
      <c r="L7" s="3"/>
      <c r="M7" s="3">
        <v>55</v>
      </c>
      <c r="N7" s="3">
        <v>50</v>
      </c>
      <c r="O7" s="3">
        <v>40</v>
      </c>
      <c r="P7" s="3"/>
      <c r="Q7" s="3"/>
      <c r="R7" s="3"/>
      <c r="S7" s="4">
        <f t="shared" ref="S7:S55" si="0">IFERROR(AVERAGE(M7:R7),"")</f>
        <v>48.333333333333336</v>
      </c>
      <c r="T7" s="3">
        <v>39</v>
      </c>
      <c r="U7" s="44">
        <f t="shared" ref="U7:U55" si="1">IF(T7="",S7,IF(S7="",T7,S7*40/100+T7*60/100))</f>
        <v>42.733333333333334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N55" si="8">IFERROR(AVERAGE(S7,AF7),"")</f>
        <v>48.333333333333336</v>
      </c>
      <c r="AO7" s="5">
        <f t="shared" ref="AO7:AO55" si="9">IFERROR(AVERAGE(T7,AG7),"")</f>
        <v>39</v>
      </c>
      <c r="AP7" s="48">
        <f t="shared" ref="AP7:AP55" si="10">IF(AO7="",AN7,IF(AN7="",AO7,AN7*40/100+AO7*60/100))</f>
        <v>42.733333333333334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>
        <v>58</v>
      </c>
      <c r="L8" s="3"/>
      <c r="M8" s="3">
        <v>50</v>
      </c>
      <c r="N8" s="3">
        <v>60</v>
      </c>
      <c r="O8" s="3">
        <v>55</v>
      </c>
      <c r="P8" s="3"/>
      <c r="Q8" s="3"/>
      <c r="R8" s="3"/>
      <c r="S8" s="4">
        <f t="shared" si="0"/>
        <v>55</v>
      </c>
      <c r="T8" s="3">
        <v>41</v>
      </c>
      <c r="U8" s="44">
        <f t="shared" si="1"/>
        <v>46.6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55</v>
      </c>
      <c r="AO8" s="5">
        <f t="shared" si="9"/>
        <v>41</v>
      </c>
      <c r="AP8" s="48">
        <f t="shared" si="10"/>
        <v>46.6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>
        <v>73</v>
      </c>
      <c r="L9" s="3"/>
      <c r="M9" s="3">
        <v>60</v>
      </c>
      <c r="N9" s="3">
        <v>60</v>
      </c>
      <c r="O9" s="3">
        <v>60</v>
      </c>
      <c r="P9" s="3"/>
      <c r="Q9" s="3"/>
      <c r="R9" s="3"/>
      <c r="S9" s="4">
        <f t="shared" si="0"/>
        <v>60</v>
      </c>
      <c r="T9" s="3">
        <v>55</v>
      </c>
      <c r="U9" s="44">
        <f t="shared" si="1"/>
        <v>57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60</v>
      </c>
      <c r="AO9" s="5">
        <f t="shared" si="9"/>
        <v>55</v>
      </c>
      <c r="AP9" s="48">
        <f t="shared" si="10"/>
        <v>57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tr">
        <f>IF(Şagirdlər!E9="","",Şagirdlər!E9)</f>
        <v>İlhan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>
        <v>48</v>
      </c>
      <c r="L10" s="3"/>
      <c r="M10" s="3">
        <v>80</v>
      </c>
      <c r="N10" s="3">
        <v>55</v>
      </c>
      <c r="O10" s="3">
        <v>60</v>
      </c>
      <c r="P10" s="3"/>
      <c r="Q10" s="3"/>
      <c r="R10" s="3"/>
      <c r="S10" s="4">
        <f t="shared" si="0"/>
        <v>65</v>
      </c>
      <c r="T10" s="3">
        <v>64</v>
      </c>
      <c r="U10" s="44">
        <f t="shared" si="1"/>
        <v>64.400000000000006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65</v>
      </c>
      <c r="AO10" s="5">
        <f t="shared" si="9"/>
        <v>64</v>
      </c>
      <c r="AP10" s="48">
        <f t="shared" si="10"/>
        <v>64.400000000000006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>
        <v>100</v>
      </c>
      <c r="L11" s="3"/>
      <c r="M11" s="3">
        <v>85</v>
      </c>
      <c r="N11" s="3">
        <v>90</v>
      </c>
      <c r="O11" s="3">
        <v>95</v>
      </c>
      <c r="P11" s="3"/>
      <c r="Q11" s="3"/>
      <c r="R11" s="3"/>
      <c r="S11" s="4">
        <f t="shared" si="0"/>
        <v>90</v>
      </c>
      <c r="T11" s="3">
        <v>94</v>
      </c>
      <c r="U11" s="44">
        <f t="shared" si="1"/>
        <v>92.4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90</v>
      </c>
      <c r="AO11" s="5">
        <f t="shared" si="9"/>
        <v>94</v>
      </c>
      <c r="AP11" s="48">
        <f t="shared" si="10"/>
        <v>92.4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>
        <v>68</v>
      </c>
      <c r="L12" s="3"/>
      <c r="M12" s="3">
        <v>75</v>
      </c>
      <c r="N12" s="3">
        <v>70</v>
      </c>
      <c r="O12" s="3">
        <v>65</v>
      </c>
      <c r="P12" s="3"/>
      <c r="Q12" s="3"/>
      <c r="R12" s="3"/>
      <c r="S12" s="4">
        <f t="shared" si="0"/>
        <v>70</v>
      </c>
      <c r="T12" s="3">
        <v>64</v>
      </c>
      <c r="U12" s="44">
        <f t="shared" si="1"/>
        <v>66.400000000000006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70</v>
      </c>
      <c r="AO12" s="5">
        <f t="shared" si="9"/>
        <v>64</v>
      </c>
      <c r="AP12" s="48">
        <f t="shared" si="10"/>
        <v>66.400000000000006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>
        <v>40</v>
      </c>
      <c r="L13" s="3"/>
      <c r="M13" s="3">
        <v>40</v>
      </c>
      <c r="N13" s="3">
        <v>35</v>
      </c>
      <c r="O13" s="3">
        <v>35</v>
      </c>
      <c r="P13" s="3"/>
      <c r="Q13" s="3"/>
      <c r="R13" s="3"/>
      <c r="S13" s="4">
        <f t="shared" si="0"/>
        <v>36.666666666666664</v>
      </c>
      <c r="T13" s="3">
        <v>32</v>
      </c>
      <c r="U13" s="44">
        <f t="shared" si="1"/>
        <v>33.86666666666666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36.666666666666664</v>
      </c>
      <c r="AO13" s="5">
        <f t="shared" si="9"/>
        <v>32</v>
      </c>
      <c r="AP13" s="48">
        <f t="shared" si="10"/>
        <v>33.86666666666666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>
        <v>70</v>
      </c>
      <c r="L14" s="3"/>
      <c r="M14" s="3">
        <v>80</v>
      </c>
      <c r="N14" s="3">
        <v>80</v>
      </c>
      <c r="O14" s="3">
        <v>75</v>
      </c>
      <c r="P14" s="3"/>
      <c r="Q14" s="3"/>
      <c r="R14" s="3"/>
      <c r="S14" s="4">
        <f t="shared" si="0"/>
        <v>78.333333333333329</v>
      </c>
      <c r="T14" s="3">
        <v>65</v>
      </c>
      <c r="U14" s="44">
        <f t="shared" si="1"/>
        <v>70.333333333333329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78.333333333333329</v>
      </c>
      <c r="AO14" s="5">
        <f t="shared" si="9"/>
        <v>65</v>
      </c>
      <c r="AP14" s="48">
        <f t="shared" si="10"/>
        <v>70.333333333333329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>
        <v>68</v>
      </c>
      <c r="L15" s="3"/>
      <c r="M15" s="3">
        <v>80</v>
      </c>
      <c r="N15" s="3">
        <v>80</v>
      </c>
      <c r="O15" s="3">
        <v>70</v>
      </c>
      <c r="P15" s="3"/>
      <c r="Q15" s="3"/>
      <c r="R15" s="3"/>
      <c r="S15" s="4">
        <f t="shared" si="0"/>
        <v>76.666666666666671</v>
      </c>
      <c r="T15" s="3">
        <v>64</v>
      </c>
      <c r="U15" s="44">
        <f t="shared" si="1"/>
        <v>69.066666666666663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76.666666666666671</v>
      </c>
      <c r="AO15" s="5">
        <f t="shared" si="9"/>
        <v>64</v>
      </c>
      <c r="AP15" s="48">
        <f t="shared" si="10"/>
        <v>69.066666666666663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>
        <v>56</v>
      </c>
      <c r="L16" s="3"/>
      <c r="M16" s="3">
        <v>65</v>
      </c>
      <c r="N16" s="3">
        <v>60</v>
      </c>
      <c r="O16" s="3">
        <v>65</v>
      </c>
      <c r="P16" s="3"/>
      <c r="Q16" s="3"/>
      <c r="R16" s="3"/>
      <c r="S16" s="4">
        <f t="shared" si="0"/>
        <v>63.333333333333336</v>
      </c>
      <c r="T16" s="3">
        <v>64</v>
      </c>
      <c r="U16" s="44">
        <f t="shared" si="1"/>
        <v>63.733333333333334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63.333333333333336</v>
      </c>
      <c r="AO16" s="5">
        <f t="shared" si="9"/>
        <v>64</v>
      </c>
      <c r="AP16" s="48">
        <f t="shared" si="10"/>
        <v>63.733333333333334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>
        <v>40</v>
      </c>
      <c r="L17" s="3"/>
      <c r="M17" s="3">
        <v>35</v>
      </c>
      <c r="N17" s="3">
        <v>35</v>
      </c>
      <c r="O17" s="3">
        <v>35</v>
      </c>
      <c r="P17" s="3"/>
      <c r="Q17" s="3"/>
      <c r="R17" s="3"/>
      <c r="S17" s="4">
        <f t="shared" si="0"/>
        <v>35</v>
      </c>
      <c r="T17" s="3">
        <v>34</v>
      </c>
      <c r="U17" s="44">
        <f t="shared" si="1"/>
        <v>34.4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35</v>
      </c>
      <c r="AO17" s="5">
        <f t="shared" si="9"/>
        <v>34</v>
      </c>
      <c r="AP17" s="48">
        <f t="shared" si="10"/>
        <v>34.4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>
        <v>63</v>
      </c>
      <c r="L18" s="3"/>
      <c r="M18" s="3">
        <v>60</v>
      </c>
      <c r="N18" s="3">
        <v>55</v>
      </c>
      <c r="O18" s="3">
        <v>50</v>
      </c>
      <c r="P18" s="3"/>
      <c r="Q18" s="3"/>
      <c r="R18" s="3"/>
      <c r="S18" s="4">
        <f t="shared" si="0"/>
        <v>55</v>
      </c>
      <c r="T18" s="3">
        <v>52</v>
      </c>
      <c r="U18" s="44">
        <f t="shared" si="1"/>
        <v>53.2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55</v>
      </c>
      <c r="AO18" s="5">
        <f t="shared" si="9"/>
        <v>52</v>
      </c>
      <c r="AP18" s="48">
        <f t="shared" si="10"/>
        <v>53.2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>
        <v>68</v>
      </c>
      <c r="L19" s="3"/>
      <c r="M19" s="3">
        <v>60</v>
      </c>
      <c r="N19" s="3">
        <v>65</v>
      </c>
      <c r="O19" s="3">
        <v>60</v>
      </c>
      <c r="P19" s="3"/>
      <c r="Q19" s="3"/>
      <c r="R19" s="3"/>
      <c r="S19" s="4">
        <f t="shared" si="0"/>
        <v>61.666666666666664</v>
      </c>
      <c r="T19" s="3">
        <v>61</v>
      </c>
      <c r="U19" s="44">
        <f t="shared" si="1"/>
        <v>61.266666666666666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61.666666666666664</v>
      </c>
      <c r="AO19" s="5">
        <f t="shared" si="9"/>
        <v>61</v>
      </c>
      <c r="AP19" s="48">
        <f t="shared" si="10"/>
        <v>61.266666666666666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>
        <v>100</v>
      </c>
      <c r="L20" s="3"/>
      <c r="M20" s="3">
        <v>95</v>
      </c>
      <c r="N20" s="3">
        <v>100</v>
      </c>
      <c r="O20" s="3">
        <v>95</v>
      </c>
      <c r="P20" s="3"/>
      <c r="Q20" s="3"/>
      <c r="R20" s="3"/>
      <c r="S20" s="4">
        <f t="shared" si="0"/>
        <v>96.666666666666671</v>
      </c>
      <c r="T20" s="3">
        <v>94</v>
      </c>
      <c r="U20" s="44">
        <f t="shared" si="1"/>
        <v>95.066666666666663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96.666666666666671</v>
      </c>
      <c r="AO20" s="5">
        <f t="shared" si="9"/>
        <v>94</v>
      </c>
      <c r="AP20" s="48">
        <f t="shared" si="10"/>
        <v>95.066666666666663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>
        <v>98</v>
      </c>
      <c r="L21" s="3"/>
      <c r="M21" s="3">
        <v>80</v>
      </c>
      <c r="N21" s="3">
        <v>70</v>
      </c>
      <c r="O21" s="3">
        <v>71</v>
      </c>
      <c r="P21" s="3"/>
      <c r="Q21" s="3"/>
      <c r="R21" s="3"/>
      <c r="S21" s="4">
        <f t="shared" si="0"/>
        <v>73.666666666666671</v>
      </c>
      <c r="T21" s="3">
        <v>68</v>
      </c>
      <c r="U21" s="44">
        <f t="shared" si="1"/>
        <v>70.266666666666666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73.666666666666671</v>
      </c>
      <c r="AO21" s="5">
        <f t="shared" si="9"/>
        <v>68</v>
      </c>
      <c r="AP21" s="48">
        <f t="shared" si="10"/>
        <v>70.266666666666666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>
        <v>38</v>
      </c>
      <c r="L22" s="3"/>
      <c r="M22" s="3">
        <v>35</v>
      </c>
      <c r="N22" s="3">
        <v>40</v>
      </c>
      <c r="O22" s="3">
        <v>35</v>
      </c>
      <c r="P22" s="3"/>
      <c r="Q22" s="3"/>
      <c r="R22" s="3"/>
      <c r="S22" s="4">
        <f t="shared" si="0"/>
        <v>36.666666666666664</v>
      </c>
      <c r="T22" s="3">
        <v>50</v>
      </c>
      <c r="U22" s="44">
        <f t="shared" si="1"/>
        <v>44.666666666666664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36.666666666666664</v>
      </c>
      <c r="AO22" s="5">
        <f t="shared" si="9"/>
        <v>50</v>
      </c>
      <c r="AP22" s="48">
        <f t="shared" si="10"/>
        <v>44.666666666666664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>
        <v>38</v>
      </c>
      <c r="L23" s="3"/>
      <c r="M23" s="3">
        <v>35</v>
      </c>
      <c r="N23" s="3">
        <v>43</v>
      </c>
      <c r="O23" s="3">
        <v>40</v>
      </c>
      <c r="P23" s="3"/>
      <c r="Q23" s="3"/>
      <c r="R23" s="3"/>
      <c r="S23" s="4">
        <f t="shared" si="0"/>
        <v>39.333333333333336</v>
      </c>
      <c r="T23" s="3">
        <v>43</v>
      </c>
      <c r="U23" s="44">
        <f t="shared" si="1"/>
        <v>41.533333333333331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39.333333333333336</v>
      </c>
      <c r="AO23" s="5">
        <f t="shared" si="9"/>
        <v>43</v>
      </c>
      <c r="AP23" s="48">
        <f t="shared" si="10"/>
        <v>41.533333333333331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>
        <v>70</v>
      </c>
      <c r="L24" s="3"/>
      <c r="M24" s="3"/>
      <c r="N24" s="3">
        <v>55</v>
      </c>
      <c r="O24" s="3">
        <v>50</v>
      </c>
      <c r="P24" s="3"/>
      <c r="Q24" s="3"/>
      <c r="R24" s="3"/>
      <c r="S24" s="4">
        <f t="shared" si="0"/>
        <v>52.5</v>
      </c>
      <c r="T24" s="3">
        <v>50</v>
      </c>
      <c r="U24" s="44">
        <f t="shared" si="1"/>
        <v>51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52.5</v>
      </c>
      <c r="AO24" s="5">
        <f t="shared" si="9"/>
        <v>50</v>
      </c>
      <c r="AP24" s="48">
        <f t="shared" si="10"/>
        <v>51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>
        <v>78</v>
      </c>
      <c r="L25" s="3"/>
      <c r="M25" s="3">
        <v>70</v>
      </c>
      <c r="N25" s="3">
        <v>75</v>
      </c>
      <c r="O25" s="3">
        <v>62</v>
      </c>
      <c r="P25" s="3"/>
      <c r="Q25" s="3"/>
      <c r="R25" s="3"/>
      <c r="S25" s="4">
        <f t="shared" si="0"/>
        <v>69</v>
      </c>
      <c r="T25" s="3">
        <v>63</v>
      </c>
      <c r="U25" s="44">
        <f t="shared" si="1"/>
        <v>65.400000000000006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69</v>
      </c>
      <c r="AO25" s="5">
        <f t="shared" si="9"/>
        <v>63</v>
      </c>
      <c r="AP25" s="48">
        <f t="shared" si="10"/>
        <v>65.400000000000006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9"/>
        <v/>
      </c>
      <c r="AP26" s="48" t="str">
        <f t="shared" si="10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9"/>
        <v/>
      </c>
      <c r="AP27" s="48" t="str">
        <f t="shared" si="10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9"/>
        <v/>
      </c>
      <c r="AP28" s="48" t="str">
        <f t="shared" si="10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9"/>
        <v/>
      </c>
      <c r="AP29" s="48" t="str">
        <f t="shared" si="10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9"/>
        <v/>
      </c>
      <c r="AP30" s="48" t="str">
        <f t="shared" si="10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9"/>
        <v/>
      </c>
      <c r="AP31" s="48" t="str">
        <f t="shared" si="10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9"/>
        <v/>
      </c>
      <c r="AP32" s="48" t="str">
        <f t="shared" si="10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9"/>
        <v/>
      </c>
      <c r="AP33" s="48" t="str">
        <f t="shared" si="10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9"/>
        <v/>
      </c>
      <c r="AP34" s="48" t="str">
        <f t="shared" si="10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9"/>
        <v/>
      </c>
      <c r="AP35" s="48" t="str">
        <f t="shared" si="10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9"/>
        <v/>
      </c>
      <c r="AP36" s="48" t="str">
        <f t="shared" si="10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9"/>
        <v/>
      </c>
      <c r="AP37" s="48" t="str">
        <f t="shared" si="10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9"/>
        <v/>
      </c>
      <c r="AP38" s="48" t="str">
        <f t="shared" si="10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9"/>
        <v/>
      </c>
      <c r="AP39" s="48" t="str">
        <f t="shared" si="10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9"/>
        <v/>
      </c>
      <c r="AP40" s="48" t="str">
        <f t="shared" si="10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9"/>
        <v/>
      </c>
      <c r="AP41" s="48" t="str">
        <f t="shared" si="10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9"/>
        <v/>
      </c>
      <c r="AP42" s="48" t="str">
        <f t="shared" si="10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9"/>
        <v/>
      </c>
      <c r="AP43" s="48" t="str">
        <f t="shared" si="10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9"/>
        <v/>
      </c>
      <c r="AP44" s="48" t="str">
        <f t="shared" si="10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9"/>
        <v/>
      </c>
      <c r="AP45" s="48" t="str">
        <f t="shared" si="10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9"/>
        <v/>
      </c>
      <c r="AP46" s="48" t="str">
        <f t="shared" si="10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9"/>
        <v/>
      </c>
      <c r="AP47" s="48" t="str">
        <f t="shared" si="10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9"/>
        <v/>
      </c>
      <c r="AP48" s="48" t="str">
        <f t="shared" si="10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9"/>
        <v/>
      </c>
      <c r="AP49" s="48" t="str">
        <f t="shared" si="10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9"/>
        <v/>
      </c>
      <c r="AP50" s="48" t="str">
        <f t="shared" si="10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9"/>
        <v/>
      </c>
      <c r="AP51" s="48" t="str">
        <f t="shared" si="10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9"/>
        <v/>
      </c>
      <c r="AP52" s="48" t="str">
        <f t="shared" si="10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9"/>
        <v/>
      </c>
      <c r="AP53" s="48" t="str">
        <f t="shared" si="10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9"/>
        <v/>
      </c>
      <c r="AP54" s="48" t="str">
        <f t="shared" si="10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9"/>
        <v/>
      </c>
      <c r="AP55" s="48" t="str">
        <f t="shared" si="10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>
        <f t="shared" ref="K56:AK56" si="11">IFERROR(AVERAGE(K6:K55),"")</f>
        <v>63.75</v>
      </c>
      <c r="L56" s="31" t="str">
        <f t="shared" si="11"/>
        <v/>
      </c>
      <c r="M56" s="31">
        <f t="shared" si="11"/>
        <v>63.157894736842103</v>
      </c>
      <c r="N56" s="31">
        <f t="shared" si="11"/>
        <v>61.4</v>
      </c>
      <c r="O56" s="31">
        <f t="shared" si="11"/>
        <v>58.15</v>
      </c>
      <c r="P56" s="31" t="str">
        <f t="shared" si="11"/>
        <v/>
      </c>
      <c r="Q56" s="31" t="str">
        <f t="shared" si="11"/>
        <v/>
      </c>
      <c r="R56" s="31" t="str">
        <f t="shared" si="11"/>
        <v/>
      </c>
      <c r="S56" s="31">
        <f t="shared" si="11"/>
        <v>60.724999999999987</v>
      </c>
      <c r="T56" s="31">
        <f t="shared" si="11"/>
        <v>56.6</v>
      </c>
      <c r="U56" s="31">
        <f t="shared" si="11"/>
        <v>58.250000000000014</v>
      </c>
      <c r="V56" s="31" t="str">
        <f t="shared" si="11"/>
        <v/>
      </c>
      <c r="W56" s="31" t="str">
        <f t="shared" si="11"/>
        <v/>
      </c>
      <c r="X56" s="32" t="str">
        <f t="shared" si="11"/>
        <v/>
      </c>
      <c r="Y56" s="33" t="str">
        <f t="shared" si="11"/>
        <v/>
      </c>
      <c r="Z56" s="31" t="str">
        <f t="shared" si="11"/>
        <v/>
      </c>
      <c r="AA56" s="31" t="str">
        <f t="shared" si="11"/>
        <v/>
      </c>
      <c r="AB56" s="31" t="str">
        <f t="shared" si="11"/>
        <v/>
      </c>
      <c r="AC56" s="31" t="str">
        <f t="shared" si="11"/>
        <v/>
      </c>
      <c r="AD56" s="31" t="str">
        <f t="shared" si="11"/>
        <v/>
      </c>
      <c r="AE56" s="31" t="str">
        <f t="shared" si="11"/>
        <v/>
      </c>
      <c r="AF56" s="31" t="str">
        <f t="shared" si="11"/>
        <v/>
      </c>
      <c r="AG56" s="31" t="str">
        <f t="shared" si="11"/>
        <v/>
      </c>
      <c r="AH56" s="31" t="str">
        <f t="shared" si="11"/>
        <v/>
      </c>
      <c r="AI56" s="31" t="str">
        <f t="shared" si="11"/>
        <v/>
      </c>
      <c r="AJ56" s="31" t="str">
        <f t="shared" si="11"/>
        <v/>
      </c>
      <c r="AK56" s="32" t="str">
        <f t="shared" si="11"/>
        <v/>
      </c>
      <c r="AL56" s="33" t="str">
        <f t="shared" ref="AL56" si="12">IFERROR(AVERAGE(AL6:AL55),"")</f>
        <v/>
      </c>
      <c r="AM56" s="31" t="str">
        <f t="shared" ref="AM56" si="13">IFERROR(AVERAGE(AM6:AM55),"")</f>
        <v/>
      </c>
      <c r="AN56" s="31">
        <f t="shared" ref="AN56" si="14">IFERROR(AVERAGE(AN6:AN55),"")</f>
        <v>60.724999999999987</v>
      </c>
      <c r="AO56" s="31">
        <f t="shared" ref="AO56" si="15">IFERROR(AVERAGE(AO6:AO55),"")</f>
        <v>56.6</v>
      </c>
      <c r="AP56" s="31">
        <f t="shared" ref="AP56" si="16">IFERROR(AVERAGE(AP6:AP55),"")</f>
        <v>58.250000000000014</v>
      </c>
      <c r="AQ56" s="32" t="str">
        <f t="shared" ref="AQ56" si="17">IFERROR(AVERAGE(AQ6:AQ55),"")</f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8">COUNTIFS(K6:K55,"&gt;80",K6:K55,"&lt;=100")</f>
        <v>3</v>
      </c>
      <c r="L58" s="57">
        <f t="shared" si="18"/>
        <v>0</v>
      </c>
      <c r="M58" s="57">
        <f t="shared" si="18"/>
        <v>2</v>
      </c>
      <c r="N58" s="57">
        <f t="shared" si="18"/>
        <v>2</v>
      </c>
      <c r="O58" s="57">
        <f t="shared" si="18"/>
        <v>2</v>
      </c>
      <c r="P58" s="57">
        <f t="shared" si="18"/>
        <v>0</v>
      </c>
      <c r="Q58" s="57">
        <f t="shared" si="18"/>
        <v>0</v>
      </c>
      <c r="R58" s="57">
        <f t="shared" si="18"/>
        <v>0</v>
      </c>
      <c r="S58" s="34">
        <f t="shared" si="18"/>
        <v>2</v>
      </c>
      <c r="T58" s="57">
        <f t="shared" si="18"/>
        <v>2</v>
      </c>
      <c r="U58" s="34">
        <f t="shared" si="18"/>
        <v>2</v>
      </c>
      <c r="V58" s="57">
        <f t="shared" si="18"/>
        <v>0</v>
      </c>
      <c r="W58" s="57">
        <f t="shared" si="18"/>
        <v>0</v>
      </c>
      <c r="X58" s="35">
        <f t="shared" si="18"/>
        <v>0</v>
      </c>
      <c r="Y58" s="58">
        <f t="shared" si="18"/>
        <v>0</v>
      </c>
      <c r="Z58" s="57">
        <f t="shared" si="18"/>
        <v>0</v>
      </c>
      <c r="AA58" s="57">
        <f t="shared" si="18"/>
        <v>0</v>
      </c>
      <c r="AB58" s="57">
        <f t="shared" si="18"/>
        <v>0</v>
      </c>
      <c r="AC58" s="57">
        <f t="shared" si="18"/>
        <v>0</v>
      </c>
      <c r="AD58" s="57">
        <f t="shared" si="18"/>
        <v>0</v>
      </c>
      <c r="AE58" s="57">
        <f t="shared" si="18"/>
        <v>0</v>
      </c>
      <c r="AF58" s="34">
        <f t="shared" si="18"/>
        <v>0</v>
      </c>
      <c r="AG58" s="57">
        <f t="shared" si="18"/>
        <v>0</v>
      </c>
      <c r="AH58" s="34">
        <f t="shared" si="18"/>
        <v>0</v>
      </c>
      <c r="AI58" s="57">
        <f t="shared" si="18"/>
        <v>0</v>
      </c>
      <c r="AJ58" s="57">
        <f t="shared" si="18"/>
        <v>0</v>
      </c>
      <c r="AK58" s="35">
        <f t="shared" si="18"/>
        <v>0</v>
      </c>
      <c r="AL58" s="36">
        <f t="shared" si="18"/>
        <v>0</v>
      </c>
      <c r="AM58" s="37">
        <f t="shared" si="18"/>
        <v>0</v>
      </c>
      <c r="AN58" s="37">
        <f t="shared" si="18"/>
        <v>2</v>
      </c>
      <c r="AO58" s="37">
        <f t="shared" si="18"/>
        <v>2</v>
      </c>
      <c r="AP58" s="37">
        <f t="shared" si="18"/>
        <v>2</v>
      </c>
      <c r="AQ58" s="158">
        <f t="shared" si="18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9">COUNTIFS(K6:K55,"&gt;60",K6:K55,"&lt;=80")</f>
        <v>8</v>
      </c>
      <c r="L59" s="6">
        <f t="shared" si="19"/>
        <v>0</v>
      </c>
      <c r="M59" s="6">
        <f t="shared" si="19"/>
        <v>7</v>
      </c>
      <c r="N59" s="6">
        <f t="shared" si="19"/>
        <v>6</v>
      </c>
      <c r="O59" s="6">
        <f t="shared" si="19"/>
        <v>6</v>
      </c>
      <c r="P59" s="6">
        <f t="shared" si="19"/>
        <v>0</v>
      </c>
      <c r="Q59" s="6">
        <f t="shared" si="19"/>
        <v>0</v>
      </c>
      <c r="R59" s="6">
        <f t="shared" si="19"/>
        <v>0</v>
      </c>
      <c r="S59" s="8">
        <f t="shared" si="19"/>
        <v>8</v>
      </c>
      <c r="T59" s="6">
        <f t="shared" si="19"/>
        <v>8</v>
      </c>
      <c r="U59" s="8">
        <f t="shared" si="19"/>
        <v>8</v>
      </c>
      <c r="V59" s="6">
        <f t="shared" si="19"/>
        <v>0</v>
      </c>
      <c r="W59" s="6">
        <f t="shared" si="19"/>
        <v>0</v>
      </c>
      <c r="X59" s="21">
        <f t="shared" si="19"/>
        <v>0</v>
      </c>
      <c r="Y59" s="20">
        <f t="shared" si="19"/>
        <v>0</v>
      </c>
      <c r="Z59" s="6">
        <f t="shared" si="19"/>
        <v>0</v>
      </c>
      <c r="AA59" s="6">
        <f t="shared" si="19"/>
        <v>0</v>
      </c>
      <c r="AB59" s="6">
        <f t="shared" si="19"/>
        <v>0</v>
      </c>
      <c r="AC59" s="6">
        <f t="shared" si="19"/>
        <v>0</v>
      </c>
      <c r="AD59" s="6">
        <f t="shared" si="19"/>
        <v>0</v>
      </c>
      <c r="AE59" s="6">
        <f t="shared" si="19"/>
        <v>0</v>
      </c>
      <c r="AF59" s="8">
        <f t="shared" si="19"/>
        <v>0</v>
      </c>
      <c r="AG59" s="6">
        <f t="shared" si="19"/>
        <v>0</v>
      </c>
      <c r="AH59" s="8">
        <f t="shared" si="19"/>
        <v>0</v>
      </c>
      <c r="AI59" s="6">
        <f t="shared" si="19"/>
        <v>0</v>
      </c>
      <c r="AJ59" s="6">
        <f t="shared" si="19"/>
        <v>0</v>
      </c>
      <c r="AK59" s="21">
        <f t="shared" si="19"/>
        <v>0</v>
      </c>
      <c r="AL59" s="22">
        <f t="shared" si="19"/>
        <v>0</v>
      </c>
      <c r="AM59" s="7">
        <f t="shared" si="19"/>
        <v>0</v>
      </c>
      <c r="AN59" s="7">
        <f t="shared" si="19"/>
        <v>8</v>
      </c>
      <c r="AO59" s="7">
        <f t="shared" si="19"/>
        <v>8</v>
      </c>
      <c r="AP59" s="7">
        <f t="shared" si="19"/>
        <v>8</v>
      </c>
      <c r="AQ59" s="153">
        <f t="shared" si="19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20">COUNTIFS(K6:K55,"&gt;30",K6:K55,"&lt;=60")</f>
        <v>9</v>
      </c>
      <c r="L60" s="6">
        <f t="shared" si="20"/>
        <v>0</v>
      </c>
      <c r="M60" s="6">
        <f t="shared" si="20"/>
        <v>10</v>
      </c>
      <c r="N60" s="6">
        <f t="shared" si="20"/>
        <v>12</v>
      </c>
      <c r="O60" s="6">
        <f t="shared" si="20"/>
        <v>12</v>
      </c>
      <c r="P60" s="6">
        <f t="shared" si="20"/>
        <v>0</v>
      </c>
      <c r="Q60" s="6">
        <f t="shared" si="20"/>
        <v>0</v>
      </c>
      <c r="R60" s="6">
        <f t="shared" si="20"/>
        <v>0</v>
      </c>
      <c r="S60" s="8">
        <f t="shared" si="20"/>
        <v>10</v>
      </c>
      <c r="T60" s="6">
        <f t="shared" si="20"/>
        <v>10</v>
      </c>
      <c r="U60" s="8">
        <f t="shared" si="20"/>
        <v>10</v>
      </c>
      <c r="V60" s="6">
        <f t="shared" si="20"/>
        <v>0</v>
      </c>
      <c r="W60" s="6">
        <f t="shared" si="20"/>
        <v>0</v>
      </c>
      <c r="X60" s="21">
        <f t="shared" si="20"/>
        <v>0</v>
      </c>
      <c r="Y60" s="20">
        <f t="shared" si="20"/>
        <v>0</v>
      </c>
      <c r="Z60" s="6">
        <f t="shared" si="20"/>
        <v>0</v>
      </c>
      <c r="AA60" s="6">
        <f t="shared" si="20"/>
        <v>0</v>
      </c>
      <c r="AB60" s="6">
        <f t="shared" si="20"/>
        <v>0</v>
      </c>
      <c r="AC60" s="6">
        <f t="shared" si="20"/>
        <v>0</v>
      </c>
      <c r="AD60" s="6">
        <f t="shared" si="20"/>
        <v>0</v>
      </c>
      <c r="AE60" s="6">
        <f t="shared" si="20"/>
        <v>0</v>
      </c>
      <c r="AF60" s="8">
        <f t="shared" si="20"/>
        <v>0</v>
      </c>
      <c r="AG60" s="6">
        <f t="shared" si="20"/>
        <v>0</v>
      </c>
      <c r="AH60" s="8">
        <f t="shared" si="20"/>
        <v>0</v>
      </c>
      <c r="AI60" s="6">
        <f t="shared" si="20"/>
        <v>0</v>
      </c>
      <c r="AJ60" s="6">
        <f t="shared" si="20"/>
        <v>0</v>
      </c>
      <c r="AK60" s="21">
        <f t="shared" si="20"/>
        <v>0</v>
      </c>
      <c r="AL60" s="22">
        <f t="shared" si="20"/>
        <v>0</v>
      </c>
      <c r="AM60" s="7">
        <f t="shared" si="20"/>
        <v>0</v>
      </c>
      <c r="AN60" s="7">
        <f t="shared" si="20"/>
        <v>10</v>
      </c>
      <c r="AO60" s="7">
        <f t="shared" si="20"/>
        <v>10</v>
      </c>
      <c r="AP60" s="7">
        <f t="shared" si="20"/>
        <v>10</v>
      </c>
      <c r="AQ60" s="153">
        <f t="shared" si="20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21">COUNTIFS(K6:K55,"&gt;=0",K6:K55,"&lt;=30")</f>
        <v>0</v>
      </c>
      <c r="L61" s="6">
        <f t="shared" si="21"/>
        <v>0</v>
      </c>
      <c r="M61" s="6">
        <f t="shared" si="21"/>
        <v>0</v>
      </c>
      <c r="N61" s="6">
        <f t="shared" si="21"/>
        <v>0</v>
      </c>
      <c r="O61" s="6">
        <f t="shared" si="21"/>
        <v>0</v>
      </c>
      <c r="P61" s="6">
        <f t="shared" si="21"/>
        <v>0</v>
      </c>
      <c r="Q61" s="6">
        <f t="shared" si="21"/>
        <v>0</v>
      </c>
      <c r="R61" s="6">
        <f t="shared" si="21"/>
        <v>0</v>
      </c>
      <c r="S61" s="8">
        <f t="shared" si="21"/>
        <v>0</v>
      </c>
      <c r="T61" s="6">
        <f t="shared" si="21"/>
        <v>0</v>
      </c>
      <c r="U61" s="8">
        <f t="shared" si="21"/>
        <v>0</v>
      </c>
      <c r="V61" s="6">
        <f t="shared" si="21"/>
        <v>0</v>
      </c>
      <c r="W61" s="6">
        <f t="shared" si="21"/>
        <v>0</v>
      </c>
      <c r="X61" s="21">
        <f t="shared" si="21"/>
        <v>0</v>
      </c>
      <c r="Y61" s="20">
        <f t="shared" si="21"/>
        <v>0</v>
      </c>
      <c r="Z61" s="6">
        <f t="shared" si="21"/>
        <v>0</v>
      </c>
      <c r="AA61" s="6">
        <f t="shared" si="21"/>
        <v>0</v>
      </c>
      <c r="AB61" s="6">
        <f t="shared" si="21"/>
        <v>0</v>
      </c>
      <c r="AC61" s="6">
        <f t="shared" si="21"/>
        <v>0</v>
      </c>
      <c r="AD61" s="6">
        <f t="shared" si="21"/>
        <v>0</v>
      </c>
      <c r="AE61" s="6">
        <f t="shared" si="21"/>
        <v>0</v>
      </c>
      <c r="AF61" s="8">
        <f t="shared" si="21"/>
        <v>0</v>
      </c>
      <c r="AG61" s="6">
        <f t="shared" si="21"/>
        <v>0</v>
      </c>
      <c r="AH61" s="8">
        <f t="shared" si="21"/>
        <v>0</v>
      </c>
      <c r="AI61" s="6">
        <f t="shared" si="21"/>
        <v>0</v>
      </c>
      <c r="AJ61" s="6">
        <f t="shared" si="21"/>
        <v>0</v>
      </c>
      <c r="AK61" s="21">
        <f t="shared" si="21"/>
        <v>0</v>
      </c>
      <c r="AL61" s="22">
        <f t="shared" si="21"/>
        <v>0</v>
      </c>
      <c r="AM61" s="7">
        <f t="shared" si="21"/>
        <v>0</v>
      </c>
      <c r="AN61" s="7">
        <f t="shared" si="21"/>
        <v>0</v>
      </c>
      <c r="AO61" s="7">
        <f t="shared" si="21"/>
        <v>0</v>
      </c>
      <c r="AP61" s="7">
        <f t="shared" si="21"/>
        <v>0</v>
      </c>
      <c r="AQ61" s="153">
        <f t="shared" si="21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20</v>
      </c>
      <c r="L62" s="38">
        <f t="shared" ref="L62:AQ62" si="22">SUM(L58:L61)</f>
        <v>0</v>
      </c>
      <c r="M62" s="38">
        <f t="shared" si="22"/>
        <v>19</v>
      </c>
      <c r="N62" s="38">
        <f t="shared" si="22"/>
        <v>20</v>
      </c>
      <c r="O62" s="38">
        <f t="shared" si="22"/>
        <v>20</v>
      </c>
      <c r="P62" s="38">
        <f t="shared" si="22"/>
        <v>0</v>
      </c>
      <c r="Q62" s="38">
        <f t="shared" si="22"/>
        <v>0</v>
      </c>
      <c r="R62" s="38">
        <f t="shared" si="22"/>
        <v>0</v>
      </c>
      <c r="S62" s="38">
        <f t="shared" si="22"/>
        <v>20</v>
      </c>
      <c r="T62" s="38">
        <f t="shared" si="22"/>
        <v>20</v>
      </c>
      <c r="U62" s="38">
        <f t="shared" si="22"/>
        <v>20</v>
      </c>
      <c r="V62" s="38">
        <f t="shared" si="22"/>
        <v>0</v>
      </c>
      <c r="W62" s="38">
        <f t="shared" si="22"/>
        <v>0</v>
      </c>
      <c r="X62" s="39">
        <f t="shared" si="22"/>
        <v>0</v>
      </c>
      <c r="Y62" s="40">
        <f t="shared" si="22"/>
        <v>0</v>
      </c>
      <c r="Z62" s="38">
        <f t="shared" si="22"/>
        <v>0</v>
      </c>
      <c r="AA62" s="38">
        <f t="shared" si="22"/>
        <v>0</v>
      </c>
      <c r="AB62" s="38">
        <f t="shared" si="22"/>
        <v>0</v>
      </c>
      <c r="AC62" s="38">
        <f t="shared" si="22"/>
        <v>0</v>
      </c>
      <c r="AD62" s="38">
        <f t="shared" si="22"/>
        <v>0</v>
      </c>
      <c r="AE62" s="38">
        <f t="shared" si="22"/>
        <v>0</v>
      </c>
      <c r="AF62" s="38">
        <f t="shared" si="22"/>
        <v>0</v>
      </c>
      <c r="AG62" s="38">
        <f t="shared" si="22"/>
        <v>0</v>
      </c>
      <c r="AH62" s="38">
        <f t="shared" si="22"/>
        <v>0</v>
      </c>
      <c r="AI62" s="38">
        <f t="shared" si="22"/>
        <v>0</v>
      </c>
      <c r="AJ62" s="38">
        <f t="shared" si="22"/>
        <v>0</v>
      </c>
      <c r="AK62" s="39">
        <f t="shared" si="22"/>
        <v>0</v>
      </c>
      <c r="AL62" s="40">
        <f t="shared" si="22"/>
        <v>0</v>
      </c>
      <c r="AM62" s="38">
        <f t="shared" si="22"/>
        <v>0</v>
      </c>
      <c r="AN62" s="38">
        <f t="shared" si="22"/>
        <v>20</v>
      </c>
      <c r="AO62" s="38">
        <f t="shared" si="22"/>
        <v>20</v>
      </c>
      <c r="AP62" s="38">
        <f t="shared" si="22"/>
        <v>20</v>
      </c>
      <c r="AQ62" s="39">
        <f t="shared" si="22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23">J58</f>
        <v>(80-100]</v>
      </c>
      <c r="K63" s="42">
        <f>IFERROR(K58*100/K62,"")</f>
        <v>15</v>
      </c>
      <c r="L63" s="64" t="str">
        <f t="shared" ref="L63:AQ63" si="24">IFERROR(L58*100/L62,"")</f>
        <v/>
      </c>
      <c r="M63" s="64">
        <f t="shared" si="24"/>
        <v>10.526315789473685</v>
      </c>
      <c r="N63" s="64">
        <f t="shared" si="24"/>
        <v>10</v>
      </c>
      <c r="O63" s="64">
        <f t="shared" si="24"/>
        <v>10</v>
      </c>
      <c r="P63" s="64" t="str">
        <f t="shared" si="24"/>
        <v/>
      </c>
      <c r="Q63" s="64" t="str">
        <f t="shared" si="24"/>
        <v/>
      </c>
      <c r="R63" s="64" t="str">
        <f t="shared" si="24"/>
        <v/>
      </c>
      <c r="S63" s="44">
        <f t="shared" si="24"/>
        <v>10</v>
      </c>
      <c r="T63" s="64">
        <f t="shared" si="24"/>
        <v>10</v>
      </c>
      <c r="U63" s="44">
        <f t="shared" si="24"/>
        <v>10</v>
      </c>
      <c r="V63" s="64" t="str">
        <f t="shared" si="24"/>
        <v/>
      </c>
      <c r="W63" s="64" t="str">
        <f t="shared" si="24"/>
        <v/>
      </c>
      <c r="X63" s="45" t="str">
        <f t="shared" si="24"/>
        <v/>
      </c>
      <c r="Y63" s="42" t="str">
        <f t="shared" si="24"/>
        <v/>
      </c>
      <c r="Z63" s="64" t="str">
        <f t="shared" si="24"/>
        <v/>
      </c>
      <c r="AA63" s="64" t="str">
        <f t="shared" si="24"/>
        <v/>
      </c>
      <c r="AB63" s="64" t="str">
        <f t="shared" si="24"/>
        <v/>
      </c>
      <c r="AC63" s="64" t="str">
        <f t="shared" si="24"/>
        <v/>
      </c>
      <c r="AD63" s="64" t="str">
        <f t="shared" si="24"/>
        <v/>
      </c>
      <c r="AE63" s="64" t="str">
        <f t="shared" si="24"/>
        <v/>
      </c>
      <c r="AF63" s="44" t="str">
        <f t="shared" si="24"/>
        <v/>
      </c>
      <c r="AG63" s="64" t="str">
        <f t="shared" si="24"/>
        <v/>
      </c>
      <c r="AH63" s="44" t="str">
        <f t="shared" si="24"/>
        <v/>
      </c>
      <c r="AI63" s="64" t="str">
        <f t="shared" si="24"/>
        <v/>
      </c>
      <c r="AJ63" s="64" t="str">
        <f t="shared" si="24"/>
        <v/>
      </c>
      <c r="AK63" s="45" t="str">
        <f t="shared" si="24"/>
        <v/>
      </c>
      <c r="AL63" s="47" t="str">
        <f t="shared" si="24"/>
        <v/>
      </c>
      <c r="AM63" s="48" t="str">
        <f t="shared" si="24"/>
        <v/>
      </c>
      <c r="AN63" s="48">
        <f t="shared" si="24"/>
        <v>10</v>
      </c>
      <c r="AO63" s="48">
        <f t="shared" si="24"/>
        <v>10</v>
      </c>
      <c r="AP63" s="48">
        <f t="shared" si="24"/>
        <v>10</v>
      </c>
      <c r="AQ63" s="154" t="str">
        <f t="shared" si="24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23"/>
        <v>(60-80]</v>
      </c>
      <c r="K64" s="19">
        <f>IFERROR(K59*100/K62,"")</f>
        <v>40</v>
      </c>
      <c r="L64" s="66" t="str">
        <f t="shared" ref="L64:AQ64" si="25">IFERROR(L59*100/L62,"")</f>
        <v/>
      </c>
      <c r="M64" s="66">
        <f t="shared" si="25"/>
        <v>36.842105263157897</v>
      </c>
      <c r="N64" s="66">
        <f t="shared" si="25"/>
        <v>30</v>
      </c>
      <c r="O64" s="66">
        <f t="shared" si="25"/>
        <v>30</v>
      </c>
      <c r="P64" s="66" t="str">
        <f t="shared" si="25"/>
        <v/>
      </c>
      <c r="Q64" s="66" t="str">
        <f t="shared" si="25"/>
        <v/>
      </c>
      <c r="R64" s="66" t="str">
        <f t="shared" si="25"/>
        <v/>
      </c>
      <c r="S64" s="4">
        <f t="shared" si="25"/>
        <v>40</v>
      </c>
      <c r="T64" s="66">
        <f t="shared" si="25"/>
        <v>40</v>
      </c>
      <c r="U64" s="4">
        <f t="shared" si="25"/>
        <v>40</v>
      </c>
      <c r="V64" s="66" t="str">
        <f t="shared" si="25"/>
        <v/>
      </c>
      <c r="W64" s="66" t="str">
        <f t="shared" si="25"/>
        <v/>
      </c>
      <c r="X64" s="17" t="str">
        <f t="shared" si="25"/>
        <v/>
      </c>
      <c r="Y64" s="19" t="str">
        <f t="shared" si="25"/>
        <v/>
      </c>
      <c r="Z64" s="66" t="str">
        <f t="shared" si="25"/>
        <v/>
      </c>
      <c r="AA64" s="66" t="str">
        <f t="shared" si="25"/>
        <v/>
      </c>
      <c r="AB64" s="66" t="str">
        <f t="shared" si="25"/>
        <v/>
      </c>
      <c r="AC64" s="66" t="str">
        <f t="shared" si="25"/>
        <v/>
      </c>
      <c r="AD64" s="66" t="str">
        <f t="shared" si="25"/>
        <v/>
      </c>
      <c r="AE64" s="66" t="str">
        <f t="shared" si="25"/>
        <v/>
      </c>
      <c r="AF64" s="4" t="str">
        <f t="shared" si="25"/>
        <v/>
      </c>
      <c r="AG64" s="66" t="str">
        <f t="shared" si="25"/>
        <v/>
      </c>
      <c r="AH64" s="4" t="str">
        <f t="shared" si="25"/>
        <v/>
      </c>
      <c r="AI64" s="66" t="str">
        <f t="shared" si="25"/>
        <v/>
      </c>
      <c r="AJ64" s="66" t="str">
        <f t="shared" si="25"/>
        <v/>
      </c>
      <c r="AK64" s="17" t="str">
        <f t="shared" si="25"/>
        <v/>
      </c>
      <c r="AL64" s="18" t="str">
        <f t="shared" si="25"/>
        <v/>
      </c>
      <c r="AM64" s="5" t="str">
        <f t="shared" si="25"/>
        <v/>
      </c>
      <c r="AN64" s="5">
        <f t="shared" si="25"/>
        <v>40</v>
      </c>
      <c r="AO64" s="5">
        <f t="shared" si="25"/>
        <v>40</v>
      </c>
      <c r="AP64" s="5">
        <f t="shared" si="25"/>
        <v>40</v>
      </c>
      <c r="AQ64" s="155" t="str">
        <f t="shared" si="25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23"/>
        <v>(30-60]</v>
      </c>
      <c r="K65" s="19">
        <f>IFERROR(K60*100/K62,"")</f>
        <v>45</v>
      </c>
      <c r="L65" s="66" t="str">
        <f t="shared" ref="L65:AQ65" si="26">IFERROR(L60*100/L62,"")</f>
        <v/>
      </c>
      <c r="M65" s="66">
        <f t="shared" si="26"/>
        <v>52.631578947368418</v>
      </c>
      <c r="N65" s="66">
        <f t="shared" si="26"/>
        <v>60</v>
      </c>
      <c r="O65" s="66">
        <f t="shared" si="26"/>
        <v>60</v>
      </c>
      <c r="P65" s="66" t="str">
        <f t="shared" si="26"/>
        <v/>
      </c>
      <c r="Q65" s="66" t="str">
        <f t="shared" si="26"/>
        <v/>
      </c>
      <c r="R65" s="66" t="str">
        <f t="shared" si="26"/>
        <v/>
      </c>
      <c r="S65" s="4">
        <f t="shared" si="26"/>
        <v>50</v>
      </c>
      <c r="T65" s="66">
        <f t="shared" si="26"/>
        <v>50</v>
      </c>
      <c r="U65" s="4">
        <f t="shared" si="26"/>
        <v>50</v>
      </c>
      <c r="V65" s="66" t="str">
        <f t="shared" si="26"/>
        <v/>
      </c>
      <c r="W65" s="66" t="str">
        <f t="shared" si="26"/>
        <v/>
      </c>
      <c r="X65" s="17" t="str">
        <f t="shared" si="26"/>
        <v/>
      </c>
      <c r="Y65" s="19" t="str">
        <f t="shared" si="26"/>
        <v/>
      </c>
      <c r="Z65" s="66" t="str">
        <f t="shared" si="26"/>
        <v/>
      </c>
      <c r="AA65" s="66" t="str">
        <f t="shared" si="26"/>
        <v/>
      </c>
      <c r="AB65" s="66" t="str">
        <f t="shared" si="26"/>
        <v/>
      </c>
      <c r="AC65" s="66" t="str">
        <f t="shared" si="26"/>
        <v/>
      </c>
      <c r="AD65" s="66" t="str">
        <f t="shared" si="26"/>
        <v/>
      </c>
      <c r="AE65" s="66" t="str">
        <f t="shared" si="26"/>
        <v/>
      </c>
      <c r="AF65" s="4" t="str">
        <f t="shared" si="26"/>
        <v/>
      </c>
      <c r="AG65" s="66" t="str">
        <f t="shared" si="26"/>
        <v/>
      </c>
      <c r="AH65" s="4" t="str">
        <f t="shared" si="26"/>
        <v/>
      </c>
      <c r="AI65" s="66" t="str">
        <f t="shared" si="26"/>
        <v/>
      </c>
      <c r="AJ65" s="66" t="str">
        <f t="shared" si="26"/>
        <v/>
      </c>
      <c r="AK65" s="17" t="str">
        <f t="shared" si="26"/>
        <v/>
      </c>
      <c r="AL65" s="18" t="str">
        <f t="shared" si="26"/>
        <v/>
      </c>
      <c r="AM65" s="5" t="str">
        <f t="shared" si="26"/>
        <v/>
      </c>
      <c r="AN65" s="5">
        <f t="shared" si="26"/>
        <v>50</v>
      </c>
      <c r="AO65" s="5">
        <f t="shared" si="26"/>
        <v>50</v>
      </c>
      <c r="AP65" s="5">
        <f t="shared" si="26"/>
        <v>50</v>
      </c>
      <c r="AQ65" s="155" t="str">
        <f t="shared" si="26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23"/>
        <v>[0-30]</v>
      </c>
      <c r="K66" s="71">
        <f>IFERROR(K61*100/K62,"")</f>
        <v>0</v>
      </c>
      <c r="L66" s="68" t="str">
        <f t="shared" ref="L66:AQ66" si="27">IFERROR(L61*100/L62,"")</f>
        <v/>
      </c>
      <c r="M66" s="68">
        <f t="shared" si="27"/>
        <v>0</v>
      </c>
      <c r="N66" s="68">
        <f t="shared" si="27"/>
        <v>0</v>
      </c>
      <c r="O66" s="68">
        <f t="shared" si="27"/>
        <v>0</v>
      </c>
      <c r="P66" s="68" t="str">
        <f t="shared" si="27"/>
        <v/>
      </c>
      <c r="Q66" s="68" t="str">
        <f t="shared" si="27"/>
        <v/>
      </c>
      <c r="R66" s="68" t="str">
        <f t="shared" si="27"/>
        <v/>
      </c>
      <c r="S66" s="69">
        <f t="shared" si="27"/>
        <v>0</v>
      </c>
      <c r="T66" s="68">
        <f t="shared" si="27"/>
        <v>0</v>
      </c>
      <c r="U66" s="69">
        <f t="shared" si="27"/>
        <v>0</v>
      </c>
      <c r="V66" s="68" t="str">
        <f t="shared" si="27"/>
        <v/>
      </c>
      <c r="W66" s="68" t="str">
        <f t="shared" si="27"/>
        <v/>
      </c>
      <c r="X66" s="70" t="str">
        <f t="shared" si="27"/>
        <v/>
      </c>
      <c r="Y66" s="71" t="str">
        <f t="shared" si="27"/>
        <v/>
      </c>
      <c r="Z66" s="68" t="str">
        <f t="shared" si="27"/>
        <v/>
      </c>
      <c r="AA66" s="68" t="str">
        <f t="shared" si="27"/>
        <v/>
      </c>
      <c r="AB66" s="68" t="str">
        <f t="shared" si="27"/>
        <v/>
      </c>
      <c r="AC66" s="68" t="str">
        <f t="shared" si="27"/>
        <v/>
      </c>
      <c r="AD66" s="68" t="str">
        <f t="shared" si="27"/>
        <v/>
      </c>
      <c r="AE66" s="68" t="str">
        <f t="shared" si="27"/>
        <v/>
      </c>
      <c r="AF66" s="69" t="str">
        <f t="shared" si="27"/>
        <v/>
      </c>
      <c r="AG66" s="68" t="str">
        <f t="shared" si="27"/>
        <v/>
      </c>
      <c r="AH66" s="69" t="str">
        <f t="shared" si="27"/>
        <v/>
      </c>
      <c r="AI66" s="68" t="str">
        <f t="shared" si="27"/>
        <v/>
      </c>
      <c r="AJ66" s="68" t="str">
        <f t="shared" si="27"/>
        <v/>
      </c>
      <c r="AK66" s="70" t="str">
        <f t="shared" si="27"/>
        <v/>
      </c>
      <c r="AL66" s="72" t="str">
        <f t="shared" si="27"/>
        <v/>
      </c>
      <c r="AM66" s="73" t="str">
        <f t="shared" si="27"/>
        <v/>
      </c>
      <c r="AN66" s="73">
        <f t="shared" si="27"/>
        <v>0</v>
      </c>
      <c r="AO66" s="73">
        <f t="shared" si="27"/>
        <v>0</v>
      </c>
      <c r="AP66" s="73">
        <f t="shared" si="27"/>
        <v>0</v>
      </c>
      <c r="AQ66" s="156" t="str">
        <f t="shared" si="27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10" t="s">
        <v>29</v>
      </c>
      <c r="C69" s="59">
        <f>C2</f>
        <v>8</v>
      </c>
      <c r="D69" s="10" t="s">
        <v>41</v>
      </c>
      <c r="E69" s="13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Tədris dili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 t="str">
        <f>AB2</f>
        <v>Səfərova Elnarə Yəhya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102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75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" t="s">
        <v>29</v>
      </c>
      <c r="C156" s="1" t="s">
        <v>41</v>
      </c>
      <c r="D156" s="1" t="s">
        <v>30</v>
      </c>
      <c r="E156" s="1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">
        <f>C2</f>
        <v>8</v>
      </c>
      <c r="C157" s="1" t="str">
        <f>E2</f>
        <v>e</v>
      </c>
      <c r="D157" s="1" t="str">
        <f>N2</f>
        <v>Tədris dili</v>
      </c>
      <c r="E157" s="1" t="str">
        <f>AB2</f>
        <v>Səfərova Elnarə Yəhya</v>
      </c>
      <c r="F157" s="1">
        <f>AP2</f>
        <v>102</v>
      </c>
      <c r="G157" s="81" t="str">
        <f>H2</f>
        <v>Azərbaycan</v>
      </c>
      <c r="H157" s="1">
        <f>COUNTIF(F6:F55,"k")</f>
        <v>13</v>
      </c>
      <c r="I157" s="1">
        <f>COUNTIF(F6:F55,"q")</f>
        <v>7</v>
      </c>
      <c r="J157" s="1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63.75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60.724999999999987</v>
      </c>
      <c r="S157" s="2">
        <f>T56</f>
        <v>56.6</v>
      </c>
      <c r="T157" s="2">
        <f>U56</f>
        <v>58.250000000000014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8">AM56</f>
        <v/>
      </c>
      <c r="AC157" s="2">
        <f t="shared" si="28"/>
        <v>60.724999999999987</v>
      </c>
      <c r="AD157" s="2">
        <f t="shared" si="28"/>
        <v>56.6</v>
      </c>
      <c r="AE157" s="2">
        <f t="shared" si="28"/>
        <v>58.250000000000014</v>
      </c>
      <c r="AF157" s="2" t="str">
        <f t="shared" si="28"/>
        <v/>
      </c>
      <c r="AG157" s="90" t="s">
        <v>93</v>
      </c>
    </row>
    <row r="158" spans="2:46" s="81" customFormat="1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81">
        <f>SUMIFS(J6:J55,F6:F55,"k")</f>
        <v>0</v>
      </c>
      <c r="L158" s="81">
        <f>SUMIFS(J6:J55,F6:F55,"q")</f>
        <v>0</v>
      </c>
      <c r="M158" s="81">
        <f>SUM(K158:L158)</f>
        <v>0</v>
      </c>
      <c r="N158" s="2">
        <f>(SUMIFS(K6:K55,F6:F55,"k"))/(COUNTIF(F6:F55,"k"))</f>
        <v>57.307692307692307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53.423076923076934</v>
      </c>
      <c r="S158" s="2">
        <f>(SUMIFS(T6:T55,F6:F55,"k"))/(COUNTIF(F6:F55,"k"))</f>
        <v>49.53846153846154</v>
      </c>
      <c r="T158" s="2">
        <f>(SUMIFS(U6:U55,F6:F55,"k"))/(COUNTIF(F6:F55,"k"))</f>
        <v>51.092307692307685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9">(SUMIFS(AL6:AL55,$F$6:$F$55,"k"))/(COUNTIF($F$6:$F$55,"k"))</f>
        <v>0</v>
      </c>
      <c r="AB158" s="2">
        <f t="shared" si="29"/>
        <v>0</v>
      </c>
      <c r="AC158" s="2">
        <f t="shared" si="29"/>
        <v>53.423076923076934</v>
      </c>
      <c r="AD158" s="2">
        <f t="shared" si="29"/>
        <v>49.53846153846154</v>
      </c>
      <c r="AE158" s="2">
        <f t="shared" si="29"/>
        <v>51.092307692307685</v>
      </c>
      <c r="AF158" s="2">
        <f t="shared" si="29"/>
        <v>0</v>
      </c>
      <c r="AG158" s="90" t="s">
        <v>94</v>
      </c>
    </row>
    <row r="159" spans="2:46" s="81" customFormat="1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75.714285714285708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74.285714285714292</v>
      </c>
      <c r="S159" s="2">
        <f>(SUMIFS(T6:T55,F6:F55,"q"))/(COUNTIF(F6:F55,"q"))</f>
        <v>69.714285714285708</v>
      </c>
      <c r="T159" s="2">
        <f>(SUMIFS(U6:U55,F6:F55,"q"))/(COUNTIF(F6:F55,"q"))</f>
        <v>71.542857142857144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74.285714285714292</v>
      </c>
      <c r="AD159" s="2">
        <f t="shared" ref="AD159:AE159" si="30">(SUMIFS(AO6:AO55,$F$6:$F$55,"q"))/(COUNTIF($F$6:$F$55,"q"))</f>
        <v>69.714285714285708</v>
      </c>
      <c r="AE159" s="2">
        <f t="shared" si="30"/>
        <v>71.542857142857144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>
        <f>K63</f>
        <v>15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10</v>
      </c>
      <c r="S160" s="2">
        <f>T63</f>
        <v>10</v>
      </c>
      <c r="T160" s="2">
        <f>U63</f>
        <v>10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0" si="31">AM63</f>
        <v/>
      </c>
      <c r="AC160" s="2">
        <f t="shared" si="31"/>
        <v>10</v>
      </c>
      <c r="AD160" s="2">
        <f t="shared" si="31"/>
        <v>10</v>
      </c>
      <c r="AE160" s="2">
        <f t="shared" si="31"/>
        <v>10</v>
      </c>
      <c r="AF160" s="2" t="str">
        <f t="shared" si="31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>
        <f t="shared" ref="N161:O163" si="32">K64</f>
        <v>40</v>
      </c>
      <c r="O161" s="2" t="str">
        <f t="shared" si="32"/>
        <v/>
      </c>
      <c r="P161" s="2" t="str">
        <f t="shared" ref="P161:Q161" si="33">V64</f>
        <v/>
      </c>
      <c r="Q161" s="2" t="str">
        <f t="shared" si="33"/>
        <v/>
      </c>
      <c r="R161" s="2">
        <f t="shared" ref="R161:T162" si="34">S64</f>
        <v>40</v>
      </c>
      <c r="S161" s="2">
        <f t="shared" si="34"/>
        <v>40</v>
      </c>
      <c r="T161" s="2">
        <f t="shared" si="34"/>
        <v>40</v>
      </c>
      <c r="U161" s="2" t="str">
        <f t="shared" ref="U161:U163" si="35">Y64</f>
        <v/>
      </c>
      <c r="V161" s="2" t="str">
        <f t="shared" ref="V161:W161" si="36">AI64</f>
        <v/>
      </c>
      <c r="W161" s="2" t="str">
        <f t="shared" si="36"/>
        <v/>
      </c>
      <c r="X161" s="2" t="str">
        <f t="shared" ref="X161:Z161" si="37">AF64</f>
        <v/>
      </c>
      <c r="Y161" s="2" t="str">
        <f t="shared" si="37"/>
        <v/>
      </c>
      <c r="Z161" s="2" t="str">
        <f t="shared" si="37"/>
        <v/>
      </c>
      <c r="AA161" s="2" t="str">
        <f t="shared" ref="AA161:AA163" si="38">AL64</f>
        <v/>
      </c>
      <c r="AB161" s="2" t="str">
        <f t="shared" ref="AB161:AB163" si="39">AM64</f>
        <v/>
      </c>
      <c r="AC161" s="2">
        <f t="shared" ref="AC161:AC163" si="40">AN64</f>
        <v>40</v>
      </c>
      <c r="AD161" s="2">
        <f t="shared" ref="AD161:AD163" si="41">AO64</f>
        <v>40</v>
      </c>
      <c r="AE161" s="2">
        <f t="shared" ref="AE161:AE163" si="42">AP64</f>
        <v>40</v>
      </c>
      <c r="AF161" s="2" t="str">
        <f t="shared" ref="AF161:AF163" si="43">AQ64</f>
        <v/>
      </c>
      <c r="AG161" s="90" t="str">
        <f t="shared" ref="AG161:AG163" si="44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>
        <f t="shared" si="32"/>
        <v>45</v>
      </c>
      <c r="O162" s="2" t="str">
        <f t="shared" si="32"/>
        <v/>
      </c>
      <c r="P162" s="2" t="str">
        <f t="shared" ref="P162:Q162" si="45">V65</f>
        <v/>
      </c>
      <c r="Q162" s="2" t="str">
        <f t="shared" si="45"/>
        <v/>
      </c>
      <c r="R162" s="2">
        <f t="shared" si="34"/>
        <v>50</v>
      </c>
      <c r="S162" s="2">
        <f t="shared" si="34"/>
        <v>50</v>
      </c>
      <c r="T162" s="2">
        <f t="shared" si="34"/>
        <v>50</v>
      </c>
      <c r="U162" s="2" t="str">
        <f t="shared" si="35"/>
        <v/>
      </c>
      <c r="V162" s="2" t="str">
        <f t="shared" ref="V162:W162" si="46">AI65</f>
        <v/>
      </c>
      <c r="W162" s="2" t="str">
        <f t="shared" si="46"/>
        <v/>
      </c>
      <c r="X162" s="2" t="str">
        <f t="shared" ref="X162:Z162" si="47">AF65</f>
        <v/>
      </c>
      <c r="Y162" s="2" t="str">
        <f t="shared" si="47"/>
        <v/>
      </c>
      <c r="Z162" s="2" t="str">
        <f t="shared" si="47"/>
        <v/>
      </c>
      <c r="AA162" s="2" t="str">
        <f t="shared" si="38"/>
        <v/>
      </c>
      <c r="AB162" s="2" t="str">
        <f t="shared" si="39"/>
        <v/>
      </c>
      <c r="AC162" s="2">
        <f t="shared" si="40"/>
        <v>50</v>
      </c>
      <c r="AD162" s="2">
        <f t="shared" si="41"/>
        <v>50</v>
      </c>
      <c r="AE162" s="2">
        <f t="shared" si="42"/>
        <v>50</v>
      </c>
      <c r="AF162" s="2" t="str">
        <f t="shared" si="43"/>
        <v/>
      </c>
      <c r="AG162" s="90" t="str">
        <f t="shared" si="44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>
        <f t="shared" si="32"/>
        <v>0</v>
      </c>
      <c r="O163" s="2" t="str">
        <f t="shared" si="32"/>
        <v/>
      </c>
      <c r="P163" s="2" t="str">
        <f t="shared" ref="P163:Q163" si="48">V66</f>
        <v/>
      </c>
      <c r="Q163" s="2" t="str">
        <f t="shared" si="48"/>
        <v/>
      </c>
      <c r="R163" s="2">
        <f>S66</f>
        <v>0</v>
      </c>
      <c r="S163" s="2">
        <f t="shared" ref="S163:T163" si="49">T66</f>
        <v>0</v>
      </c>
      <c r="T163" s="2">
        <f t="shared" si="49"/>
        <v>0</v>
      </c>
      <c r="U163" s="2" t="str">
        <f t="shared" si="35"/>
        <v/>
      </c>
      <c r="V163" s="2" t="str">
        <f t="shared" ref="V163:W163" si="50">AI66</f>
        <v/>
      </c>
      <c r="W163" s="2" t="str">
        <f t="shared" si="50"/>
        <v/>
      </c>
      <c r="X163" s="2" t="str">
        <f t="shared" ref="X163:Z163" si="51">AF66</f>
        <v/>
      </c>
      <c r="Y163" s="2" t="str">
        <f t="shared" si="51"/>
        <v/>
      </c>
      <c r="Z163" s="2" t="str">
        <f t="shared" si="51"/>
        <v/>
      </c>
      <c r="AA163" s="2" t="str">
        <f t="shared" si="38"/>
        <v/>
      </c>
      <c r="AB163" s="2" t="str">
        <f t="shared" si="39"/>
        <v/>
      </c>
      <c r="AC163" s="2">
        <f t="shared" si="40"/>
        <v>0</v>
      </c>
      <c r="AD163" s="2">
        <f t="shared" si="41"/>
        <v>0</v>
      </c>
      <c r="AE163" s="2">
        <f t="shared" si="42"/>
        <v>0</v>
      </c>
      <c r="AF163" s="2" t="str">
        <f t="shared" si="43"/>
        <v/>
      </c>
      <c r="AG163" s="90" t="str">
        <f t="shared" si="44"/>
        <v>[0-30]</v>
      </c>
    </row>
    <row r="164" spans="2:33" ht="14.45" hidden="1" customHeight="1" x14ac:dyDescent="0.25"/>
    <row r="500" spans="3:3" ht="181.5" hidden="1" x14ac:dyDescent="0.25">
      <c r="C500" s="1" t="s">
        <v>110</v>
      </c>
    </row>
  </sheetData>
  <mergeCells count="41">
    <mergeCell ref="O155:T155"/>
    <mergeCell ref="AA155:AF155"/>
    <mergeCell ref="B1:AQ1"/>
    <mergeCell ref="B58:I62"/>
    <mergeCell ref="B63:I66"/>
    <mergeCell ref="B57:AQ57"/>
    <mergeCell ref="L3:X3"/>
    <mergeCell ref="Y3:AK3"/>
    <mergeCell ref="AL3:AQ3"/>
    <mergeCell ref="AI4:AK4"/>
    <mergeCell ref="Z4:AH4"/>
    <mergeCell ref="M4:U4"/>
    <mergeCell ref="S2:AA2"/>
    <mergeCell ref="AL4:AQ4"/>
    <mergeCell ref="AP69:AQ69"/>
    <mergeCell ref="B3:B5"/>
    <mergeCell ref="S69:AA69"/>
    <mergeCell ref="N2:R2"/>
    <mergeCell ref="AB2:AK2"/>
    <mergeCell ref="G3:I4"/>
    <mergeCell ref="J3:J5"/>
    <mergeCell ref="F2:G2"/>
    <mergeCell ref="H2:J2"/>
    <mergeCell ref="K2:M2"/>
    <mergeCell ref="AB69:AK69"/>
    <mergeCell ref="AL69:AO69"/>
    <mergeCell ref="AP2:AQ2"/>
    <mergeCell ref="AL2:AO2"/>
    <mergeCell ref="B155:G155"/>
    <mergeCell ref="H155:J155"/>
    <mergeCell ref="K155:M155"/>
    <mergeCell ref="V4:X4"/>
    <mergeCell ref="C3:E4"/>
    <mergeCell ref="K3:K4"/>
    <mergeCell ref="F3:F5"/>
    <mergeCell ref="U155:Z155"/>
    <mergeCell ref="B68:AQ68"/>
    <mergeCell ref="F69:G69"/>
    <mergeCell ref="H69:J69"/>
    <mergeCell ref="K69:M69"/>
    <mergeCell ref="N69:R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ignoredErrors>
    <ignoredError sqref="AB2:AQ2 S12 K56:AQ56 K62:AQ62 S26:AP55 U18 AH18 C6:I55 B6:B55 S6 U6:X6 AF6 S7:S10 U7:X10 S17 X13:X17 S20 X19:X20 X18 AF11:AP12 S22 AF22:AP23 AF7:AP10 AF13:AP16 AF19:AH20 AH6:AP6 AK18:AP18 AF21:AH21 AK21:AP21 AF17:AH17 AK17:AP17 AK19:AP20 S11 U11:X11 U12:X12 S13 U13 S14 U14 S15 U15 S16 U16 U17 S19 U19 U20 S21 U21:X21 S23 U23:X23 U22:X22 S24 U24:AP24 S25 U25:AP25" emptyCellReference="1"/>
    <ignoredError sqref="S18 AF18" formulaRange="1" emptyCellReferenc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16" zoomScale="89" zoomScaleNormal="89" workbookViewId="0">
      <selection activeCell="K25" sqref="K25"/>
    </sheetView>
  </sheetViews>
  <sheetFormatPr defaultColWidth="8.85546875" defaultRowHeight="16.5" x14ac:dyDescent="0.25"/>
  <cols>
    <col min="1" max="1" width="1.5703125" style="187" customWidth="1"/>
    <col min="2" max="2" width="9.7109375" style="187" customWidth="1"/>
    <col min="3" max="5" width="20.7109375" style="187" customWidth="1"/>
    <col min="6" max="6" width="6.85546875" style="187" customWidth="1"/>
    <col min="7" max="8" width="5.7109375" style="187" customWidth="1"/>
    <col min="9" max="9" width="8.7109375" style="187" customWidth="1"/>
    <col min="10" max="10" width="9.28515625" style="187" customWidth="1"/>
    <col min="11" max="43" width="6.85546875" style="187" customWidth="1"/>
    <col min="44" max="44" width="1.5703125" style="187" customWidth="1"/>
    <col min="45" max="16384" width="8.85546875" style="187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185" t="s">
        <v>29</v>
      </c>
      <c r="C2" s="183">
        <f>Şagirdlər!D2</f>
        <v>8</v>
      </c>
      <c r="D2" s="185" t="s">
        <v>41</v>
      </c>
      <c r="E2" s="186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Müəllimlər!C5</f>
        <v>Ədəbiyyat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 t="str">
        <f>Müəllimlər!D5</f>
        <v>Səfərova Elnarə Yəhya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Müəllimlər!E5</f>
        <v>68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81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82" t="s">
        <v>38</v>
      </c>
      <c r="H5" s="182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>
        <v>1</v>
      </c>
      <c r="K6" s="42">
        <v>50</v>
      </c>
      <c r="L6" s="43"/>
      <c r="M6" s="43">
        <v>40</v>
      </c>
      <c r="N6" s="43">
        <v>45</v>
      </c>
      <c r="O6" s="43">
        <v>50</v>
      </c>
      <c r="P6" s="43"/>
      <c r="Q6" s="43"/>
      <c r="R6" s="43"/>
      <c r="S6" s="44">
        <f>IFERROR(AVERAGE(M6:R6),"")</f>
        <v>45</v>
      </c>
      <c r="T6" s="43"/>
      <c r="U6" s="44">
        <f>IF(T6="",S6,IF(S6="",T6,S6*40/100+T6*60/100))</f>
        <v>45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45</v>
      </c>
      <c r="AO6" s="48" t="str">
        <f>IFERROR(AVERAGE(T6,AG6),"")</f>
        <v/>
      </c>
      <c r="AP6" s="48">
        <f>IF(AO6="",AN6,IF(AN6="",AO6,AN6*40/100+AO6*60/100))</f>
        <v>45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>
        <v>53</v>
      </c>
      <c r="L7" s="3"/>
      <c r="M7" s="3">
        <v>45</v>
      </c>
      <c r="N7" s="3">
        <v>50</v>
      </c>
      <c r="O7" s="3">
        <v>55</v>
      </c>
      <c r="P7" s="3"/>
      <c r="Q7" s="3"/>
      <c r="R7" s="3"/>
      <c r="S7" s="4">
        <f t="shared" ref="S7:S55" si="0">IFERROR(AVERAGE(M7:R7),"")</f>
        <v>50</v>
      </c>
      <c r="T7" s="3"/>
      <c r="U7" s="44">
        <f t="shared" ref="U7:U55" si="1">IF(T7="",S7,IF(S7="",T7,S7*40/100+T7*60/100))</f>
        <v>50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50</v>
      </c>
      <c r="AO7" s="5" t="str">
        <f t="shared" si="8"/>
        <v/>
      </c>
      <c r="AP7" s="48">
        <f t="shared" ref="AP7:AP55" si="9">IF(AO7="",AN7,IF(AN7="",AO7,AN7*40/100+AO7*60/100))</f>
        <v>50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>
        <v>53</v>
      </c>
      <c r="L8" s="3"/>
      <c r="M8" s="3">
        <v>35</v>
      </c>
      <c r="N8" s="3">
        <v>55</v>
      </c>
      <c r="O8" s="3">
        <v>50</v>
      </c>
      <c r="P8" s="3"/>
      <c r="Q8" s="3"/>
      <c r="R8" s="3"/>
      <c r="S8" s="4">
        <f t="shared" si="0"/>
        <v>46.666666666666664</v>
      </c>
      <c r="T8" s="3"/>
      <c r="U8" s="44">
        <f t="shared" si="1"/>
        <v>46.666666666666664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46.666666666666664</v>
      </c>
      <c r="AO8" s="5" t="str">
        <f t="shared" si="8"/>
        <v/>
      </c>
      <c r="AP8" s="48">
        <f t="shared" si="9"/>
        <v>46.666666666666664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>
        <v>65</v>
      </c>
      <c r="L9" s="3"/>
      <c r="M9" s="3">
        <v>45</v>
      </c>
      <c r="N9" s="3">
        <v>60</v>
      </c>
      <c r="O9" s="3">
        <v>55</v>
      </c>
      <c r="P9" s="3"/>
      <c r="Q9" s="3"/>
      <c r="R9" s="3"/>
      <c r="S9" s="4">
        <f t="shared" si="0"/>
        <v>53.333333333333336</v>
      </c>
      <c r="T9" s="3"/>
      <c r="U9" s="44">
        <f t="shared" si="1"/>
        <v>53.333333333333336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53.333333333333336</v>
      </c>
      <c r="AO9" s="5" t="str">
        <f t="shared" si="8"/>
        <v/>
      </c>
      <c r="AP9" s="48">
        <f t="shared" si="9"/>
        <v>53.333333333333336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tr">
        <f>IF(Şagirdlər!E9="","",Şagirdlər!E9)</f>
        <v>İlhan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>
        <v>58</v>
      </c>
      <c r="L10" s="3"/>
      <c r="M10" s="3">
        <v>60</v>
      </c>
      <c r="N10" s="3">
        <v>60</v>
      </c>
      <c r="O10" s="3">
        <v>69</v>
      </c>
      <c r="P10" s="3"/>
      <c r="Q10" s="3"/>
      <c r="R10" s="3"/>
      <c r="S10" s="4">
        <f t="shared" si="0"/>
        <v>63</v>
      </c>
      <c r="T10" s="3"/>
      <c r="U10" s="44">
        <f t="shared" si="1"/>
        <v>63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63</v>
      </c>
      <c r="AO10" s="5" t="str">
        <f t="shared" si="8"/>
        <v/>
      </c>
      <c r="AP10" s="48">
        <f t="shared" si="9"/>
        <v>63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>
        <v>100</v>
      </c>
      <c r="L11" s="3"/>
      <c r="M11" s="3">
        <v>95</v>
      </c>
      <c r="N11" s="3">
        <v>100</v>
      </c>
      <c r="O11" s="3">
        <v>90</v>
      </c>
      <c r="P11" s="3"/>
      <c r="Q11" s="3"/>
      <c r="R11" s="3"/>
      <c r="S11" s="4">
        <f t="shared" si="0"/>
        <v>95</v>
      </c>
      <c r="T11" s="3"/>
      <c r="U11" s="44">
        <f t="shared" si="1"/>
        <v>95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95</v>
      </c>
      <c r="AO11" s="5" t="str">
        <f t="shared" si="8"/>
        <v/>
      </c>
      <c r="AP11" s="48">
        <f t="shared" si="9"/>
        <v>95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>
        <v>65</v>
      </c>
      <c r="L12" s="3"/>
      <c r="M12" s="3">
        <v>85</v>
      </c>
      <c r="N12" s="3">
        <v>80</v>
      </c>
      <c r="O12" s="3">
        <v>70</v>
      </c>
      <c r="P12" s="3"/>
      <c r="Q12" s="3"/>
      <c r="R12" s="3"/>
      <c r="S12" s="4">
        <f t="shared" si="0"/>
        <v>78.333333333333329</v>
      </c>
      <c r="T12" s="3"/>
      <c r="U12" s="44">
        <f t="shared" si="1"/>
        <v>78.333333333333329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78.333333333333329</v>
      </c>
      <c r="AO12" s="5" t="str">
        <f t="shared" si="8"/>
        <v/>
      </c>
      <c r="AP12" s="48">
        <f t="shared" si="9"/>
        <v>78.333333333333329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>
        <v>38</v>
      </c>
      <c r="L13" s="3"/>
      <c r="M13" s="3">
        <v>35</v>
      </c>
      <c r="N13" s="3">
        <v>35</v>
      </c>
      <c r="O13" s="3">
        <v>40</v>
      </c>
      <c r="P13" s="3"/>
      <c r="Q13" s="3"/>
      <c r="R13" s="3"/>
      <c r="S13" s="4">
        <f t="shared" si="0"/>
        <v>36.666666666666664</v>
      </c>
      <c r="T13" s="3"/>
      <c r="U13" s="44">
        <f t="shared" si="1"/>
        <v>36.666666666666664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36.666666666666664</v>
      </c>
      <c r="AO13" s="5" t="str">
        <f t="shared" si="8"/>
        <v/>
      </c>
      <c r="AP13" s="48">
        <f t="shared" si="9"/>
        <v>36.666666666666664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>
        <v>58</v>
      </c>
      <c r="L14" s="3"/>
      <c r="M14" s="3">
        <v>75</v>
      </c>
      <c r="N14" s="3">
        <v>75</v>
      </c>
      <c r="O14" s="3">
        <v>75</v>
      </c>
      <c r="P14" s="3"/>
      <c r="Q14" s="3"/>
      <c r="R14" s="3"/>
      <c r="S14" s="4">
        <f t="shared" si="0"/>
        <v>75</v>
      </c>
      <c r="T14" s="3"/>
      <c r="U14" s="44">
        <f t="shared" si="1"/>
        <v>75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75</v>
      </c>
      <c r="AO14" s="5" t="str">
        <f t="shared" si="8"/>
        <v/>
      </c>
      <c r="AP14" s="48">
        <f t="shared" si="9"/>
        <v>75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>
        <v>56</v>
      </c>
      <c r="L15" s="3"/>
      <c r="M15" s="3">
        <v>60</v>
      </c>
      <c r="N15" s="3">
        <v>65</v>
      </c>
      <c r="O15" s="3">
        <v>70</v>
      </c>
      <c r="P15" s="3"/>
      <c r="Q15" s="3"/>
      <c r="R15" s="3"/>
      <c r="S15" s="4">
        <f t="shared" si="0"/>
        <v>65</v>
      </c>
      <c r="T15" s="3"/>
      <c r="U15" s="44">
        <f t="shared" si="1"/>
        <v>65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65</v>
      </c>
      <c r="AO15" s="5" t="str">
        <f t="shared" si="8"/>
        <v/>
      </c>
      <c r="AP15" s="48">
        <f t="shared" si="9"/>
        <v>65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>
        <v>54</v>
      </c>
      <c r="L16" s="3"/>
      <c r="M16" s="3">
        <v>65</v>
      </c>
      <c r="N16" s="3">
        <v>61</v>
      </c>
      <c r="O16" s="3">
        <v>65</v>
      </c>
      <c r="P16" s="3"/>
      <c r="Q16" s="3"/>
      <c r="R16" s="3"/>
      <c r="S16" s="4">
        <f t="shared" si="0"/>
        <v>63.666666666666664</v>
      </c>
      <c r="T16" s="3"/>
      <c r="U16" s="44">
        <f t="shared" si="1"/>
        <v>63.666666666666664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63.666666666666664</v>
      </c>
      <c r="AO16" s="5" t="str">
        <f t="shared" si="8"/>
        <v/>
      </c>
      <c r="AP16" s="48">
        <f t="shared" si="9"/>
        <v>63.666666666666664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>
        <v>40</v>
      </c>
      <c r="L17" s="3"/>
      <c r="M17" s="3">
        <v>35</v>
      </c>
      <c r="N17" s="3">
        <v>35</v>
      </c>
      <c r="O17" s="3">
        <v>35</v>
      </c>
      <c r="P17" s="3"/>
      <c r="Q17" s="3"/>
      <c r="R17" s="3"/>
      <c r="S17" s="4">
        <f t="shared" si="0"/>
        <v>35</v>
      </c>
      <c r="T17" s="3"/>
      <c r="U17" s="44">
        <f t="shared" si="1"/>
        <v>35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35</v>
      </c>
      <c r="AO17" s="5" t="str">
        <f t="shared" si="8"/>
        <v/>
      </c>
      <c r="AP17" s="48">
        <f t="shared" si="9"/>
        <v>35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>
        <v>65</v>
      </c>
      <c r="L18" s="3"/>
      <c r="M18" s="3">
        <v>55</v>
      </c>
      <c r="N18" s="3">
        <v>60</v>
      </c>
      <c r="O18" s="3">
        <v>55</v>
      </c>
      <c r="P18" s="3"/>
      <c r="Q18" s="3"/>
      <c r="R18" s="3"/>
      <c r="S18" s="4">
        <f t="shared" si="0"/>
        <v>56.666666666666664</v>
      </c>
      <c r="T18" s="3"/>
      <c r="U18" s="44">
        <f t="shared" si="1"/>
        <v>56.666666666666664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56.666666666666664</v>
      </c>
      <c r="AO18" s="5" t="str">
        <f t="shared" si="8"/>
        <v/>
      </c>
      <c r="AP18" s="48">
        <f t="shared" si="9"/>
        <v>56.666666666666664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>
        <v>73</v>
      </c>
      <c r="L19" s="3"/>
      <c r="M19" s="3">
        <v>75</v>
      </c>
      <c r="N19" s="3">
        <v>70</v>
      </c>
      <c r="O19" s="3">
        <v>65</v>
      </c>
      <c r="P19" s="3"/>
      <c r="Q19" s="3"/>
      <c r="R19" s="3"/>
      <c r="S19" s="4">
        <f t="shared" si="0"/>
        <v>70</v>
      </c>
      <c r="T19" s="3"/>
      <c r="U19" s="44">
        <f t="shared" si="1"/>
        <v>70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70</v>
      </c>
      <c r="AO19" s="5" t="str">
        <f t="shared" si="8"/>
        <v/>
      </c>
      <c r="AP19" s="48">
        <f t="shared" si="9"/>
        <v>70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>
        <v>100</v>
      </c>
      <c r="L20" s="3"/>
      <c r="M20" s="3">
        <v>95</v>
      </c>
      <c r="N20" s="3">
        <v>100</v>
      </c>
      <c r="O20" s="3">
        <v>90</v>
      </c>
      <c r="P20" s="3"/>
      <c r="Q20" s="3"/>
      <c r="R20" s="3"/>
      <c r="S20" s="4">
        <f t="shared" si="0"/>
        <v>95</v>
      </c>
      <c r="T20" s="3"/>
      <c r="U20" s="44">
        <f t="shared" si="1"/>
        <v>95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95</v>
      </c>
      <c r="AO20" s="5" t="str">
        <f t="shared" si="8"/>
        <v/>
      </c>
      <c r="AP20" s="48">
        <f t="shared" si="9"/>
        <v>95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>
        <v>98</v>
      </c>
      <c r="L21" s="3"/>
      <c r="M21" s="3">
        <v>65</v>
      </c>
      <c r="N21" s="3">
        <v>70</v>
      </c>
      <c r="O21" s="3">
        <v>65</v>
      </c>
      <c r="P21" s="3"/>
      <c r="Q21" s="3"/>
      <c r="R21" s="3"/>
      <c r="S21" s="4">
        <f t="shared" si="0"/>
        <v>66.666666666666671</v>
      </c>
      <c r="T21" s="3"/>
      <c r="U21" s="44">
        <f t="shared" si="1"/>
        <v>66.666666666666671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66.666666666666671</v>
      </c>
      <c r="AO21" s="5" t="str">
        <f t="shared" si="8"/>
        <v/>
      </c>
      <c r="AP21" s="48">
        <f t="shared" si="9"/>
        <v>66.666666666666671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>
        <v>38</v>
      </c>
      <c r="L22" s="3"/>
      <c r="M22" s="3">
        <v>35</v>
      </c>
      <c r="N22" s="3">
        <v>35</v>
      </c>
      <c r="O22" s="3">
        <v>35</v>
      </c>
      <c r="P22" s="3"/>
      <c r="Q22" s="3"/>
      <c r="R22" s="3"/>
      <c r="S22" s="4">
        <f t="shared" si="0"/>
        <v>35</v>
      </c>
      <c r="T22" s="3"/>
      <c r="U22" s="44">
        <f t="shared" si="1"/>
        <v>35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35</v>
      </c>
      <c r="AO22" s="5" t="str">
        <f t="shared" si="8"/>
        <v/>
      </c>
      <c r="AP22" s="48">
        <f t="shared" si="9"/>
        <v>35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>
        <v>38</v>
      </c>
      <c r="L23" s="3"/>
      <c r="M23" s="3">
        <v>35</v>
      </c>
      <c r="N23" s="3">
        <v>40</v>
      </c>
      <c r="O23" s="3">
        <v>40</v>
      </c>
      <c r="P23" s="3"/>
      <c r="Q23" s="3"/>
      <c r="R23" s="3"/>
      <c r="S23" s="4">
        <f t="shared" si="0"/>
        <v>38.333333333333336</v>
      </c>
      <c r="T23" s="3"/>
      <c r="U23" s="44">
        <f t="shared" si="1"/>
        <v>38.333333333333336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38.333333333333336</v>
      </c>
      <c r="AO23" s="5" t="str">
        <f t="shared" si="8"/>
        <v/>
      </c>
      <c r="AP23" s="48">
        <f t="shared" si="9"/>
        <v>38.333333333333336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>
        <v>75</v>
      </c>
      <c r="L24" s="3"/>
      <c r="M24" s="3">
        <v>55</v>
      </c>
      <c r="N24" s="3">
        <v>60</v>
      </c>
      <c r="O24" s="3">
        <v>50</v>
      </c>
      <c r="P24" s="3"/>
      <c r="Q24" s="3"/>
      <c r="R24" s="3"/>
      <c r="S24" s="4">
        <f t="shared" si="0"/>
        <v>55</v>
      </c>
      <c r="T24" s="3"/>
      <c r="U24" s="44">
        <f t="shared" si="1"/>
        <v>55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55</v>
      </c>
      <c r="AO24" s="5" t="str">
        <f t="shared" si="8"/>
        <v/>
      </c>
      <c r="AP24" s="48">
        <f t="shared" si="9"/>
        <v>55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>
        <v>87</v>
      </c>
      <c r="L25" s="3"/>
      <c r="M25" s="3">
        <v>81</v>
      </c>
      <c r="N25" s="3">
        <v>85</v>
      </c>
      <c r="O25" s="3">
        <v>65</v>
      </c>
      <c r="P25" s="3"/>
      <c r="Q25" s="3"/>
      <c r="R25" s="3"/>
      <c r="S25" s="4">
        <f t="shared" si="0"/>
        <v>77</v>
      </c>
      <c r="T25" s="3"/>
      <c r="U25" s="44">
        <f t="shared" si="1"/>
        <v>77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77</v>
      </c>
      <c r="AO25" s="5" t="str">
        <f t="shared" si="8"/>
        <v/>
      </c>
      <c r="AP25" s="48">
        <f t="shared" si="9"/>
        <v>77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>
        <f t="shared" ref="K56:AQ56" si="10">IFERROR(AVERAGE(K6:K55),"")</f>
        <v>63.2</v>
      </c>
      <c r="L56" s="31" t="str">
        <f t="shared" si="10"/>
        <v/>
      </c>
      <c r="M56" s="31">
        <f t="shared" si="10"/>
        <v>58.55</v>
      </c>
      <c r="N56" s="31">
        <f t="shared" si="10"/>
        <v>62.05</v>
      </c>
      <c r="O56" s="31">
        <f t="shared" si="10"/>
        <v>59.45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60.016666666666666</v>
      </c>
      <c r="T56" s="31" t="str">
        <f t="shared" si="10"/>
        <v/>
      </c>
      <c r="U56" s="31">
        <f t="shared" si="10"/>
        <v>60.016666666666666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60.016666666666666</v>
      </c>
      <c r="AO56" s="31" t="str">
        <f t="shared" si="10"/>
        <v/>
      </c>
      <c r="AP56" s="31">
        <f t="shared" si="10"/>
        <v>60.016666666666666</v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4</v>
      </c>
      <c r="L58" s="57">
        <f t="shared" si="11"/>
        <v>0</v>
      </c>
      <c r="M58" s="57">
        <f t="shared" si="11"/>
        <v>4</v>
      </c>
      <c r="N58" s="57">
        <f t="shared" si="11"/>
        <v>3</v>
      </c>
      <c r="O58" s="57">
        <f t="shared" si="11"/>
        <v>2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2</v>
      </c>
      <c r="T58" s="57">
        <f t="shared" si="11"/>
        <v>0</v>
      </c>
      <c r="U58" s="34">
        <f t="shared" si="11"/>
        <v>2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5</v>
      </c>
      <c r="L59" s="6">
        <f t="shared" si="12"/>
        <v>0</v>
      </c>
      <c r="M59" s="6">
        <f t="shared" si="12"/>
        <v>4</v>
      </c>
      <c r="N59" s="6">
        <f t="shared" si="12"/>
        <v>6</v>
      </c>
      <c r="O59" s="6">
        <f t="shared" si="12"/>
        <v>8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8</v>
      </c>
      <c r="T59" s="6">
        <f t="shared" si="12"/>
        <v>0</v>
      </c>
      <c r="U59" s="8">
        <f t="shared" si="12"/>
        <v>8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8</v>
      </c>
      <c r="AO59" s="7">
        <f t="shared" si="12"/>
        <v>0</v>
      </c>
      <c r="AP59" s="7">
        <f t="shared" si="12"/>
        <v>8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11</v>
      </c>
      <c r="L60" s="6">
        <f t="shared" si="13"/>
        <v>0</v>
      </c>
      <c r="M60" s="6">
        <f t="shared" si="13"/>
        <v>12</v>
      </c>
      <c r="N60" s="6">
        <f t="shared" si="13"/>
        <v>11</v>
      </c>
      <c r="O60" s="6">
        <f t="shared" si="13"/>
        <v>10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10</v>
      </c>
      <c r="T60" s="6">
        <f t="shared" si="13"/>
        <v>0</v>
      </c>
      <c r="U60" s="8">
        <f t="shared" si="13"/>
        <v>10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10</v>
      </c>
      <c r="AO60" s="7">
        <f t="shared" si="13"/>
        <v>0</v>
      </c>
      <c r="AP60" s="7">
        <f t="shared" si="13"/>
        <v>10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>
        <f>IFERROR(K58*100/K62,"")</f>
        <v>20</v>
      </c>
      <c r="L63" s="64" t="str">
        <f t="shared" ref="L63:AQ63" si="17">IFERROR(L58*100/L62,"")</f>
        <v/>
      </c>
      <c r="M63" s="64">
        <f t="shared" si="17"/>
        <v>20</v>
      </c>
      <c r="N63" s="64">
        <f t="shared" si="17"/>
        <v>15</v>
      </c>
      <c r="O63" s="64">
        <f t="shared" si="17"/>
        <v>10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10</v>
      </c>
      <c r="T63" s="64" t="str">
        <f t="shared" si="17"/>
        <v/>
      </c>
      <c r="U63" s="44">
        <f t="shared" si="17"/>
        <v>10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10</v>
      </c>
      <c r="AO63" s="48" t="str">
        <f t="shared" si="17"/>
        <v/>
      </c>
      <c r="AP63" s="48">
        <f t="shared" si="17"/>
        <v>10</v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>
        <f>IFERROR(K59*100/K62,"")</f>
        <v>25</v>
      </c>
      <c r="L64" s="66" t="str">
        <f t="shared" ref="L64:AQ64" si="18">IFERROR(L59*100/L62,"")</f>
        <v/>
      </c>
      <c r="M64" s="66">
        <f t="shared" si="18"/>
        <v>20</v>
      </c>
      <c r="N64" s="66">
        <f t="shared" si="18"/>
        <v>30</v>
      </c>
      <c r="O64" s="66">
        <f t="shared" si="18"/>
        <v>40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40</v>
      </c>
      <c r="T64" s="66" t="str">
        <f t="shared" si="18"/>
        <v/>
      </c>
      <c r="U64" s="4">
        <f t="shared" si="18"/>
        <v>40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40</v>
      </c>
      <c r="AO64" s="5" t="str">
        <f t="shared" si="18"/>
        <v/>
      </c>
      <c r="AP64" s="5">
        <f t="shared" si="18"/>
        <v>40</v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>
        <f>IFERROR(K60*100/K62,"")</f>
        <v>55</v>
      </c>
      <c r="L65" s="66" t="str">
        <f t="shared" ref="L65:AQ65" si="19">IFERROR(L60*100/L62,"")</f>
        <v/>
      </c>
      <c r="M65" s="66">
        <f t="shared" si="19"/>
        <v>60</v>
      </c>
      <c r="N65" s="66">
        <f t="shared" si="19"/>
        <v>55</v>
      </c>
      <c r="O65" s="66">
        <f t="shared" si="19"/>
        <v>50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50</v>
      </c>
      <c r="T65" s="66" t="str">
        <f t="shared" si="19"/>
        <v/>
      </c>
      <c r="U65" s="4">
        <f t="shared" si="19"/>
        <v>50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50</v>
      </c>
      <c r="AO65" s="5" t="str">
        <f t="shared" si="19"/>
        <v/>
      </c>
      <c r="AP65" s="5">
        <f t="shared" si="19"/>
        <v>50</v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>
        <f>IFERROR(K61*100/K62,"")</f>
        <v>0</v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185" t="s">
        <v>29</v>
      </c>
      <c r="C69" s="183">
        <f>C2</f>
        <v>8</v>
      </c>
      <c r="D69" s="185" t="s">
        <v>41</v>
      </c>
      <c r="E69" s="186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Ədəbiyyat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 t="str">
        <f>AB2</f>
        <v>Səfərova Elnarə Yəhya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68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84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7" t="s">
        <v>29</v>
      </c>
      <c r="C156" s="187" t="s">
        <v>41</v>
      </c>
      <c r="D156" s="187" t="s">
        <v>30</v>
      </c>
      <c r="E156" s="187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7">
        <f>C2</f>
        <v>8</v>
      </c>
      <c r="C157" s="187" t="str">
        <f>E2</f>
        <v>e</v>
      </c>
      <c r="D157" s="187" t="str">
        <f>N2</f>
        <v>Ədəbiyyat</v>
      </c>
      <c r="E157" s="187" t="str">
        <f>AB2</f>
        <v>Səfərova Elnarə Yəhya</v>
      </c>
      <c r="F157" s="187">
        <f>AP2</f>
        <v>68</v>
      </c>
      <c r="G157" s="187" t="str">
        <f>H2</f>
        <v>Azərbaycan</v>
      </c>
      <c r="H157" s="187">
        <f>COUNTIF(F6:F55,"k")</f>
        <v>13</v>
      </c>
      <c r="I157" s="187">
        <f>COUNTIF(F6:F55,"q")</f>
        <v>7</v>
      </c>
      <c r="J157" s="187">
        <f>SUM(H157:I157)</f>
        <v>20</v>
      </c>
      <c r="K157" s="2">
        <f>(K158*100)/(F157*H157)</f>
        <v>0.11312217194570136</v>
      </c>
      <c r="L157" s="2">
        <f>(L158*100)/(F157*I157)</f>
        <v>0</v>
      </c>
      <c r="M157" s="2">
        <f>(M158*100)/(F157*J157)</f>
        <v>7.3529411764705885E-2</v>
      </c>
      <c r="N157" s="2">
        <f>K56</f>
        <v>63.2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60.016666666666666</v>
      </c>
      <c r="S157" s="2" t="str">
        <f>T56</f>
        <v/>
      </c>
      <c r="T157" s="2">
        <f>U56</f>
        <v>60.016666666666666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60.016666666666666</v>
      </c>
      <c r="AD157" s="2" t="str">
        <f t="shared" si="21"/>
        <v/>
      </c>
      <c r="AE157" s="2">
        <f t="shared" si="21"/>
        <v>60.016666666666666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187">
        <f>SUMIFS(J6:J55,F6:F55,"k")</f>
        <v>1</v>
      </c>
      <c r="L158" s="187">
        <f>SUMIFS(J6:J55,F6:F55,"q")</f>
        <v>0</v>
      </c>
      <c r="M158" s="187">
        <f>SUM(K158:L158)</f>
        <v>1</v>
      </c>
      <c r="N158" s="2">
        <f>(SUMIFS(K6:K55,F6:F55,"k"))/(COUNTIF(F6:F55,"k"))</f>
        <v>58.92307692307692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53.589743589743598</v>
      </c>
      <c r="S158" s="2">
        <f>(SUMIFS(T6:T55,F6:F55,"k"))/(COUNTIF(F6:F55,"k"))</f>
        <v>0</v>
      </c>
      <c r="T158" s="2">
        <f>(SUMIFS(U6:U55,F6:F55,"k"))/(COUNTIF(F6:F55,"k"))</f>
        <v>53.589743589743598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53.589743589743598</v>
      </c>
      <c r="AD158" s="2">
        <f t="shared" si="22"/>
        <v>0</v>
      </c>
      <c r="AE158" s="2">
        <f t="shared" si="22"/>
        <v>53.589743589743598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71.142857142857139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71.952380952380963</v>
      </c>
      <c r="S159" s="2">
        <f>(SUMIFS(T6:T55,F6:F55,"q"))/(COUNTIF(F6:F55,"q"))</f>
        <v>0</v>
      </c>
      <c r="T159" s="2">
        <f>(SUMIFS(U6:U55,F6:F55,"q"))/(COUNTIF(F6:F55,"q"))</f>
        <v>71.952380952380963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71.952380952380963</v>
      </c>
      <c r="AD159" s="2">
        <f t="shared" ref="AD159:AE159" si="23">(SUMIFS(AO6:AO55,$F$6:$F$55,"q"))/(COUNTIF($F$6:$F$55,"q"))</f>
        <v>0</v>
      </c>
      <c r="AE159" s="2">
        <f t="shared" si="23"/>
        <v>71.952380952380963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>
        <f>K63</f>
        <v>20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10</v>
      </c>
      <c r="S160" s="2" t="str">
        <f>T63</f>
        <v/>
      </c>
      <c r="T160" s="2">
        <f>U63</f>
        <v>10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10</v>
      </c>
      <c r="AD160" s="2" t="str">
        <f t="shared" si="24"/>
        <v/>
      </c>
      <c r="AE160" s="2">
        <f t="shared" si="24"/>
        <v>10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>
        <f t="shared" ref="N161:O163" si="25">K64</f>
        <v>25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40</v>
      </c>
      <c r="S161" s="2" t="str">
        <f t="shared" si="27"/>
        <v/>
      </c>
      <c r="T161" s="2">
        <f t="shared" si="27"/>
        <v>40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40</v>
      </c>
      <c r="AD161" s="2" t="str">
        <f t="shared" si="24"/>
        <v/>
      </c>
      <c r="AE161" s="2">
        <f t="shared" si="24"/>
        <v>40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>
        <f t="shared" si="25"/>
        <v>55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50</v>
      </c>
      <c r="S162" s="2" t="str">
        <f t="shared" si="27"/>
        <v/>
      </c>
      <c r="T162" s="2">
        <f t="shared" si="27"/>
        <v>50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50</v>
      </c>
      <c r="AD162" s="2" t="str">
        <f t="shared" si="24"/>
        <v/>
      </c>
      <c r="AE162" s="2">
        <f t="shared" si="24"/>
        <v>50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  <row r="500" spans="3:3" ht="181.5" hidden="1" x14ac:dyDescent="0.25">
      <c r="C500" s="187" t="s">
        <v>110</v>
      </c>
    </row>
  </sheetData>
  <mergeCells count="41"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abSelected="1"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7" customWidth="1"/>
    <col min="2" max="2" width="9.7109375" style="187" customWidth="1"/>
    <col min="3" max="5" width="20.7109375" style="187" customWidth="1"/>
    <col min="6" max="6" width="6.85546875" style="187" customWidth="1"/>
    <col min="7" max="8" width="5.7109375" style="187" customWidth="1"/>
    <col min="9" max="9" width="8.7109375" style="187" customWidth="1"/>
    <col min="10" max="10" width="9.28515625" style="187" customWidth="1"/>
    <col min="11" max="43" width="6.85546875" style="187" customWidth="1"/>
    <col min="44" max="44" width="1.5703125" style="187" customWidth="1"/>
    <col min="45" max="16384" width="8.85546875" style="187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185" t="s">
        <v>29</v>
      </c>
      <c r="C2" s="183">
        <f>Şagirdlər!D2</f>
        <v>8</v>
      </c>
      <c r="D2" s="185" t="s">
        <v>41</v>
      </c>
      <c r="E2" s="186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Müəllimlər!C6</f>
        <v>Dövlət dili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>
        <f>Müəllimlər!D6</f>
        <v>0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Müəllimlər!E6</f>
        <v>0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81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82" t="s">
        <v>38</v>
      </c>
      <c r="H5" s="182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tr">
        <f>IF(Şagirdlər!E9="","",Şagirdlər!E9)</f>
        <v>İlhan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185" t="s">
        <v>29</v>
      </c>
      <c r="C69" s="183">
        <f>C2</f>
        <v>8</v>
      </c>
      <c r="D69" s="185" t="s">
        <v>41</v>
      </c>
      <c r="E69" s="186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Dövlət dili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>
        <f>AB2</f>
        <v>0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0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84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7" t="s">
        <v>29</v>
      </c>
      <c r="C156" s="187" t="s">
        <v>41</v>
      </c>
      <c r="D156" s="187" t="s">
        <v>30</v>
      </c>
      <c r="E156" s="187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7">
        <f>C2</f>
        <v>8</v>
      </c>
      <c r="C157" s="187" t="str">
        <f>E2</f>
        <v>e</v>
      </c>
      <c r="D157" s="187" t="str">
        <f>N2</f>
        <v>Dövlət dili</v>
      </c>
      <c r="E157" s="187">
        <f>AB2</f>
        <v>0</v>
      </c>
      <c r="F157" s="187">
        <f>AP2</f>
        <v>0</v>
      </c>
      <c r="G157" s="187" t="str">
        <f>H2</f>
        <v>Azərbaycan</v>
      </c>
      <c r="H157" s="187">
        <f>COUNTIF(F6:F55,"k")</f>
        <v>13</v>
      </c>
      <c r="I157" s="187">
        <f>COUNTIF(F6:F55,"q")</f>
        <v>7</v>
      </c>
      <c r="J157" s="187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187">
        <f>SUMIFS(J6:J55,F6:F55,"k")</f>
        <v>0</v>
      </c>
      <c r="L158" s="187">
        <f>SUMIFS(J6:J55,F6:F55,"q")</f>
        <v>0</v>
      </c>
      <c r="M158" s="187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  <row r="500" spans="3:3" ht="181.5" hidden="1" x14ac:dyDescent="0.25">
      <c r="C500" s="187" t="s">
        <v>110</v>
      </c>
    </row>
  </sheetData>
  <mergeCells count="41"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10" zoomScale="93" zoomScaleNormal="93" workbookViewId="0">
      <selection activeCell="K24" sqref="K24"/>
    </sheetView>
  </sheetViews>
  <sheetFormatPr defaultColWidth="8.85546875" defaultRowHeight="16.5" x14ac:dyDescent="0.25"/>
  <cols>
    <col min="1" max="1" width="1.5703125" style="187" customWidth="1"/>
    <col min="2" max="2" width="9.7109375" style="187" customWidth="1"/>
    <col min="3" max="5" width="20.7109375" style="187" customWidth="1"/>
    <col min="6" max="6" width="6.85546875" style="187" customWidth="1"/>
    <col min="7" max="8" width="5.7109375" style="187" customWidth="1"/>
    <col min="9" max="9" width="8.7109375" style="187" customWidth="1"/>
    <col min="10" max="10" width="9.28515625" style="187" customWidth="1"/>
    <col min="11" max="43" width="6.85546875" style="187" customWidth="1"/>
    <col min="44" max="44" width="1.5703125" style="187" customWidth="1"/>
    <col min="45" max="16384" width="8.85546875" style="187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185" t="s">
        <v>29</v>
      </c>
      <c r="C2" s="183">
        <f>Şagirdlər!D2</f>
        <v>8</v>
      </c>
      <c r="D2" s="185" t="s">
        <v>41</v>
      </c>
      <c r="E2" s="186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Müəllimlər!C7</f>
        <v>Xarici dil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 t="str">
        <f>Müəllimlər!D7</f>
        <v>Abbasova Maral Nadir, Əbülfətova Vəfa Nəriman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Müəllimlər!E7</f>
        <v>102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81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82" t="s">
        <v>38</v>
      </c>
      <c r="H5" s="182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>
        <v>43</v>
      </c>
      <c r="L6" s="43"/>
      <c r="M6" s="43">
        <v>31</v>
      </c>
      <c r="N6" s="43">
        <v>35</v>
      </c>
      <c r="O6" s="43">
        <v>31</v>
      </c>
      <c r="P6" s="43"/>
      <c r="Q6" s="43"/>
      <c r="R6" s="43"/>
      <c r="S6" s="44">
        <f>IFERROR(AVERAGE(M6:R6),"")</f>
        <v>32.333333333333336</v>
      </c>
      <c r="T6" s="43">
        <v>51</v>
      </c>
      <c r="U6" s="44">
        <f>IF(T6="",S6,IF(S6="",T6,S6*40/100+T6*60/100))</f>
        <v>43.533333333333339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32.333333333333336</v>
      </c>
      <c r="AO6" s="48">
        <f>IFERROR(AVERAGE(T6,AG6),"")</f>
        <v>51</v>
      </c>
      <c r="AP6" s="48">
        <f>IF(AO6="",AN6,IF(AN6="",AO6,AN6*40/100+AO6*60/100))</f>
        <v>43.533333333333339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>
        <v>55</v>
      </c>
      <c r="L7" s="3"/>
      <c r="M7" s="3">
        <v>45</v>
      </c>
      <c r="N7" s="3">
        <v>31</v>
      </c>
      <c r="O7" s="3">
        <v>41</v>
      </c>
      <c r="P7" s="3"/>
      <c r="Q7" s="3"/>
      <c r="R7" s="3"/>
      <c r="S7" s="4">
        <f t="shared" ref="S7:S55" si="0">IFERROR(AVERAGE(M7:R7),"")</f>
        <v>39</v>
      </c>
      <c r="T7" s="3">
        <v>40</v>
      </c>
      <c r="U7" s="44">
        <f t="shared" ref="U7:U55" si="1">IF(T7="",S7,IF(S7="",T7,S7*40/100+T7*60/100))</f>
        <v>39.6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39</v>
      </c>
      <c r="AO7" s="5">
        <f t="shared" si="8"/>
        <v>40</v>
      </c>
      <c r="AP7" s="48">
        <f t="shared" ref="AP7:AP55" si="9">IF(AO7="",AN7,IF(AN7="",AO7,AN7*40/100+AO7*60/100))</f>
        <v>39.6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>
        <v>53</v>
      </c>
      <c r="L8" s="3"/>
      <c r="M8" s="3">
        <v>31</v>
      </c>
      <c r="N8" s="3">
        <v>45</v>
      </c>
      <c r="O8" s="3">
        <v>50</v>
      </c>
      <c r="P8" s="3"/>
      <c r="Q8" s="3"/>
      <c r="R8" s="3"/>
      <c r="S8" s="4">
        <f t="shared" si="0"/>
        <v>42</v>
      </c>
      <c r="T8" s="3">
        <v>34</v>
      </c>
      <c r="U8" s="44">
        <f t="shared" si="1"/>
        <v>37.200000000000003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42</v>
      </c>
      <c r="AO8" s="5">
        <f t="shared" si="8"/>
        <v>34</v>
      </c>
      <c r="AP8" s="48">
        <f t="shared" si="9"/>
        <v>37.200000000000003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1</v>
      </c>
      <c r="K9" s="19">
        <v>63</v>
      </c>
      <c r="L9" s="3"/>
      <c r="M9" s="3">
        <v>33</v>
      </c>
      <c r="N9" s="3">
        <v>47</v>
      </c>
      <c r="O9" s="3">
        <v>50</v>
      </c>
      <c r="P9" s="3"/>
      <c r="Q9" s="3"/>
      <c r="R9" s="3"/>
      <c r="S9" s="4">
        <f t="shared" si="0"/>
        <v>43.333333333333336</v>
      </c>
      <c r="T9" s="3">
        <v>94</v>
      </c>
      <c r="U9" s="44">
        <f t="shared" si="1"/>
        <v>73.733333333333334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43.333333333333336</v>
      </c>
      <c r="AO9" s="5">
        <f t="shared" si="8"/>
        <v>94</v>
      </c>
      <c r="AP9" s="48">
        <f t="shared" si="9"/>
        <v>73.733333333333334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226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>
        <v>40</v>
      </c>
      <c r="L10" s="3"/>
      <c r="M10" s="3">
        <v>61</v>
      </c>
      <c r="N10" s="3">
        <v>64</v>
      </c>
      <c r="O10" s="3">
        <v>71</v>
      </c>
      <c r="P10" s="3"/>
      <c r="Q10" s="3"/>
      <c r="R10" s="3"/>
      <c r="S10" s="4">
        <f t="shared" si="0"/>
        <v>65.333333333333329</v>
      </c>
      <c r="T10" s="3">
        <v>64</v>
      </c>
      <c r="U10" s="44">
        <f t="shared" si="1"/>
        <v>64.533333333333331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65.333333333333329</v>
      </c>
      <c r="AO10" s="5">
        <f t="shared" si="8"/>
        <v>64</v>
      </c>
      <c r="AP10" s="48">
        <f t="shared" si="9"/>
        <v>64.533333333333331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>
        <v>88</v>
      </c>
      <c r="L11" s="3"/>
      <c r="M11" s="3">
        <v>79</v>
      </c>
      <c r="N11" s="3">
        <v>61</v>
      </c>
      <c r="O11" s="3">
        <v>65</v>
      </c>
      <c r="P11" s="3"/>
      <c r="Q11" s="3"/>
      <c r="R11" s="3"/>
      <c r="S11" s="4">
        <f t="shared" si="0"/>
        <v>68.333333333333329</v>
      </c>
      <c r="T11" s="3">
        <v>98</v>
      </c>
      <c r="U11" s="44">
        <f t="shared" si="1"/>
        <v>86.133333333333326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68.333333333333329</v>
      </c>
      <c r="AO11" s="5">
        <f t="shared" si="8"/>
        <v>98</v>
      </c>
      <c r="AP11" s="48">
        <f t="shared" si="9"/>
        <v>86.133333333333326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>
        <v>51</v>
      </c>
      <c r="L12" s="3"/>
      <c r="M12" s="3">
        <v>31</v>
      </c>
      <c r="N12" s="3">
        <v>35</v>
      </c>
      <c r="O12" s="3">
        <v>50</v>
      </c>
      <c r="P12" s="3"/>
      <c r="Q12" s="3"/>
      <c r="R12" s="3"/>
      <c r="S12" s="4">
        <f t="shared" si="0"/>
        <v>38.666666666666664</v>
      </c>
      <c r="T12" s="3">
        <v>55</v>
      </c>
      <c r="U12" s="44">
        <f t="shared" si="1"/>
        <v>48.466666666666669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38.666666666666664</v>
      </c>
      <c r="AO12" s="5">
        <f t="shared" si="8"/>
        <v>55</v>
      </c>
      <c r="AP12" s="48">
        <f t="shared" si="9"/>
        <v>48.466666666666669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>
        <v>43</v>
      </c>
      <c r="L13" s="3"/>
      <c r="M13" s="3">
        <v>41</v>
      </c>
      <c r="N13" s="3">
        <v>31</v>
      </c>
      <c r="O13" s="3">
        <v>37</v>
      </c>
      <c r="P13" s="3"/>
      <c r="Q13" s="3"/>
      <c r="R13" s="3"/>
      <c r="S13" s="4">
        <f t="shared" si="0"/>
        <v>36.333333333333336</v>
      </c>
      <c r="T13" s="3">
        <v>31</v>
      </c>
      <c r="U13" s="44">
        <f t="shared" si="1"/>
        <v>33.13333333333334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36.333333333333336</v>
      </c>
      <c r="AO13" s="5">
        <f t="shared" si="8"/>
        <v>31</v>
      </c>
      <c r="AP13" s="48">
        <f t="shared" si="9"/>
        <v>33.13333333333334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1</v>
      </c>
      <c r="K14" s="19">
        <v>50</v>
      </c>
      <c r="L14" s="3"/>
      <c r="M14" s="3">
        <v>35</v>
      </c>
      <c r="N14" s="3">
        <v>61</v>
      </c>
      <c r="O14" s="3">
        <v>71</v>
      </c>
      <c r="P14" s="3"/>
      <c r="Q14" s="3"/>
      <c r="R14" s="3"/>
      <c r="S14" s="4">
        <f t="shared" si="0"/>
        <v>55.666666666666664</v>
      </c>
      <c r="T14" s="3">
        <v>94</v>
      </c>
      <c r="U14" s="44">
        <f t="shared" si="1"/>
        <v>78.666666666666657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55.666666666666664</v>
      </c>
      <c r="AO14" s="5">
        <f t="shared" si="8"/>
        <v>94</v>
      </c>
      <c r="AP14" s="48">
        <f t="shared" si="9"/>
        <v>78.666666666666657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>
        <v>53</v>
      </c>
      <c r="L15" s="3"/>
      <c r="M15" s="3">
        <v>58</v>
      </c>
      <c r="N15" s="3">
        <v>65</v>
      </c>
      <c r="O15" s="3">
        <v>31</v>
      </c>
      <c r="P15" s="3"/>
      <c r="Q15" s="3"/>
      <c r="R15" s="3"/>
      <c r="S15" s="4">
        <f t="shared" si="0"/>
        <v>51.333333333333336</v>
      </c>
      <c r="T15" s="3">
        <v>48</v>
      </c>
      <c r="U15" s="44">
        <f t="shared" si="1"/>
        <v>49.333333333333336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51.333333333333336</v>
      </c>
      <c r="AO15" s="5">
        <f t="shared" si="8"/>
        <v>48</v>
      </c>
      <c r="AP15" s="48">
        <f t="shared" si="9"/>
        <v>49.333333333333336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1</v>
      </c>
      <c r="K16" s="19">
        <v>53</v>
      </c>
      <c r="L16" s="3"/>
      <c r="M16" s="3">
        <v>45</v>
      </c>
      <c r="N16" s="3">
        <v>40</v>
      </c>
      <c r="O16" s="3">
        <v>51</v>
      </c>
      <c r="P16" s="3"/>
      <c r="Q16" s="3"/>
      <c r="R16" s="3"/>
      <c r="S16" s="4">
        <f t="shared" si="0"/>
        <v>45.333333333333336</v>
      </c>
      <c r="T16" s="3">
        <v>65</v>
      </c>
      <c r="U16" s="44">
        <f t="shared" si="1"/>
        <v>57.13333333333334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45.333333333333336</v>
      </c>
      <c r="AO16" s="5">
        <f t="shared" si="8"/>
        <v>65</v>
      </c>
      <c r="AP16" s="48">
        <f t="shared" si="9"/>
        <v>57.13333333333334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>
        <v>2</v>
      </c>
      <c r="K17" s="19">
        <v>40</v>
      </c>
      <c r="L17" s="3"/>
      <c r="M17" s="3">
        <v>38</v>
      </c>
      <c r="N17" s="3">
        <v>35</v>
      </c>
      <c r="O17" s="3">
        <v>40</v>
      </c>
      <c r="P17" s="3"/>
      <c r="Q17" s="3"/>
      <c r="R17" s="3"/>
      <c r="S17" s="4">
        <f t="shared" si="0"/>
        <v>37.666666666666664</v>
      </c>
      <c r="T17" s="3">
        <v>48</v>
      </c>
      <c r="U17" s="44">
        <f t="shared" si="1"/>
        <v>43.866666666666667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37.666666666666664</v>
      </c>
      <c r="AO17" s="5">
        <f t="shared" si="8"/>
        <v>48</v>
      </c>
      <c r="AP17" s="48">
        <f t="shared" si="9"/>
        <v>43.866666666666667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>
        <v>44</v>
      </c>
      <c r="L18" s="3"/>
      <c r="M18" s="3">
        <v>35</v>
      </c>
      <c r="N18" s="3">
        <v>38</v>
      </c>
      <c r="O18" s="3">
        <v>40</v>
      </c>
      <c r="P18" s="3"/>
      <c r="Q18" s="3"/>
      <c r="R18" s="3"/>
      <c r="S18" s="4">
        <f t="shared" si="0"/>
        <v>37.666666666666664</v>
      </c>
      <c r="T18" s="3">
        <v>52</v>
      </c>
      <c r="U18" s="44">
        <f t="shared" si="1"/>
        <v>46.266666666666666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37.666666666666664</v>
      </c>
      <c r="AO18" s="5">
        <f t="shared" si="8"/>
        <v>52</v>
      </c>
      <c r="AP18" s="48">
        <f t="shared" si="9"/>
        <v>46.266666666666666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>
        <v>63</v>
      </c>
      <c r="L19" s="3"/>
      <c r="M19" s="3">
        <v>63</v>
      </c>
      <c r="N19" s="3">
        <v>48</v>
      </c>
      <c r="O19" s="3">
        <v>60</v>
      </c>
      <c r="P19" s="3"/>
      <c r="Q19" s="3"/>
      <c r="R19" s="3"/>
      <c r="S19" s="4">
        <f t="shared" si="0"/>
        <v>57</v>
      </c>
      <c r="T19" s="3">
        <v>52</v>
      </c>
      <c r="U19" s="44">
        <f t="shared" si="1"/>
        <v>54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57</v>
      </c>
      <c r="AO19" s="5">
        <f t="shared" si="8"/>
        <v>52</v>
      </c>
      <c r="AP19" s="48">
        <f t="shared" si="9"/>
        <v>54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>
        <v>95</v>
      </c>
      <c r="L20" s="3"/>
      <c r="M20" s="3">
        <v>65</v>
      </c>
      <c r="N20" s="3">
        <v>68</v>
      </c>
      <c r="O20" s="3">
        <v>85</v>
      </c>
      <c r="P20" s="3"/>
      <c r="Q20" s="3"/>
      <c r="R20" s="3"/>
      <c r="S20" s="4">
        <f t="shared" si="0"/>
        <v>72.666666666666671</v>
      </c>
      <c r="T20" s="3">
        <v>74</v>
      </c>
      <c r="U20" s="44">
        <f t="shared" si="1"/>
        <v>73.466666666666669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72.666666666666671</v>
      </c>
      <c r="AO20" s="5">
        <f t="shared" si="8"/>
        <v>74</v>
      </c>
      <c r="AP20" s="48">
        <f t="shared" si="9"/>
        <v>73.466666666666669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>
        <v>1</v>
      </c>
      <c r="K21" s="19">
        <v>80</v>
      </c>
      <c r="L21" s="3"/>
      <c r="M21" s="3">
        <v>68</v>
      </c>
      <c r="N21" s="3">
        <v>48</v>
      </c>
      <c r="O21" s="3">
        <v>70</v>
      </c>
      <c r="P21" s="3"/>
      <c r="Q21" s="3"/>
      <c r="R21" s="3"/>
      <c r="S21" s="4">
        <f t="shared" si="0"/>
        <v>62</v>
      </c>
      <c r="T21" s="3">
        <v>64</v>
      </c>
      <c r="U21" s="44">
        <f t="shared" si="1"/>
        <v>63.2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62</v>
      </c>
      <c r="AO21" s="5">
        <f t="shared" si="8"/>
        <v>64</v>
      </c>
      <c r="AP21" s="48">
        <f t="shared" si="9"/>
        <v>63.2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>
        <v>1</v>
      </c>
      <c r="K22" s="19">
        <v>39</v>
      </c>
      <c r="L22" s="3"/>
      <c r="M22" s="3">
        <v>32</v>
      </c>
      <c r="N22" s="3">
        <v>35</v>
      </c>
      <c r="O22" s="3">
        <v>35</v>
      </c>
      <c r="P22" s="3"/>
      <c r="Q22" s="3"/>
      <c r="R22" s="3"/>
      <c r="S22" s="4">
        <f t="shared" si="0"/>
        <v>34</v>
      </c>
      <c r="T22" s="3">
        <v>34</v>
      </c>
      <c r="U22" s="44">
        <f t="shared" si="1"/>
        <v>34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34</v>
      </c>
      <c r="AO22" s="5">
        <f t="shared" si="8"/>
        <v>34</v>
      </c>
      <c r="AP22" s="48">
        <f t="shared" si="9"/>
        <v>34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>
        <v>1</v>
      </c>
      <c r="K23" s="19">
        <v>51</v>
      </c>
      <c r="L23" s="3"/>
      <c r="M23" s="3">
        <v>38</v>
      </c>
      <c r="N23" s="3">
        <v>44</v>
      </c>
      <c r="O23" s="3">
        <v>50</v>
      </c>
      <c r="P23" s="3"/>
      <c r="Q23" s="3"/>
      <c r="R23" s="3"/>
      <c r="S23" s="4">
        <f t="shared" si="0"/>
        <v>44</v>
      </c>
      <c r="T23" s="3">
        <v>38</v>
      </c>
      <c r="U23" s="44">
        <f t="shared" si="1"/>
        <v>40.400000000000006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44</v>
      </c>
      <c r="AO23" s="5">
        <f t="shared" si="8"/>
        <v>38</v>
      </c>
      <c r="AP23" s="48">
        <f t="shared" si="9"/>
        <v>40.400000000000006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>
        <v>67</v>
      </c>
      <c r="L24" s="3"/>
      <c r="M24" s="3">
        <v>31</v>
      </c>
      <c r="N24" s="3">
        <v>41</v>
      </c>
      <c r="O24" s="3">
        <v>50</v>
      </c>
      <c r="P24" s="3"/>
      <c r="Q24" s="3"/>
      <c r="R24" s="3"/>
      <c r="S24" s="4">
        <f t="shared" si="0"/>
        <v>40.666666666666664</v>
      </c>
      <c r="T24" s="3">
        <v>31</v>
      </c>
      <c r="U24" s="44">
        <f t="shared" si="1"/>
        <v>34.866666666666667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40.666666666666664</v>
      </c>
      <c r="AO24" s="5">
        <f t="shared" si="8"/>
        <v>31</v>
      </c>
      <c r="AP24" s="48">
        <f t="shared" si="9"/>
        <v>34.866666666666667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">
        <v>230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>
        <v>66</v>
      </c>
      <c r="L25" s="3"/>
      <c r="M25" s="3">
        <v>29</v>
      </c>
      <c r="N25" s="3">
        <v>59</v>
      </c>
      <c r="O25" s="3">
        <v>61</v>
      </c>
      <c r="P25" s="3"/>
      <c r="Q25" s="3"/>
      <c r="R25" s="3"/>
      <c r="S25" s="4">
        <f t="shared" si="0"/>
        <v>49.666666666666664</v>
      </c>
      <c r="T25" s="3">
        <v>72</v>
      </c>
      <c r="U25" s="44">
        <f t="shared" si="1"/>
        <v>63.066666666666663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49.666666666666664</v>
      </c>
      <c r="AO25" s="5">
        <f t="shared" si="8"/>
        <v>72</v>
      </c>
      <c r="AP25" s="48">
        <f t="shared" si="9"/>
        <v>63.066666666666663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>
        <f t="shared" ref="K56:AQ56" si="10">IFERROR(AVERAGE(K6:K55),"")</f>
        <v>56.85</v>
      </c>
      <c r="L56" s="31" t="str">
        <f t="shared" si="10"/>
        <v/>
      </c>
      <c r="M56" s="31">
        <f t="shared" si="10"/>
        <v>44.45</v>
      </c>
      <c r="N56" s="31">
        <f t="shared" si="10"/>
        <v>46.55</v>
      </c>
      <c r="O56" s="31">
        <f t="shared" si="10"/>
        <v>51.95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47.649999999999991</v>
      </c>
      <c r="T56" s="31">
        <f t="shared" si="10"/>
        <v>56.95</v>
      </c>
      <c r="U56" s="31">
        <f t="shared" si="10"/>
        <v>53.230000000000004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47.649999999999991</v>
      </c>
      <c r="AO56" s="31">
        <f t="shared" si="10"/>
        <v>56.95</v>
      </c>
      <c r="AP56" s="31">
        <f t="shared" si="10"/>
        <v>53.230000000000004</v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2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1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3</v>
      </c>
      <c r="U58" s="34">
        <f t="shared" si="11"/>
        <v>1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3</v>
      </c>
      <c r="AP58" s="37">
        <f t="shared" si="11"/>
        <v>1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5</v>
      </c>
      <c r="L59" s="6">
        <f t="shared" si="12"/>
        <v>0</v>
      </c>
      <c r="M59" s="6">
        <f t="shared" si="12"/>
        <v>5</v>
      </c>
      <c r="N59" s="6">
        <f t="shared" si="12"/>
        <v>5</v>
      </c>
      <c r="O59" s="6">
        <f t="shared" si="12"/>
        <v>5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4</v>
      </c>
      <c r="T59" s="6">
        <f t="shared" si="12"/>
        <v>5</v>
      </c>
      <c r="U59" s="8">
        <f t="shared" si="12"/>
        <v>6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4</v>
      </c>
      <c r="AO59" s="7">
        <f t="shared" si="12"/>
        <v>5</v>
      </c>
      <c r="AP59" s="7">
        <f t="shared" si="12"/>
        <v>6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13</v>
      </c>
      <c r="L60" s="6">
        <f t="shared" si="13"/>
        <v>0</v>
      </c>
      <c r="M60" s="6">
        <f t="shared" si="13"/>
        <v>14</v>
      </c>
      <c r="N60" s="6">
        <f t="shared" si="13"/>
        <v>15</v>
      </c>
      <c r="O60" s="6">
        <f t="shared" si="13"/>
        <v>14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16</v>
      </c>
      <c r="T60" s="6">
        <f t="shared" si="13"/>
        <v>12</v>
      </c>
      <c r="U60" s="8">
        <f t="shared" si="13"/>
        <v>13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16</v>
      </c>
      <c r="AO60" s="7">
        <f t="shared" si="13"/>
        <v>12</v>
      </c>
      <c r="AP60" s="7">
        <f t="shared" si="13"/>
        <v>13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1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>
        <f>IFERROR(K58*100/K62,"")</f>
        <v>10</v>
      </c>
      <c r="L63" s="64" t="str">
        <f t="shared" ref="L63:AQ63" si="17">IFERROR(L58*100/L62,"")</f>
        <v/>
      </c>
      <c r="M63" s="64">
        <f t="shared" si="17"/>
        <v>0</v>
      </c>
      <c r="N63" s="64">
        <f t="shared" si="17"/>
        <v>0</v>
      </c>
      <c r="O63" s="64">
        <f t="shared" si="17"/>
        <v>5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0</v>
      </c>
      <c r="T63" s="64">
        <f t="shared" si="17"/>
        <v>15</v>
      </c>
      <c r="U63" s="44">
        <f t="shared" si="17"/>
        <v>5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0</v>
      </c>
      <c r="AO63" s="48">
        <f t="shared" si="17"/>
        <v>15</v>
      </c>
      <c r="AP63" s="48">
        <f t="shared" si="17"/>
        <v>5</v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>
        <f>IFERROR(K59*100/K62,"")</f>
        <v>25</v>
      </c>
      <c r="L64" s="66" t="str">
        <f t="shared" ref="L64:AQ64" si="18">IFERROR(L59*100/L62,"")</f>
        <v/>
      </c>
      <c r="M64" s="66">
        <f t="shared" si="18"/>
        <v>25</v>
      </c>
      <c r="N64" s="66">
        <f t="shared" si="18"/>
        <v>25</v>
      </c>
      <c r="O64" s="66">
        <f t="shared" si="18"/>
        <v>25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20</v>
      </c>
      <c r="T64" s="66">
        <f t="shared" si="18"/>
        <v>25</v>
      </c>
      <c r="U64" s="4">
        <f t="shared" si="18"/>
        <v>30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20</v>
      </c>
      <c r="AO64" s="5">
        <f t="shared" si="18"/>
        <v>25</v>
      </c>
      <c r="AP64" s="5">
        <f t="shared" si="18"/>
        <v>30</v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>
        <f>IFERROR(K60*100/K62,"")</f>
        <v>65</v>
      </c>
      <c r="L65" s="66" t="str">
        <f t="shared" ref="L65:AQ65" si="19">IFERROR(L60*100/L62,"")</f>
        <v/>
      </c>
      <c r="M65" s="66">
        <f t="shared" si="19"/>
        <v>70</v>
      </c>
      <c r="N65" s="66">
        <f t="shared" si="19"/>
        <v>75</v>
      </c>
      <c r="O65" s="66">
        <f t="shared" si="19"/>
        <v>70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80</v>
      </c>
      <c r="T65" s="66">
        <f t="shared" si="19"/>
        <v>60</v>
      </c>
      <c r="U65" s="4">
        <f t="shared" si="19"/>
        <v>65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80</v>
      </c>
      <c r="AO65" s="5">
        <f t="shared" si="19"/>
        <v>60</v>
      </c>
      <c r="AP65" s="5">
        <f t="shared" si="19"/>
        <v>65</v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>
        <f>IFERROR(K61*100/K62,"")</f>
        <v>0</v>
      </c>
      <c r="L66" s="68" t="str">
        <f t="shared" ref="L66:AQ66" si="20">IFERROR(L61*100/L62,"")</f>
        <v/>
      </c>
      <c r="M66" s="68">
        <f t="shared" si="20"/>
        <v>5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>
        <f t="shared" si="20"/>
        <v>0</v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>
        <f t="shared" si="20"/>
        <v>0</v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185" t="s">
        <v>29</v>
      </c>
      <c r="C69" s="183">
        <f>C2</f>
        <v>8</v>
      </c>
      <c r="D69" s="185" t="s">
        <v>41</v>
      </c>
      <c r="E69" s="186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Xarici dil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 t="str">
        <f>AB2</f>
        <v>Abbasova Maral Nadir, Əbülfətova Vəfa Nəriman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102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84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7" t="s">
        <v>29</v>
      </c>
      <c r="C156" s="187" t="s">
        <v>41</v>
      </c>
      <c r="D156" s="187" t="s">
        <v>30</v>
      </c>
      <c r="E156" s="187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7">
        <f>C2</f>
        <v>8</v>
      </c>
      <c r="C157" s="187" t="str">
        <f>E2</f>
        <v>e</v>
      </c>
      <c r="D157" s="187" t="str">
        <f>N2</f>
        <v>Xarici dil</v>
      </c>
      <c r="E157" s="187" t="str">
        <f>AB2</f>
        <v>Abbasova Maral Nadir, Əbülfətova Vəfa Nəriman</v>
      </c>
      <c r="F157" s="187">
        <f>AP2</f>
        <v>102</v>
      </c>
      <c r="G157" s="187" t="str">
        <f>H2</f>
        <v>Azərbaycan</v>
      </c>
      <c r="H157" s="187">
        <f>COUNTIF(F6:F55,"k")</f>
        <v>13</v>
      </c>
      <c r="I157" s="187">
        <f>COUNTIF(F6:F55,"q")</f>
        <v>7</v>
      </c>
      <c r="J157" s="187">
        <f>SUM(H157:I157)</f>
        <v>20</v>
      </c>
      <c r="K157" s="2">
        <f>(K158*100)/(F157*H157)</f>
        <v>0.37707390648567118</v>
      </c>
      <c r="L157" s="2">
        <f>(L158*100)/(F157*I157)</f>
        <v>0.42016806722689076</v>
      </c>
      <c r="M157" s="2">
        <f>(M158*100)/(F157*J157)</f>
        <v>0.39215686274509803</v>
      </c>
      <c r="N157" s="2">
        <f>K56</f>
        <v>56.85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47.649999999999991</v>
      </c>
      <c r="S157" s="2">
        <f>T56</f>
        <v>56.95</v>
      </c>
      <c r="T157" s="2">
        <f>U56</f>
        <v>53.230000000000004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47.649999999999991</v>
      </c>
      <c r="AD157" s="2">
        <f t="shared" si="21"/>
        <v>56.95</v>
      </c>
      <c r="AE157" s="2">
        <f t="shared" si="21"/>
        <v>53.230000000000004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187">
        <f>SUMIFS(J6:J55,F6:F55,"k")</f>
        <v>5</v>
      </c>
      <c r="L158" s="187">
        <f>SUMIFS(J6:J55,F6:F55,"q")</f>
        <v>3</v>
      </c>
      <c r="M158" s="187">
        <f>SUM(K158:L158)</f>
        <v>8</v>
      </c>
      <c r="N158" s="2">
        <f>(SUMIFS(K6:K55,F6:F55,"k"))/(COUNTIF(F6:F55,"k"))</f>
        <v>53.153846153846153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44.512820512820511</v>
      </c>
      <c r="S158" s="2">
        <f>(SUMIFS(T6:T55,F6:F55,"k"))/(COUNTIF(F6:F55,"k"))</f>
        <v>47.230769230769234</v>
      </c>
      <c r="T158" s="2">
        <f>(SUMIFS(U6:U55,F6:F55,"k"))/(COUNTIF(F6:F55,"k"))</f>
        <v>46.14358974358975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44.512820512820511</v>
      </c>
      <c r="AD158" s="2">
        <f t="shared" si="22"/>
        <v>47.230769230769234</v>
      </c>
      <c r="AE158" s="2">
        <f t="shared" si="22"/>
        <v>46.14358974358975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63.714285714285715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53.476190476190482</v>
      </c>
      <c r="S159" s="2">
        <f>(SUMIFS(T6:T55,F6:F55,"q"))/(COUNTIF(F6:F55,"q"))</f>
        <v>75</v>
      </c>
      <c r="T159" s="2">
        <f>(SUMIFS(U6:U55,F6:F55,"q"))/(COUNTIF(F6:F55,"q"))</f>
        <v>66.390476190476193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53.476190476190482</v>
      </c>
      <c r="AD159" s="2">
        <f t="shared" ref="AD159:AE159" si="23">(SUMIFS(AO6:AO55,$F$6:$F$55,"q"))/(COUNTIF($F$6:$F$55,"q"))</f>
        <v>75</v>
      </c>
      <c r="AE159" s="2">
        <f t="shared" si="23"/>
        <v>66.390476190476193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>
        <f>K63</f>
        <v>10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0</v>
      </c>
      <c r="S160" s="2">
        <f>T63</f>
        <v>15</v>
      </c>
      <c r="T160" s="2">
        <f>U63</f>
        <v>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0</v>
      </c>
      <c r="AD160" s="2">
        <f t="shared" si="24"/>
        <v>15</v>
      </c>
      <c r="AE160" s="2">
        <f t="shared" si="24"/>
        <v>5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>
        <f t="shared" ref="N161:O163" si="25">K64</f>
        <v>25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20</v>
      </c>
      <c r="S161" s="2">
        <f t="shared" si="27"/>
        <v>25</v>
      </c>
      <c r="T161" s="2">
        <f t="shared" si="27"/>
        <v>30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20</v>
      </c>
      <c r="AD161" s="2">
        <f t="shared" si="24"/>
        <v>25</v>
      </c>
      <c r="AE161" s="2">
        <f t="shared" si="24"/>
        <v>30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>
        <f t="shared" si="25"/>
        <v>65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80</v>
      </c>
      <c r="S162" s="2">
        <f t="shared" si="27"/>
        <v>60</v>
      </c>
      <c r="T162" s="2">
        <f t="shared" si="27"/>
        <v>65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80</v>
      </c>
      <c r="AD162" s="2">
        <f t="shared" si="24"/>
        <v>60</v>
      </c>
      <c r="AE162" s="2">
        <f t="shared" si="24"/>
        <v>65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>
        <f t="shared" si="27"/>
        <v>0</v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>
        <f t="shared" si="24"/>
        <v>0</v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  <row r="500" spans="3:3" ht="181.5" hidden="1" x14ac:dyDescent="0.25">
      <c r="C500" s="187" t="s">
        <v>110</v>
      </c>
    </row>
  </sheetData>
  <mergeCells count="41"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A9" zoomScale="93" zoomScaleNormal="93" workbookViewId="0">
      <selection activeCell="K25" sqref="K25"/>
    </sheetView>
  </sheetViews>
  <sheetFormatPr defaultColWidth="8.85546875" defaultRowHeight="16.5" x14ac:dyDescent="0.25"/>
  <cols>
    <col min="1" max="1" width="1.5703125" style="187" customWidth="1"/>
    <col min="2" max="2" width="9.7109375" style="187" customWidth="1"/>
    <col min="3" max="5" width="20.7109375" style="187" customWidth="1"/>
    <col min="6" max="6" width="6.85546875" style="187" customWidth="1"/>
    <col min="7" max="8" width="5.7109375" style="187" customWidth="1"/>
    <col min="9" max="9" width="8.7109375" style="187" customWidth="1"/>
    <col min="10" max="10" width="9.28515625" style="187" customWidth="1"/>
    <col min="11" max="43" width="6.85546875" style="187" customWidth="1"/>
    <col min="44" max="44" width="1.5703125" style="187" customWidth="1"/>
    <col min="45" max="16384" width="8.85546875" style="187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185" t="s">
        <v>29</v>
      </c>
      <c r="C2" s="183">
        <f>Şagirdlər!D2</f>
        <v>8</v>
      </c>
      <c r="D2" s="185" t="s">
        <v>41</v>
      </c>
      <c r="E2" s="186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Müəllimlər!C8</f>
        <v>İkinci xarici dil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 t="str">
        <f>Müəllimlər!D8</f>
        <v>Ələkbərova Tamila Səməd, Həsənova Kəmalə Faiq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Müəllimlər!E8</f>
        <v>34.340000000000003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81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82" t="s">
        <v>38</v>
      </c>
      <c r="H5" s="182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>
        <v>1</v>
      </c>
      <c r="K6" s="42">
        <v>38</v>
      </c>
      <c r="L6" s="43"/>
      <c r="M6" s="43">
        <v>34</v>
      </c>
      <c r="N6" s="43">
        <v>37</v>
      </c>
      <c r="O6" s="43">
        <v>47</v>
      </c>
      <c r="P6" s="43"/>
      <c r="Q6" s="43"/>
      <c r="R6" s="43"/>
      <c r="S6" s="44">
        <f>IFERROR(AVERAGE(M6:R6),"")</f>
        <v>39.333333333333336</v>
      </c>
      <c r="T6" s="43"/>
      <c r="U6" s="44">
        <f>IF(T6="",S6,IF(S6="",T6,S6*40/100+T6*60/100))</f>
        <v>39.333333333333336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39.333333333333336</v>
      </c>
      <c r="AO6" s="48" t="str">
        <f>IFERROR(AVERAGE(T6,AG6),"")</f>
        <v/>
      </c>
      <c r="AP6" s="48">
        <f>IF(AO6="",AN6,IF(AN6="",AO6,AN6*40/100+AO6*60/100))</f>
        <v>39.333333333333336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>
        <v>1</v>
      </c>
      <c r="K7" s="19">
        <v>35</v>
      </c>
      <c r="L7" s="3"/>
      <c r="M7" s="3">
        <v>40</v>
      </c>
      <c r="N7" s="3">
        <v>40</v>
      </c>
      <c r="O7" s="3">
        <v>42</v>
      </c>
      <c r="P7" s="3"/>
      <c r="Q7" s="3"/>
      <c r="R7" s="3"/>
      <c r="S7" s="4">
        <f t="shared" ref="S7:S55" si="0">IFERROR(AVERAGE(M7:R7),"")</f>
        <v>40.666666666666664</v>
      </c>
      <c r="T7" s="3"/>
      <c r="U7" s="44">
        <f t="shared" ref="U7:U55" si="1">IF(T7="",S7,IF(S7="",T7,S7*40/100+T7*60/100))</f>
        <v>40.666666666666664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40.666666666666664</v>
      </c>
      <c r="AO7" s="5" t="str">
        <f t="shared" si="8"/>
        <v/>
      </c>
      <c r="AP7" s="48">
        <f t="shared" ref="AP7:AP55" si="9">IF(AO7="",AN7,IF(AN7="",AO7,AN7*40/100+AO7*60/100))</f>
        <v>40.666666666666664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>
        <v>1</v>
      </c>
      <c r="K8" s="19">
        <v>48</v>
      </c>
      <c r="L8" s="3"/>
      <c r="M8" s="3">
        <v>35</v>
      </c>
      <c r="N8" s="3">
        <v>40</v>
      </c>
      <c r="O8" s="3">
        <v>42</v>
      </c>
      <c r="P8" s="3"/>
      <c r="Q8" s="3"/>
      <c r="R8" s="3"/>
      <c r="S8" s="4">
        <f t="shared" si="0"/>
        <v>39</v>
      </c>
      <c r="T8" s="3"/>
      <c r="U8" s="44">
        <f t="shared" si="1"/>
        <v>39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39</v>
      </c>
      <c r="AO8" s="5" t="str">
        <f t="shared" si="8"/>
        <v/>
      </c>
      <c r="AP8" s="48">
        <f t="shared" si="9"/>
        <v>39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2</v>
      </c>
      <c r="K9" s="19">
        <v>63</v>
      </c>
      <c r="L9" s="3"/>
      <c r="M9" s="3">
        <v>55</v>
      </c>
      <c r="N9" s="3">
        <v>70</v>
      </c>
      <c r="O9" s="3">
        <v>64</v>
      </c>
      <c r="P9" s="3"/>
      <c r="Q9" s="3"/>
      <c r="R9" s="3"/>
      <c r="S9" s="4">
        <f t="shared" si="0"/>
        <v>63</v>
      </c>
      <c r="T9" s="3"/>
      <c r="U9" s="44">
        <f t="shared" si="1"/>
        <v>63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63</v>
      </c>
      <c r="AO9" s="5" t="str">
        <f t="shared" si="8"/>
        <v/>
      </c>
      <c r="AP9" s="48">
        <f t="shared" si="9"/>
        <v>63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148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>
        <v>44</v>
      </c>
      <c r="L10" s="3"/>
      <c r="M10" s="3">
        <v>35</v>
      </c>
      <c r="N10" s="3">
        <v>76</v>
      </c>
      <c r="O10" s="3">
        <v>76</v>
      </c>
      <c r="P10" s="3"/>
      <c r="Q10" s="3"/>
      <c r="R10" s="3"/>
      <c r="S10" s="4">
        <f t="shared" si="0"/>
        <v>62.333333333333336</v>
      </c>
      <c r="T10" s="3"/>
      <c r="U10" s="44">
        <f t="shared" si="1"/>
        <v>62.333333333333336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62.333333333333336</v>
      </c>
      <c r="AO10" s="5" t="str">
        <f t="shared" si="8"/>
        <v/>
      </c>
      <c r="AP10" s="48">
        <f t="shared" si="9"/>
        <v>62.333333333333336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>
        <v>100</v>
      </c>
      <c r="L11" s="3"/>
      <c r="M11" s="3">
        <v>100</v>
      </c>
      <c r="N11" s="3">
        <v>100</v>
      </c>
      <c r="O11" s="3">
        <v>100</v>
      </c>
      <c r="P11" s="3"/>
      <c r="Q11" s="3"/>
      <c r="R11" s="3"/>
      <c r="S11" s="4">
        <f t="shared" si="0"/>
        <v>100</v>
      </c>
      <c r="T11" s="3"/>
      <c r="U11" s="44">
        <f t="shared" si="1"/>
        <v>100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100</v>
      </c>
      <c r="AO11" s="5" t="str">
        <f t="shared" si="8"/>
        <v/>
      </c>
      <c r="AP11" s="48">
        <f t="shared" si="9"/>
        <v>100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>
        <v>45</v>
      </c>
      <c r="L12" s="3"/>
      <c r="M12" s="3">
        <v>55</v>
      </c>
      <c r="N12" s="3">
        <v>55</v>
      </c>
      <c r="O12" s="3">
        <v>52</v>
      </c>
      <c r="P12" s="3"/>
      <c r="Q12" s="3"/>
      <c r="R12" s="3"/>
      <c r="S12" s="4">
        <f t="shared" si="0"/>
        <v>54</v>
      </c>
      <c r="T12" s="3"/>
      <c r="U12" s="44">
        <f t="shared" si="1"/>
        <v>54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54</v>
      </c>
      <c r="AO12" s="5" t="str">
        <f t="shared" si="8"/>
        <v/>
      </c>
      <c r="AP12" s="48">
        <f t="shared" si="9"/>
        <v>54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>
        <v>1</v>
      </c>
      <c r="K13" s="19">
        <v>50</v>
      </c>
      <c r="L13" s="3"/>
      <c r="M13" s="3">
        <v>40</v>
      </c>
      <c r="N13" s="3">
        <v>45</v>
      </c>
      <c r="O13" s="3">
        <v>42</v>
      </c>
      <c r="P13" s="3"/>
      <c r="Q13" s="3"/>
      <c r="R13" s="3"/>
      <c r="S13" s="4">
        <f t="shared" si="0"/>
        <v>42.333333333333336</v>
      </c>
      <c r="T13" s="3"/>
      <c r="U13" s="44">
        <f t="shared" si="1"/>
        <v>42.333333333333336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42.333333333333336</v>
      </c>
      <c r="AO13" s="5" t="str">
        <f t="shared" si="8"/>
        <v/>
      </c>
      <c r="AP13" s="48">
        <f t="shared" si="9"/>
        <v>42.333333333333336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>
        <v>45</v>
      </c>
      <c r="L14" s="3"/>
      <c r="M14" s="3">
        <v>87</v>
      </c>
      <c r="N14" s="3">
        <v>85</v>
      </c>
      <c r="O14" s="3">
        <v>81</v>
      </c>
      <c r="P14" s="3"/>
      <c r="Q14" s="3"/>
      <c r="R14" s="3"/>
      <c r="S14" s="4">
        <f t="shared" si="0"/>
        <v>84.333333333333329</v>
      </c>
      <c r="T14" s="3"/>
      <c r="U14" s="44">
        <f t="shared" si="1"/>
        <v>84.333333333333329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84.333333333333329</v>
      </c>
      <c r="AO14" s="5" t="str">
        <f t="shared" si="8"/>
        <v/>
      </c>
      <c r="AP14" s="48">
        <f t="shared" si="9"/>
        <v>84.333333333333329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>
        <v>2</v>
      </c>
      <c r="K15" s="19">
        <v>35</v>
      </c>
      <c r="L15" s="3"/>
      <c r="M15" s="3">
        <v>85</v>
      </c>
      <c r="N15" s="3">
        <v>85</v>
      </c>
      <c r="O15" s="3">
        <v>81</v>
      </c>
      <c r="P15" s="3"/>
      <c r="Q15" s="3"/>
      <c r="R15" s="3"/>
      <c r="S15" s="4">
        <f t="shared" si="0"/>
        <v>83.666666666666671</v>
      </c>
      <c r="T15" s="3"/>
      <c r="U15" s="44">
        <f t="shared" si="1"/>
        <v>83.666666666666671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83.666666666666671</v>
      </c>
      <c r="AO15" s="5" t="str">
        <f t="shared" si="8"/>
        <v/>
      </c>
      <c r="AP15" s="48">
        <f t="shared" si="9"/>
        <v>83.666666666666671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3</v>
      </c>
      <c r="K16" s="19">
        <v>55</v>
      </c>
      <c r="L16" s="3"/>
      <c r="M16" s="3">
        <v>62</v>
      </c>
      <c r="N16" s="3">
        <v>65</v>
      </c>
      <c r="O16" s="3">
        <v>70</v>
      </c>
      <c r="P16" s="3"/>
      <c r="Q16" s="3"/>
      <c r="R16" s="3"/>
      <c r="S16" s="4">
        <f t="shared" si="0"/>
        <v>65.666666666666671</v>
      </c>
      <c r="T16" s="3"/>
      <c r="U16" s="44">
        <f t="shared" si="1"/>
        <v>65.666666666666671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65.666666666666671</v>
      </c>
      <c r="AO16" s="5" t="str">
        <f t="shared" si="8"/>
        <v/>
      </c>
      <c r="AP16" s="48">
        <f t="shared" si="9"/>
        <v>65.666666666666671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>
        <v>11</v>
      </c>
      <c r="K17" s="19">
        <v>35</v>
      </c>
      <c r="L17" s="3"/>
      <c r="M17" s="3">
        <v>0</v>
      </c>
      <c r="N17" s="3">
        <v>60</v>
      </c>
      <c r="O17" s="3">
        <v>56</v>
      </c>
      <c r="P17" s="3"/>
      <c r="Q17" s="3"/>
      <c r="R17" s="3"/>
      <c r="S17" s="4">
        <f t="shared" si="0"/>
        <v>38.666666666666664</v>
      </c>
      <c r="T17" s="3"/>
      <c r="U17" s="44">
        <f t="shared" si="1"/>
        <v>38.666666666666664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38.666666666666664</v>
      </c>
      <c r="AO17" s="5" t="str">
        <f t="shared" si="8"/>
        <v/>
      </c>
      <c r="AP17" s="48">
        <f t="shared" si="9"/>
        <v>38.666666666666664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12</v>
      </c>
      <c r="K18" s="19">
        <v>63</v>
      </c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>
        <v>4</v>
      </c>
      <c r="K19" s="19">
        <v>61</v>
      </c>
      <c r="L19" s="3"/>
      <c r="M19" s="3">
        <v>38</v>
      </c>
      <c r="N19" s="3">
        <v>41</v>
      </c>
      <c r="O19" s="3">
        <v>44</v>
      </c>
      <c r="P19" s="3"/>
      <c r="Q19" s="3"/>
      <c r="R19" s="3"/>
      <c r="S19" s="4">
        <f t="shared" si="0"/>
        <v>41</v>
      </c>
      <c r="T19" s="3"/>
      <c r="U19" s="44">
        <f t="shared" si="1"/>
        <v>41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41</v>
      </c>
      <c r="AO19" s="5" t="str">
        <f t="shared" si="8"/>
        <v/>
      </c>
      <c r="AP19" s="48">
        <f t="shared" si="9"/>
        <v>41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>
        <v>4</v>
      </c>
      <c r="K20" s="19">
        <v>95</v>
      </c>
      <c r="L20" s="3"/>
      <c r="M20" s="3">
        <v>64</v>
      </c>
      <c r="N20" s="3">
        <v>98</v>
      </c>
      <c r="O20" s="3">
        <v>100</v>
      </c>
      <c r="P20" s="3"/>
      <c r="Q20" s="3"/>
      <c r="R20" s="3"/>
      <c r="S20" s="4">
        <f t="shared" si="0"/>
        <v>87.333333333333329</v>
      </c>
      <c r="T20" s="3"/>
      <c r="U20" s="44">
        <f t="shared" si="1"/>
        <v>87.333333333333329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87.333333333333329</v>
      </c>
      <c r="AO20" s="5" t="str">
        <f t="shared" si="8"/>
        <v/>
      </c>
      <c r="AP20" s="48">
        <f t="shared" si="9"/>
        <v>87.333333333333329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>
        <v>4</v>
      </c>
      <c r="K21" s="19">
        <v>67</v>
      </c>
      <c r="L21" s="3"/>
      <c r="M21" s="3">
        <v>64</v>
      </c>
      <c r="N21" s="3">
        <v>75</v>
      </c>
      <c r="O21" s="3">
        <v>80</v>
      </c>
      <c r="P21" s="3"/>
      <c r="Q21" s="3"/>
      <c r="R21" s="3"/>
      <c r="S21" s="4">
        <f t="shared" si="0"/>
        <v>73</v>
      </c>
      <c r="T21" s="3"/>
      <c r="U21" s="44">
        <f t="shared" si="1"/>
        <v>73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73</v>
      </c>
      <c r="AO21" s="5" t="str">
        <f t="shared" si="8"/>
        <v/>
      </c>
      <c r="AP21" s="48">
        <f t="shared" si="9"/>
        <v>73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>
        <v>11</v>
      </c>
      <c r="K22" s="19">
        <v>35</v>
      </c>
      <c r="L22" s="3"/>
      <c r="M22" s="3">
        <v>0</v>
      </c>
      <c r="N22" s="3">
        <v>56</v>
      </c>
      <c r="O22" s="3">
        <v>36</v>
      </c>
      <c r="P22" s="3"/>
      <c r="Q22" s="3"/>
      <c r="R22" s="3"/>
      <c r="S22" s="4">
        <f t="shared" si="0"/>
        <v>30.666666666666668</v>
      </c>
      <c r="T22" s="3"/>
      <c r="U22" s="44">
        <f t="shared" si="1"/>
        <v>30.666666666666668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30.666666666666668</v>
      </c>
      <c r="AO22" s="5" t="str">
        <f t="shared" si="8"/>
        <v/>
      </c>
      <c r="AP22" s="48">
        <f t="shared" si="9"/>
        <v>30.666666666666668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>
        <v>9</v>
      </c>
      <c r="K23" s="19">
        <v>41</v>
      </c>
      <c r="L23" s="3"/>
      <c r="M23" s="3">
        <v>23</v>
      </c>
      <c r="N23" s="3">
        <v>34</v>
      </c>
      <c r="O23" s="3">
        <v>40</v>
      </c>
      <c r="P23" s="3"/>
      <c r="Q23" s="3"/>
      <c r="R23" s="3"/>
      <c r="S23" s="4">
        <f t="shared" si="0"/>
        <v>32.333333333333336</v>
      </c>
      <c r="T23" s="3"/>
      <c r="U23" s="44">
        <f t="shared" si="1"/>
        <v>32.333333333333336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32.333333333333336</v>
      </c>
      <c r="AO23" s="5" t="str">
        <f t="shared" si="8"/>
        <v/>
      </c>
      <c r="AP23" s="48">
        <f t="shared" si="9"/>
        <v>32.333333333333336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>
        <v>67</v>
      </c>
      <c r="L24" s="3"/>
      <c r="M24" s="3">
        <v>0</v>
      </c>
      <c r="N24" s="3">
        <v>11</v>
      </c>
      <c r="O24" s="3">
        <v>60</v>
      </c>
      <c r="P24" s="3"/>
      <c r="Q24" s="3"/>
      <c r="R24" s="3"/>
      <c r="S24" s="4">
        <f t="shared" si="0"/>
        <v>23.666666666666668</v>
      </c>
      <c r="T24" s="3"/>
      <c r="U24" s="44">
        <f t="shared" si="1"/>
        <v>23.666666666666668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23.666666666666668</v>
      </c>
      <c r="AO24" s="5" t="str">
        <f t="shared" si="8"/>
        <v/>
      </c>
      <c r="AP24" s="48">
        <f t="shared" si="9"/>
        <v>23.666666666666668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>
        <v>71</v>
      </c>
      <c r="L25" s="3"/>
      <c r="M25" s="3">
        <v>96</v>
      </c>
      <c r="N25" s="3">
        <v>37</v>
      </c>
      <c r="O25" s="3">
        <v>52</v>
      </c>
      <c r="P25" s="3"/>
      <c r="Q25" s="3"/>
      <c r="R25" s="3"/>
      <c r="S25" s="4">
        <f t="shared" si="0"/>
        <v>61.666666666666664</v>
      </c>
      <c r="T25" s="3"/>
      <c r="U25" s="44">
        <f t="shared" si="1"/>
        <v>61.666666666666664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61.666666666666664</v>
      </c>
      <c r="AO25" s="5" t="str">
        <f t="shared" si="8"/>
        <v/>
      </c>
      <c r="AP25" s="48">
        <f t="shared" si="9"/>
        <v>61.666666666666664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>
        <f t="shared" ref="K56:AQ56" si="10">IFERROR(AVERAGE(K6:K55),"")</f>
        <v>54.65</v>
      </c>
      <c r="L56" s="31" t="str">
        <f t="shared" si="10"/>
        <v/>
      </c>
      <c r="M56" s="31">
        <f t="shared" si="10"/>
        <v>48.05263157894737</v>
      </c>
      <c r="N56" s="31">
        <f t="shared" si="10"/>
        <v>58.421052631578945</v>
      </c>
      <c r="O56" s="31">
        <f t="shared" si="10"/>
        <v>61.315789473684212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55.9298245614035</v>
      </c>
      <c r="T56" s="31" t="str">
        <f t="shared" si="10"/>
        <v/>
      </c>
      <c r="U56" s="31">
        <f t="shared" si="10"/>
        <v>55.9298245614035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55.9298245614035</v>
      </c>
      <c r="AO56" s="31" t="str">
        <f t="shared" si="10"/>
        <v/>
      </c>
      <c r="AP56" s="31">
        <f t="shared" si="10"/>
        <v>55.9298245614035</v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2</v>
      </c>
      <c r="L58" s="57">
        <f t="shared" si="11"/>
        <v>0</v>
      </c>
      <c r="M58" s="57">
        <f t="shared" si="11"/>
        <v>4</v>
      </c>
      <c r="N58" s="57">
        <f t="shared" si="11"/>
        <v>4</v>
      </c>
      <c r="O58" s="57">
        <f t="shared" si="11"/>
        <v>4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4</v>
      </c>
      <c r="T58" s="57">
        <f t="shared" si="11"/>
        <v>0</v>
      </c>
      <c r="U58" s="34">
        <f t="shared" si="11"/>
        <v>4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4</v>
      </c>
      <c r="AO58" s="37">
        <f t="shared" si="11"/>
        <v>0</v>
      </c>
      <c r="AP58" s="37">
        <f t="shared" si="11"/>
        <v>4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6</v>
      </c>
      <c r="L59" s="6">
        <f t="shared" si="12"/>
        <v>0</v>
      </c>
      <c r="M59" s="6">
        <f t="shared" si="12"/>
        <v>3</v>
      </c>
      <c r="N59" s="6">
        <f t="shared" si="12"/>
        <v>4</v>
      </c>
      <c r="O59" s="6">
        <f t="shared" si="12"/>
        <v>4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5</v>
      </c>
      <c r="T59" s="6">
        <f t="shared" si="12"/>
        <v>0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5</v>
      </c>
      <c r="AO59" s="7">
        <f t="shared" si="12"/>
        <v>0</v>
      </c>
      <c r="AP59" s="7">
        <f t="shared" si="12"/>
        <v>5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12</v>
      </c>
      <c r="L60" s="6">
        <f t="shared" si="13"/>
        <v>0</v>
      </c>
      <c r="M60" s="6">
        <f t="shared" si="13"/>
        <v>8</v>
      </c>
      <c r="N60" s="6">
        <f t="shared" si="13"/>
        <v>10</v>
      </c>
      <c r="O60" s="6">
        <f t="shared" si="13"/>
        <v>11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9</v>
      </c>
      <c r="T60" s="6">
        <f t="shared" si="13"/>
        <v>0</v>
      </c>
      <c r="U60" s="8">
        <f t="shared" si="13"/>
        <v>9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9</v>
      </c>
      <c r="AO60" s="7">
        <f t="shared" si="13"/>
        <v>0</v>
      </c>
      <c r="AP60" s="7">
        <f t="shared" si="13"/>
        <v>9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4</v>
      </c>
      <c r="N61" s="6">
        <f t="shared" si="14"/>
        <v>1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1</v>
      </c>
      <c r="T61" s="6">
        <f t="shared" si="14"/>
        <v>0</v>
      </c>
      <c r="U61" s="8">
        <f t="shared" si="14"/>
        <v>1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1</v>
      </c>
      <c r="AO61" s="7">
        <f t="shared" si="14"/>
        <v>0</v>
      </c>
      <c r="AP61" s="7">
        <f t="shared" si="14"/>
        <v>1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19</v>
      </c>
      <c r="N62" s="38">
        <f t="shared" si="15"/>
        <v>19</v>
      </c>
      <c r="O62" s="38">
        <f t="shared" si="15"/>
        <v>19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19</v>
      </c>
      <c r="T62" s="38">
        <f t="shared" si="15"/>
        <v>0</v>
      </c>
      <c r="U62" s="38">
        <f t="shared" si="15"/>
        <v>19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19</v>
      </c>
      <c r="AO62" s="38">
        <f t="shared" si="15"/>
        <v>0</v>
      </c>
      <c r="AP62" s="38">
        <f t="shared" si="15"/>
        <v>19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>
        <f>IFERROR(K58*100/K62,"")</f>
        <v>10</v>
      </c>
      <c r="L63" s="64" t="str">
        <f t="shared" ref="L63:AQ63" si="17">IFERROR(L58*100/L62,"")</f>
        <v/>
      </c>
      <c r="M63" s="64">
        <f t="shared" si="17"/>
        <v>21.05263157894737</v>
      </c>
      <c r="N63" s="64">
        <f t="shared" si="17"/>
        <v>21.05263157894737</v>
      </c>
      <c r="O63" s="64">
        <f t="shared" si="17"/>
        <v>21.05263157894737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21.05263157894737</v>
      </c>
      <c r="T63" s="64" t="str">
        <f t="shared" si="17"/>
        <v/>
      </c>
      <c r="U63" s="44">
        <f t="shared" si="17"/>
        <v>21.05263157894737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21.05263157894737</v>
      </c>
      <c r="AO63" s="48" t="str">
        <f t="shared" si="17"/>
        <v/>
      </c>
      <c r="AP63" s="48">
        <f t="shared" si="17"/>
        <v>21.05263157894737</v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>
        <f>IFERROR(K59*100/K62,"")</f>
        <v>30</v>
      </c>
      <c r="L64" s="66" t="str">
        <f t="shared" ref="L64:AQ64" si="18">IFERROR(L59*100/L62,"")</f>
        <v/>
      </c>
      <c r="M64" s="66">
        <f t="shared" si="18"/>
        <v>15.789473684210526</v>
      </c>
      <c r="N64" s="66">
        <f t="shared" si="18"/>
        <v>21.05263157894737</v>
      </c>
      <c r="O64" s="66">
        <f t="shared" si="18"/>
        <v>21.05263157894737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26.315789473684209</v>
      </c>
      <c r="T64" s="66" t="str">
        <f t="shared" si="18"/>
        <v/>
      </c>
      <c r="U64" s="4">
        <f t="shared" si="18"/>
        <v>26.315789473684209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26.315789473684209</v>
      </c>
      <c r="AO64" s="5" t="str">
        <f t="shared" si="18"/>
        <v/>
      </c>
      <c r="AP64" s="5">
        <f t="shared" si="18"/>
        <v>26.315789473684209</v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>
        <f>IFERROR(K60*100/K62,"")</f>
        <v>60</v>
      </c>
      <c r="L65" s="66" t="str">
        <f t="shared" ref="L65:AQ65" si="19">IFERROR(L60*100/L62,"")</f>
        <v/>
      </c>
      <c r="M65" s="66">
        <f t="shared" si="19"/>
        <v>42.10526315789474</v>
      </c>
      <c r="N65" s="66">
        <f t="shared" si="19"/>
        <v>52.631578947368418</v>
      </c>
      <c r="O65" s="66">
        <f t="shared" si="19"/>
        <v>57.89473684210526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47.368421052631582</v>
      </c>
      <c r="T65" s="66" t="str">
        <f t="shared" si="19"/>
        <v/>
      </c>
      <c r="U65" s="4">
        <f t="shared" si="19"/>
        <v>47.368421052631582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47.368421052631582</v>
      </c>
      <c r="AO65" s="5" t="str">
        <f t="shared" si="19"/>
        <v/>
      </c>
      <c r="AP65" s="5">
        <f t="shared" si="19"/>
        <v>47.368421052631582</v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>
        <f>IFERROR(K61*100/K62,"")</f>
        <v>0</v>
      </c>
      <c r="L66" s="68" t="str">
        <f t="shared" ref="L66:AQ66" si="20">IFERROR(L61*100/L62,"")</f>
        <v/>
      </c>
      <c r="M66" s="68">
        <f t="shared" si="20"/>
        <v>21.05263157894737</v>
      </c>
      <c r="N66" s="68">
        <f t="shared" si="20"/>
        <v>5.2631578947368425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5.2631578947368425</v>
      </c>
      <c r="T66" s="68" t="str">
        <f t="shared" si="20"/>
        <v/>
      </c>
      <c r="U66" s="69">
        <f t="shared" si="20"/>
        <v>5.2631578947368425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5.2631578947368425</v>
      </c>
      <c r="AO66" s="73" t="str">
        <f t="shared" si="20"/>
        <v/>
      </c>
      <c r="AP66" s="73">
        <f t="shared" si="20"/>
        <v>5.2631578947368425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185" t="s">
        <v>29</v>
      </c>
      <c r="C69" s="183">
        <f>C2</f>
        <v>8</v>
      </c>
      <c r="D69" s="185" t="s">
        <v>41</v>
      </c>
      <c r="E69" s="186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İkinci xarici dil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 t="str">
        <f>AB2</f>
        <v>Ələkbərova Tamila Səməd, Həsənova Kəmalə Faiq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34.340000000000003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84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7" t="s">
        <v>29</v>
      </c>
      <c r="C156" s="187" t="s">
        <v>41</v>
      </c>
      <c r="D156" s="187" t="s">
        <v>30</v>
      </c>
      <c r="E156" s="187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7">
        <f>C2</f>
        <v>8</v>
      </c>
      <c r="C157" s="187" t="str">
        <f>E2</f>
        <v>e</v>
      </c>
      <c r="D157" s="187" t="str">
        <f>N2</f>
        <v>İkinci xarici dil</v>
      </c>
      <c r="E157" s="187" t="str">
        <f>AB2</f>
        <v>Ələkbərova Tamila Səməd, Həsənova Kəmalə Faiq</v>
      </c>
      <c r="F157" s="187">
        <f>AP2</f>
        <v>34.340000000000003</v>
      </c>
      <c r="G157" s="187" t="str">
        <f>H2</f>
        <v>Azərbaycan</v>
      </c>
      <c r="H157" s="187">
        <f>COUNTIF(F6:F55,"k")</f>
        <v>13</v>
      </c>
      <c r="I157" s="187">
        <f>COUNTIF(F6:F55,"q")</f>
        <v>7</v>
      </c>
      <c r="J157" s="187">
        <f>SUM(H157:I157)</f>
        <v>20</v>
      </c>
      <c r="K157" s="2">
        <f>(K158*100)/(F157*H157)</f>
        <v>9.6321849379508073</v>
      </c>
      <c r="L157" s="2">
        <f>(L158*100)/(F157*I157)</f>
        <v>9.5681837091272151</v>
      </c>
      <c r="M157" s="2">
        <f>(M158*100)/(F157*J157)</f>
        <v>9.6097845078625497</v>
      </c>
      <c r="N157" s="2">
        <f>K56</f>
        <v>54.65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55.9298245614035</v>
      </c>
      <c r="S157" s="2" t="str">
        <f>T56</f>
        <v/>
      </c>
      <c r="T157" s="2">
        <f>U56</f>
        <v>55.9298245614035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55.9298245614035</v>
      </c>
      <c r="AD157" s="2" t="str">
        <f t="shared" si="21"/>
        <v/>
      </c>
      <c r="AE157" s="2">
        <f t="shared" si="21"/>
        <v>55.9298245614035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187">
        <f>SUMIFS(J6:J55,F6:F55,"k")</f>
        <v>43</v>
      </c>
      <c r="L158" s="187">
        <f>SUMIFS(J6:J55,F6:F55,"q")</f>
        <v>23</v>
      </c>
      <c r="M158" s="187">
        <f>SUM(K158:L158)</f>
        <v>66</v>
      </c>
      <c r="N158" s="2">
        <f>(SUMIFS(K6:K55,F6:F55,"k"))/(COUNTIF(F6:F55,"k"))</f>
        <v>49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44.512820512820511</v>
      </c>
      <c r="S158" s="2">
        <f>(SUMIFS(T6:T55,F6:F55,"k"))/(COUNTIF(F6:F55,"k"))</f>
        <v>0</v>
      </c>
      <c r="T158" s="2">
        <f>(SUMIFS(U6:U55,F6:F55,"k"))/(COUNTIF(F6:F55,"k"))</f>
        <v>44.512820512820511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44.512820512820511</v>
      </c>
      <c r="AD158" s="2">
        <f t="shared" si="22"/>
        <v>0</v>
      </c>
      <c r="AE158" s="2">
        <f t="shared" si="22"/>
        <v>44.512820512820511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65.142857142857139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69.142857142857139</v>
      </c>
      <c r="S159" s="2">
        <f>(SUMIFS(T6:T55,F6:F55,"q"))/(COUNTIF(F6:F55,"q"))</f>
        <v>0</v>
      </c>
      <c r="T159" s="2">
        <f>(SUMIFS(U6:U55,F6:F55,"q"))/(COUNTIF(F6:F55,"q"))</f>
        <v>69.142857142857139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69.142857142857139</v>
      </c>
      <c r="AD159" s="2">
        <f t="shared" ref="AD159:AE159" si="23">(SUMIFS(AO6:AO55,$F$6:$F$55,"q"))/(COUNTIF($F$6:$F$55,"q"))</f>
        <v>0</v>
      </c>
      <c r="AE159" s="2">
        <f t="shared" si="23"/>
        <v>69.142857142857139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>
        <f>K63</f>
        <v>10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21.05263157894737</v>
      </c>
      <c r="S160" s="2" t="str">
        <f>T63</f>
        <v/>
      </c>
      <c r="T160" s="2">
        <f>U63</f>
        <v>21.05263157894737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21.05263157894737</v>
      </c>
      <c r="AD160" s="2" t="str">
        <f t="shared" si="24"/>
        <v/>
      </c>
      <c r="AE160" s="2">
        <f t="shared" si="24"/>
        <v>21.05263157894737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>
        <f t="shared" ref="N161:O163" si="25">K64</f>
        <v>30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26.315789473684209</v>
      </c>
      <c r="S161" s="2" t="str">
        <f t="shared" si="27"/>
        <v/>
      </c>
      <c r="T161" s="2">
        <f t="shared" si="27"/>
        <v>26.315789473684209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26.315789473684209</v>
      </c>
      <c r="AD161" s="2" t="str">
        <f t="shared" si="24"/>
        <v/>
      </c>
      <c r="AE161" s="2">
        <f t="shared" si="24"/>
        <v>26.315789473684209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>
        <f t="shared" si="25"/>
        <v>60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47.368421052631582</v>
      </c>
      <c r="S162" s="2" t="str">
        <f t="shared" si="27"/>
        <v/>
      </c>
      <c r="T162" s="2">
        <f t="shared" si="27"/>
        <v>47.368421052631582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47.368421052631582</v>
      </c>
      <c r="AD162" s="2" t="str">
        <f t="shared" si="24"/>
        <v/>
      </c>
      <c r="AE162" s="2">
        <f t="shared" si="24"/>
        <v>47.368421052631582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5.2631578947368425</v>
      </c>
      <c r="S163" s="2" t="str">
        <f t="shared" si="27"/>
        <v/>
      </c>
      <c r="T163" s="2">
        <f t="shared" si="27"/>
        <v>5.2631578947368425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5.2631578947368425</v>
      </c>
      <c r="AD163" s="2" t="str">
        <f t="shared" si="24"/>
        <v/>
      </c>
      <c r="AE163" s="2">
        <f t="shared" si="24"/>
        <v>5.2631578947368425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  <row r="500" spans="3:3" ht="181.5" hidden="1" x14ac:dyDescent="0.25">
      <c r="C500" s="187" t="s">
        <v>110</v>
      </c>
    </row>
  </sheetData>
  <mergeCells count="41"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6" zoomScale="93" zoomScaleNormal="93" workbookViewId="0">
      <selection activeCell="K23" sqref="K23"/>
    </sheetView>
  </sheetViews>
  <sheetFormatPr defaultColWidth="8.85546875" defaultRowHeight="16.5" x14ac:dyDescent="0.25"/>
  <cols>
    <col min="1" max="1" width="1.5703125" style="192" customWidth="1"/>
    <col min="2" max="2" width="9.7109375" style="192" customWidth="1"/>
    <col min="3" max="5" width="20.7109375" style="192" customWidth="1"/>
    <col min="6" max="6" width="6.85546875" style="192" customWidth="1"/>
    <col min="7" max="8" width="5.7109375" style="192" customWidth="1"/>
    <col min="9" max="9" width="8.7109375" style="192" customWidth="1"/>
    <col min="10" max="10" width="9.28515625" style="192" customWidth="1"/>
    <col min="11" max="43" width="6.85546875" style="192" customWidth="1"/>
    <col min="44" max="44" width="1.5703125" style="192" customWidth="1"/>
    <col min="45" max="16384" width="8.85546875" style="192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189" t="s">
        <v>29</v>
      </c>
      <c r="C2" s="191">
        <f>Şagirdlər!D2</f>
        <v>8</v>
      </c>
      <c r="D2" s="189" t="s">
        <v>41</v>
      </c>
      <c r="E2" s="190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Müəllimlər!C9</f>
        <v>Riyaziyyat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 t="str">
        <f>Müəllimlər!D9</f>
        <v>Məhərrəmova Cəmilə Kərəm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Müəllimlər!E9</f>
        <v>170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93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94" t="s">
        <v>38</v>
      </c>
      <c r="H5" s="194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>
        <v>6</v>
      </c>
      <c r="K6" s="42">
        <v>40</v>
      </c>
      <c r="L6" s="43"/>
      <c r="M6" s="43">
        <v>40</v>
      </c>
      <c r="N6" s="43">
        <v>35</v>
      </c>
      <c r="O6" s="43">
        <v>40</v>
      </c>
      <c r="P6" s="43">
        <v>33</v>
      </c>
      <c r="Q6" s="43">
        <v>43</v>
      </c>
      <c r="R6" s="43"/>
      <c r="S6" s="44">
        <f>IFERROR(AVERAGE(M6:R6),"")</f>
        <v>38.200000000000003</v>
      </c>
      <c r="T6" s="43">
        <v>31</v>
      </c>
      <c r="U6" s="44">
        <f>IF(T6="",S6,IF(S6="",T6,S6*40/100+T6*60/100))</f>
        <v>33.880000000000003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38.200000000000003</v>
      </c>
      <c r="AO6" s="48">
        <f>IFERROR(AVERAGE(T6,AG6),"")</f>
        <v>31</v>
      </c>
      <c r="AP6" s="48">
        <f>IF(AO6="",AN6,IF(AN6="",AO6,AN6*40/100+AO6*60/100))</f>
        <v>33.880000000000003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>
        <v>4</v>
      </c>
      <c r="K7" s="19">
        <v>49</v>
      </c>
      <c r="L7" s="3"/>
      <c r="M7" s="3">
        <v>40</v>
      </c>
      <c r="N7" s="3">
        <v>32</v>
      </c>
      <c r="O7" s="3">
        <v>40</v>
      </c>
      <c r="P7" s="3">
        <v>37</v>
      </c>
      <c r="Q7" s="3">
        <v>35</v>
      </c>
      <c r="R7" s="3"/>
      <c r="S7" s="4">
        <f t="shared" ref="S7:S55" si="0">IFERROR(AVERAGE(M7:R7),"")</f>
        <v>36.799999999999997</v>
      </c>
      <c r="T7" s="3">
        <v>37</v>
      </c>
      <c r="U7" s="44">
        <f t="shared" ref="U7:U55" si="1">IF(T7="",S7,IF(S7="",T7,S7*40/100+T7*60/100))</f>
        <v>36.92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36.799999999999997</v>
      </c>
      <c r="AO7" s="5">
        <f t="shared" si="8"/>
        <v>37</v>
      </c>
      <c r="AP7" s="48">
        <f t="shared" ref="AP7:AP55" si="9">IF(AO7="",AN7,IF(AN7="",AO7,AN7*40/100+AO7*60/100))</f>
        <v>36.92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>
        <v>6</v>
      </c>
      <c r="K8" s="19">
        <v>55</v>
      </c>
      <c r="L8" s="3"/>
      <c r="M8" s="3">
        <v>45</v>
      </c>
      <c r="N8" s="3">
        <v>32</v>
      </c>
      <c r="O8" s="3">
        <v>40</v>
      </c>
      <c r="P8" s="3">
        <v>34</v>
      </c>
      <c r="Q8" s="3">
        <v>38</v>
      </c>
      <c r="R8" s="3"/>
      <c r="S8" s="4">
        <f t="shared" si="0"/>
        <v>37.799999999999997</v>
      </c>
      <c r="T8" s="3">
        <v>40</v>
      </c>
      <c r="U8" s="44">
        <f t="shared" si="1"/>
        <v>39.119999999999997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37.799999999999997</v>
      </c>
      <c r="AO8" s="5">
        <f t="shared" si="8"/>
        <v>40</v>
      </c>
      <c r="AP8" s="48">
        <f t="shared" si="9"/>
        <v>39.119999999999997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5</v>
      </c>
      <c r="K9" s="19">
        <v>69</v>
      </c>
      <c r="L9" s="3"/>
      <c r="M9" s="3">
        <v>35</v>
      </c>
      <c r="N9" s="3">
        <v>31</v>
      </c>
      <c r="O9" s="3">
        <v>50</v>
      </c>
      <c r="P9" s="3">
        <v>41</v>
      </c>
      <c r="Q9" s="3">
        <v>46</v>
      </c>
      <c r="R9" s="3"/>
      <c r="S9" s="4">
        <f t="shared" si="0"/>
        <v>40.6</v>
      </c>
      <c r="T9" s="3">
        <v>31</v>
      </c>
      <c r="U9" s="44">
        <f t="shared" si="1"/>
        <v>34.840000000000003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40.6</v>
      </c>
      <c r="AO9" s="5">
        <f t="shared" si="8"/>
        <v>31</v>
      </c>
      <c r="AP9" s="48">
        <f t="shared" si="9"/>
        <v>34.840000000000003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148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>
        <v>2</v>
      </c>
      <c r="K10" s="19">
        <v>47</v>
      </c>
      <c r="L10" s="3"/>
      <c r="M10" s="3">
        <v>51</v>
      </c>
      <c r="N10" s="3">
        <v>45</v>
      </c>
      <c r="O10" s="3">
        <v>65</v>
      </c>
      <c r="P10" s="3">
        <v>61</v>
      </c>
      <c r="Q10" s="3">
        <v>62</v>
      </c>
      <c r="R10" s="3"/>
      <c r="S10" s="4">
        <f t="shared" si="0"/>
        <v>56.8</v>
      </c>
      <c r="T10" s="3">
        <v>63</v>
      </c>
      <c r="U10" s="44">
        <f t="shared" si="1"/>
        <v>60.519999999999996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56.8</v>
      </c>
      <c r="AO10" s="5">
        <f t="shared" si="8"/>
        <v>63</v>
      </c>
      <c r="AP10" s="48">
        <f t="shared" si="9"/>
        <v>60.519999999999996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>
        <v>95</v>
      </c>
      <c r="L11" s="3"/>
      <c r="M11" s="3">
        <v>90</v>
      </c>
      <c r="N11" s="3">
        <v>100</v>
      </c>
      <c r="O11" s="3">
        <v>90</v>
      </c>
      <c r="P11" s="3">
        <v>96</v>
      </c>
      <c r="Q11" s="3">
        <v>91</v>
      </c>
      <c r="R11" s="3"/>
      <c r="S11" s="4">
        <f t="shared" si="0"/>
        <v>93.4</v>
      </c>
      <c r="T11" s="3">
        <v>90</v>
      </c>
      <c r="U11" s="44">
        <f t="shared" si="1"/>
        <v>91.36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93.4</v>
      </c>
      <c r="AO11" s="5">
        <f t="shared" si="8"/>
        <v>90</v>
      </c>
      <c r="AP11" s="48">
        <f t="shared" si="9"/>
        <v>91.36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>
        <v>2</v>
      </c>
      <c r="K12" s="19">
        <v>38</v>
      </c>
      <c r="L12" s="3"/>
      <c r="M12" s="3">
        <v>40</v>
      </c>
      <c r="N12" s="3">
        <v>36</v>
      </c>
      <c r="O12" s="3">
        <v>50</v>
      </c>
      <c r="P12" s="3">
        <v>64</v>
      </c>
      <c r="Q12" s="3">
        <v>61</v>
      </c>
      <c r="R12" s="3"/>
      <c r="S12" s="4">
        <f t="shared" si="0"/>
        <v>50.2</v>
      </c>
      <c r="T12" s="3">
        <v>63</v>
      </c>
      <c r="U12" s="44">
        <f t="shared" si="1"/>
        <v>57.879999999999995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50.2</v>
      </c>
      <c r="AO12" s="5">
        <f t="shared" si="8"/>
        <v>63</v>
      </c>
      <c r="AP12" s="48">
        <f t="shared" si="9"/>
        <v>57.879999999999995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>
        <v>12</v>
      </c>
      <c r="K13" s="19">
        <v>33</v>
      </c>
      <c r="L13" s="3"/>
      <c r="M13" s="3">
        <v>31</v>
      </c>
      <c r="N13" s="3">
        <v>34</v>
      </c>
      <c r="O13" s="3">
        <v>35</v>
      </c>
      <c r="P13" s="3">
        <v>31</v>
      </c>
      <c r="Q13" s="3">
        <v>32</v>
      </c>
      <c r="R13" s="3"/>
      <c r="S13" s="4">
        <f t="shared" si="0"/>
        <v>32.6</v>
      </c>
      <c r="T13" s="3">
        <v>35</v>
      </c>
      <c r="U13" s="44">
        <f t="shared" si="1"/>
        <v>34.04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32.6</v>
      </c>
      <c r="AO13" s="5">
        <f t="shared" si="8"/>
        <v>35</v>
      </c>
      <c r="AP13" s="48">
        <f t="shared" si="9"/>
        <v>34.04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3</v>
      </c>
      <c r="K14" s="19">
        <v>55</v>
      </c>
      <c r="L14" s="3"/>
      <c r="M14" s="3">
        <v>55</v>
      </c>
      <c r="N14" s="3">
        <v>40</v>
      </c>
      <c r="O14" s="3">
        <v>50</v>
      </c>
      <c r="P14" s="3">
        <v>62</v>
      </c>
      <c r="Q14" s="3">
        <v>63</v>
      </c>
      <c r="R14" s="3"/>
      <c r="S14" s="4">
        <f t="shared" si="0"/>
        <v>54</v>
      </c>
      <c r="T14" s="3">
        <v>66</v>
      </c>
      <c r="U14" s="44">
        <f t="shared" si="1"/>
        <v>61.2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54</v>
      </c>
      <c r="AO14" s="5">
        <f t="shared" si="8"/>
        <v>66</v>
      </c>
      <c r="AP14" s="48">
        <f t="shared" si="9"/>
        <v>61.2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>
        <v>2</v>
      </c>
      <c r="K15" s="19">
        <v>51</v>
      </c>
      <c r="L15" s="3"/>
      <c r="M15" s="3">
        <v>31</v>
      </c>
      <c r="N15" s="3">
        <v>45</v>
      </c>
      <c r="O15" s="3">
        <v>45</v>
      </c>
      <c r="P15" s="3">
        <v>65</v>
      </c>
      <c r="Q15" s="3">
        <v>67</v>
      </c>
      <c r="R15" s="3"/>
      <c r="S15" s="4">
        <f t="shared" si="0"/>
        <v>50.6</v>
      </c>
      <c r="T15" s="3">
        <v>61</v>
      </c>
      <c r="U15" s="44">
        <f t="shared" si="1"/>
        <v>56.84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50.6</v>
      </c>
      <c r="AO15" s="5">
        <f t="shared" si="8"/>
        <v>61</v>
      </c>
      <c r="AP15" s="48">
        <f t="shared" si="9"/>
        <v>56.84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5</v>
      </c>
      <c r="K16" s="19">
        <v>42</v>
      </c>
      <c r="L16" s="3"/>
      <c r="M16" s="3">
        <v>35</v>
      </c>
      <c r="N16" s="3">
        <v>40</v>
      </c>
      <c r="O16" s="3">
        <v>45</v>
      </c>
      <c r="P16" s="3">
        <v>61</v>
      </c>
      <c r="Q16" s="3">
        <v>50</v>
      </c>
      <c r="R16" s="3"/>
      <c r="S16" s="4">
        <f t="shared" si="0"/>
        <v>46.2</v>
      </c>
      <c r="T16" s="3">
        <v>61</v>
      </c>
      <c r="U16" s="44">
        <f t="shared" si="1"/>
        <v>55.08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46.2</v>
      </c>
      <c r="AO16" s="5">
        <f t="shared" si="8"/>
        <v>61</v>
      </c>
      <c r="AP16" s="48">
        <f t="shared" si="9"/>
        <v>55.08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>
        <v>11</v>
      </c>
      <c r="K17" s="19">
        <v>35</v>
      </c>
      <c r="L17" s="3"/>
      <c r="M17" s="3">
        <v>33</v>
      </c>
      <c r="N17" s="3">
        <v>35</v>
      </c>
      <c r="O17" s="3">
        <v>35</v>
      </c>
      <c r="P17" s="3">
        <v>31</v>
      </c>
      <c r="Q17" s="3">
        <v>31</v>
      </c>
      <c r="R17" s="3"/>
      <c r="S17" s="4">
        <f t="shared" si="0"/>
        <v>33</v>
      </c>
      <c r="T17" s="3">
        <v>31</v>
      </c>
      <c r="U17" s="44">
        <f t="shared" si="1"/>
        <v>31.8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33</v>
      </c>
      <c r="AO17" s="5">
        <f t="shared" si="8"/>
        <v>31</v>
      </c>
      <c r="AP17" s="48">
        <f t="shared" si="9"/>
        <v>31.8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4</v>
      </c>
      <c r="K18" s="19">
        <v>63</v>
      </c>
      <c r="L18" s="3"/>
      <c r="M18" s="3">
        <v>50</v>
      </c>
      <c r="N18" s="3">
        <v>60</v>
      </c>
      <c r="O18" s="3">
        <v>55</v>
      </c>
      <c r="P18" s="3">
        <v>45</v>
      </c>
      <c r="Q18" s="3">
        <v>43</v>
      </c>
      <c r="R18" s="3"/>
      <c r="S18" s="4">
        <f t="shared" si="0"/>
        <v>50.6</v>
      </c>
      <c r="T18" s="3">
        <v>48</v>
      </c>
      <c r="U18" s="44">
        <f t="shared" si="1"/>
        <v>49.04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50.6</v>
      </c>
      <c r="AO18" s="5">
        <f t="shared" si="8"/>
        <v>48</v>
      </c>
      <c r="AP18" s="48">
        <f t="shared" si="9"/>
        <v>49.04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>
        <v>1</v>
      </c>
      <c r="K19" s="19">
        <v>69</v>
      </c>
      <c r="L19" s="3"/>
      <c r="M19" s="3">
        <v>50</v>
      </c>
      <c r="N19" s="3">
        <v>35</v>
      </c>
      <c r="O19" s="3">
        <v>66</v>
      </c>
      <c r="P19" s="3">
        <v>60</v>
      </c>
      <c r="Q19" s="3">
        <v>61</v>
      </c>
      <c r="R19" s="3"/>
      <c r="S19" s="4">
        <f t="shared" si="0"/>
        <v>54.4</v>
      </c>
      <c r="T19" s="3">
        <v>60</v>
      </c>
      <c r="U19" s="44">
        <f t="shared" si="1"/>
        <v>57.760000000000005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54.4</v>
      </c>
      <c r="AO19" s="5">
        <f t="shared" si="8"/>
        <v>60</v>
      </c>
      <c r="AP19" s="48">
        <f t="shared" si="9"/>
        <v>57.760000000000005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>
        <v>93</v>
      </c>
      <c r="L20" s="3"/>
      <c r="M20" s="3">
        <v>80</v>
      </c>
      <c r="N20" s="3">
        <v>65</v>
      </c>
      <c r="O20" s="3">
        <v>90</v>
      </c>
      <c r="P20" s="3">
        <v>85</v>
      </c>
      <c r="Q20" s="3">
        <v>81</v>
      </c>
      <c r="R20" s="3"/>
      <c r="S20" s="4">
        <f t="shared" si="0"/>
        <v>80.2</v>
      </c>
      <c r="T20" s="3">
        <v>88</v>
      </c>
      <c r="U20" s="44">
        <f t="shared" si="1"/>
        <v>84.88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80.2</v>
      </c>
      <c r="AO20" s="5">
        <f t="shared" si="8"/>
        <v>88</v>
      </c>
      <c r="AP20" s="48">
        <f t="shared" si="9"/>
        <v>84.88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>
        <v>2</v>
      </c>
      <c r="K21" s="19">
        <v>83</v>
      </c>
      <c r="L21" s="3"/>
      <c r="M21" s="3">
        <v>75</v>
      </c>
      <c r="N21" s="3">
        <v>55</v>
      </c>
      <c r="O21" s="3">
        <v>75</v>
      </c>
      <c r="P21" s="3">
        <v>78</v>
      </c>
      <c r="Q21" s="3">
        <v>73</v>
      </c>
      <c r="R21" s="3"/>
      <c r="S21" s="4">
        <f t="shared" si="0"/>
        <v>71.2</v>
      </c>
      <c r="T21" s="3">
        <v>64</v>
      </c>
      <c r="U21" s="44">
        <f t="shared" si="1"/>
        <v>66.88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71.2</v>
      </c>
      <c r="AO21" s="5">
        <f t="shared" si="8"/>
        <v>64</v>
      </c>
      <c r="AP21" s="48">
        <f t="shared" si="9"/>
        <v>66.88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>
        <v>6</v>
      </c>
      <c r="K22" s="19">
        <v>33</v>
      </c>
      <c r="L22" s="3"/>
      <c r="M22" s="3">
        <v>45</v>
      </c>
      <c r="N22" s="3">
        <v>35</v>
      </c>
      <c r="O22" s="3">
        <v>40</v>
      </c>
      <c r="P22" s="3">
        <v>42</v>
      </c>
      <c r="Q22" s="3">
        <v>34</v>
      </c>
      <c r="R22" s="3"/>
      <c r="S22" s="4">
        <f t="shared" si="0"/>
        <v>39.200000000000003</v>
      </c>
      <c r="T22" s="3">
        <v>33</v>
      </c>
      <c r="U22" s="44">
        <f t="shared" si="1"/>
        <v>35.480000000000004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39.200000000000003</v>
      </c>
      <c r="AO22" s="5">
        <f t="shared" si="8"/>
        <v>33</v>
      </c>
      <c r="AP22" s="48">
        <f t="shared" si="9"/>
        <v>35.480000000000004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>
        <v>7</v>
      </c>
      <c r="K23" s="19">
        <v>33</v>
      </c>
      <c r="L23" s="3"/>
      <c r="M23" s="3">
        <v>35</v>
      </c>
      <c r="N23" s="3">
        <v>33</v>
      </c>
      <c r="O23" s="3">
        <v>35</v>
      </c>
      <c r="P23" s="3">
        <v>36</v>
      </c>
      <c r="Q23" s="3">
        <v>31</v>
      </c>
      <c r="R23" s="3"/>
      <c r="S23" s="4">
        <f t="shared" si="0"/>
        <v>34</v>
      </c>
      <c r="T23" s="3">
        <v>34</v>
      </c>
      <c r="U23" s="44">
        <f t="shared" si="1"/>
        <v>34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34</v>
      </c>
      <c r="AO23" s="5">
        <f t="shared" si="8"/>
        <v>34</v>
      </c>
      <c r="AP23" s="48">
        <f t="shared" si="9"/>
        <v>34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>
        <v>61</v>
      </c>
      <c r="L24" s="3"/>
      <c r="M24" s="3">
        <v>62</v>
      </c>
      <c r="N24" s="3">
        <v>68</v>
      </c>
      <c r="O24" s="3">
        <v>50</v>
      </c>
      <c r="P24" s="3">
        <v>61</v>
      </c>
      <c r="Q24" s="3">
        <v>61</v>
      </c>
      <c r="R24" s="3"/>
      <c r="S24" s="4">
        <f t="shared" si="0"/>
        <v>60.4</v>
      </c>
      <c r="T24" s="3">
        <v>62</v>
      </c>
      <c r="U24" s="44">
        <f t="shared" si="1"/>
        <v>61.36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60.4</v>
      </c>
      <c r="AO24" s="5">
        <f t="shared" si="8"/>
        <v>62</v>
      </c>
      <c r="AP24" s="48">
        <f t="shared" si="9"/>
        <v>61.36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>
        <v>67</v>
      </c>
      <c r="L25" s="3"/>
      <c r="M25" s="3">
        <v>70</v>
      </c>
      <c r="N25" s="3">
        <v>68</v>
      </c>
      <c r="O25" s="3">
        <v>75</v>
      </c>
      <c r="P25" s="3">
        <v>78</v>
      </c>
      <c r="Q25" s="3">
        <v>64</v>
      </c>
      <c r="R25" s="3"/>
      <c r="S25" s="4">
        <f t="shared" si="0"/>
        <v>71</v>
      </c>
      <c r="T25" s="3">
        <v>64</v>
      </c>
      <c r="U25" s="44">
        <f t="shared" si="1"/>
        <v>66.8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71</v>
      </c>
      <c r="AO25" s="5">
        <f t="shared" si="8"/>
        <v>64</v>
      </c>
      <c r="AP25" s="48">
        <f t="shared" si="9"/>
        <v>66.8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>
        <f t="shared" ref="K56:AQ56" si="10">IFERROR(AVERAGE(K6:K55),"")</f>
        <v>55.55</v>
      </c>
      <c r="L56" s="31" t="str">
        <f t="shared" si="10"/>
        <v/>
      </c>
      <c r="M56" s="31">
        <f t="shared" si="10"/>
        <v>49.65</v>
      </c>
      <c r="N56" s="31">
        <f t="shared" si="10"/>
        <v>46.2</v>
      </c>
      <c r="O56" s="31">
        <f t="shared" si="10"/>
        <v>53.55</v>
      </c>
      <c r="P56" s="31">
        <f t="shared" si="10"/>
        <v>55.05</v>
      </c>
      <c r="Q56" s="31">
        <f t="shared" si="10"/>
        <v>53.35</v>
      </c>
      <c r="R56" s="31" t="str">
        <f t="shared" si="10"/>
        <v/>
      </c>
      <c r="S56" s="31">
        <f t="shared" si="10"/>
        <v>51.560000000000016</v>
      </c>
      <c r="T56" s="31">
        <f t="shared" si="10"/>
        <v>53.1</v>
      </c>
      <c r="U56" s="31">
        <f t="shared" si="10"/>
        <v>52.484000000000002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51.560000000000016</v>
      </c>
      <c r="AO56" s="31">
        <f t="shared" si="10"/>
        <v>53.1</v>
      </c>
      <c r="AP56" s="31">
        <f t="shared" si="10"/>
        <v>52.484000000000002</v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3</v>
      </c>
      <c r="L58" s="57">
        <f t="shared" si="11"/>
        <v>0</v>
      </c>
      <c r="M58" s="57">
        <f t="shared" si="11"/>
        <v>1</v>
      </c>
      <c r="N58" s="57">
        <f t="shared" si="11"/>
        <v>1</v>
      </c>
      <c r="O58" s="57">
        <f t="shared" si="11"/>
        <v>2</v>
      </c>
      <c r="P58" s="57">
        <f t="shared" si="11"/>
        <v>2</v>
      </c>
      <c r="Q58" s="57">
        <f t="shared" si="11"/>
        <v>2</v>
      </c>
      <c r="R58" s="57">
        <f t="shared" si="11"/>
        <v>0</v>
      </c>
      <c r="S58" s="34">
        <f t="shared" si="11"/>
        <v>2</v>
      </c>
      <c r="T58" s="57">
        <f t="shared" si="11"/>
        <v>2</v>
      </c>
      <c r="U58" s="34">
        <f t="shared" si="11"/>
        <v>2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2</v>
      </c>
      <c r="AP58" s="37">
        <f t="shared" si="11"/>
        <v>2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5</v>
      </c>
      <c r="L59" s="6">
        <f t="shared" si="12"/>
        <v>0</v>
      </c>
      <c r="M59" s="6">
        <f t="shared" si="12"/>
        <v>4</v>
      </c>
      <c r="N59" s="6">
        <f t="shared" si="12"/>
        <v>3</v>
      </c>
      <c r="O59" s="6">
        <f t="shared" si="12"/>
        <v>4</v>
      </c>
      <c r="P59" s="6">
        <f t="shared" si="12"/>
        <v>8</v>
      </c>
      <c r="Q59" s="6">
        <f t="shared" si="12"/>
        <v>8</v>
      </c>
      <c r="R59" s="6">
        <f t="shared" si="12"/>
        <v>0</v>
      </c>
      <c r="S59" s="8">
        <f t="shared" si="12"/>
        <v>3</v>
      </c>
      <c r="T59" s="6">
        <f t="shared" si="12"/>
        <v>8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3</v>
      </c>
      <c r="AO59" s="7">
        <f t="shared" si="12"/>
        <v>8</v>
      </c>
      <c r="AP59" s="7">
        <f t="shared" si="12"/>
        <v>5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12</v>
      </c>
      <c r="L60" s="6">
        <f t="shared" si="13"/>
        <v>0</v>
      </c>
      <c r="M60" s="6">
        <f t="shared" si="13"/>
        <v>15</v>
      </c>
      <c r="N60" s="6">
        <f t="shared" si="13"/>
        <v>16</v>
      </c>
      <c r="O60" s="6">
        <f t="shared" si="13"/>
        <v>14</v>
      </c>
      <c r="P60" s="6">
        <f t="shared" si="13"/>
        <v>10</v>
      </c>
      <c r="Q60" s="6">
        <f t="shared" si="13"/>
        <v>10</v>
      </c>
      <c r="R60" s="6">
        <f t="shared" si="13"/>
        <v>0</v>
      </c>
      <c r="S60" s="8">
        <f t="shared" si="13"/>
        <v>15</v>
      </c>
      <c r="T60" s="6">
        <f t="shared" si="13"/>
        <v>10</v>
      </c>
      <c r="U60" s="8">
        <f t="shared" si="13"/>
        <v>13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10</v>
      </c>
      <c r="AP60" s="7">
        <f t="shared" si="13"/>
        <v>13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20</v>
      </c>
      <c r="Q62" s="38">
        <f t="shared" si="15"/>
        <v>20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>
        <f>IFERROR(K58*100/K62,"")</f>
        <v>15</v>
      </c>
      <c r="L63" s="64" t="str">
        <f t="shared" ref="L63:AQ63" si="17">IFERROR(L58*100/L62,"")</f>
        <v/>
      </c>
      <c r="M63" s="64">
        <f t="shared" si="17"/>
        <v>5</v>
      </c>
      <c r="N63" s="64">
        <f t="shared" si="17"/>
        <v>5</v>
      </c>
      <c r="O63" s="64">
        <f t="shared" si="17"/>
        <v>10</v>
      </c>
      <c r="P63" s="64">
        <f t="shared" si="17"/>
        <v>10</v>
      </c>
      <c r="Q63" s="64">
        <f t="shared" si="17"/>
        <v>10</v>
      </c>
      <c r="R63" s="64" t="str">
        <f t="shared" si="17"/>
        <v/>
      </c>
      <c r="S63" s="44">
        <f t="shared" si="17"/>
        <v>10</v>
      </c>
      <c r="T63" s="64">
        <f t="shared" si="17"/>
        <v>10</v>
      </c>
      <c r="U63" s="44">
        <f t="shared" si="17"/>
        <v>10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10</v>
      </c>
      <c r="AO63" s="48">
        <f t="shared" si="17"/>
        <v>10</v>
      </c>
      <c r="AP63" s="48">
        <f t="shared" si="17"/>
        <v>10</v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>
        <f>IFERROR(K59*100/K62,"")</f>
        <v>25</v>
      </c>
      <c r="L64" s="66" t="str">
        <f t="shared" ref="L64:AQ64" si="18">IFERROR(L59*100/L62,"")</f>
        <v/>
      </c>
      <c r="M64" s="66">
        <f t="shared" si="18"/>
        <v>20</v>
      </c>
      <c r="N64" s="66">
        <f t="shared" si="18"/>
        <v>15</v>
      </c>
      <c r="O64" s="66">
        <f t="shared" si="18"/>
        <v>20</v>
      </c>
      <c r="P64" s="66">
        <f t="shared" si="18"/>
        <v>40</v>
      </c>
      <c r="Q64" s="66">
        <f t="shared" si="18"/>
        <v>40</v>
      </c>
      <c r="R64" s="66" t="str">
        <f t="shared" si="18"/>
        <v/>
      </c>
      <c r="S64" s="4">
        <f t="shared" si="18"/>
        <v>15</v>
      </c>
      <c r="T64" s="66">
        <f t="shared" si="18"/>
        <v>40</v>
      </c>
      <c r="U64" s="4">
        <f t="shared" si="18"/>
        <v>25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15</v>
      </c>
      <c r="AO64" s="5">
        <f t="shared" si="18"/>
        <v>40</v>
      </c>
      <c r="AP64" s="5">
        <f t="shared" si="18"/>
        <v>25</v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>
        <f>IFERROR(K60*100/K62,"")</f>
        <v>60</v>
      </c>
      <c r="L65" s="66" t="str">
        <f t="shared" ref="L65:AQ65" si="19">IFERROR(L60*100/L62,"")</f>
        <v/>
      </c>
      <c r="M65" s="66">
        <f t="shared" si="19"/>
        <v>75</v>
      </c>
      <c r="N65" s="66">
        <f t="shared" si="19"/>
        <v>80</v>
      </c>
      <c r="O65" s="66">
        <f t="shared" si="19"/>
        <v>70</v>
      </c>
      <c r="P65" s="66">
        <f t="shared" si="19"/>
        <v>50</v>
      </c>
      <c r="Q65" s="66">
        <f t="shared" si="19"/>
        <v>50</v>
      </c>
      <c r="R65" s="66" t="str">
        <f t="shared" si="19"/>
        <v/>
      </c>
      <c r="S65" s="4">
        <f t="shared" si="19"/>
        <v>75</v>
      </c>
      <c r="T65" s="66">
        <f t="shared" si="19"/>
        <v>50</v>
      </c>
      <c r="U65" s="4">
        <f t="shared" si="19"/>
        <v>65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75</v>
      </c>
      <c r="AO65" s="5">
        <f t="shared" si="19"/>
        <v>50</v>
      </c>
      <c r="AP65" s="5">
        <f t="shared" si="19"/>
        <v>65</v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>
        <f>IFERROR(K61*100/K62,"")</f>
        <v>0</v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>
        <f t="shared" si="20"/>
        <v>0</v>
      </c>
      <c r="Q66" s="68">
        <f t="shared" si="20"/>
        <v>0</v>
      </c>
      <c r="R66" s="68" t="str">
        <f t="shared" si="20"/>
        <v/>
      </c>
      <c r="S66" s="69">
        <f t="shared" si="20"/>
        <v>0</v>
      </c>
      <c r="T66" s="68">
        <f t="shared" si="20"/>
        <v>0</v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>
        <f t="shared" si="20"/>
        <v>0</v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189" t="s">
        <v>29</v>
      </c>
      <c r="C69" s="191">
        <f>C2</f>
        <v>8</v>
      </c>
      <c r="D69" s="189" t="s">
        <v>41</v>
      </c>
      <c r="E69" s="190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Riyaziyyat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 t="str">
        <f>AB2</f>
        <v>Məhərrəmova Cəmilə Kərəm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170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88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2" t="s">
        <v>29</v>
      </c>
      <c r="C156" s="192" t="s">
        <v>41</v>
      </c>
      <c r="D156" s="192" t="s">
        <v>30</v>
      </c>
      <c r="E156" s="19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2">
        <f>C2</f>
        <v>8</v>
      </c>
      <c r="C157" s="192" t="str">
        <f>E2</f>
        <v>e</v>
      </c>
      <c r="D157" s="192" t="str">
        <f>N2</f>
        <v>Riyaziyyat</v>
      </c>
      <c r="E157" s="192" t="str">
        <f>AB2</f>
        <v>Məhərrəmova Cəmilə Kərəm</v>
      </c>
      <c r="F157" s="192">
        <f>AP2</f>
        <v>170</v>
      </c>
      <c r="G157" s="192" t="str">
        <f>H2</f>
        <v>Azərbaycan</v>
      </c>
      <c r="H157" s="192">
        <f>COUNTIF(F6:F55,"k")</f>
        <v>13</v>
      </c>
      <c r="I157" s="192">
        <f>COUNTIF(F6:F55,"q")</f>
        <v>7</v>
      </c>
      <c r="J157" s="192">
        <f>SUM(H157:I157)</f>
        <v>20</v>
      </c>
      <c r="K157" s="2">
        <f>(K158*100)/(F157*H157)</f>
        <v>2.6696832579185519</v>
      </c>
      <c r="L157" s="2">
        <f>(L158*100)/(F157*I157)</f>
        <v>1.596638655462185</v>
      </c>
      <c r="M157" s="2">
        <f>(M158*100)/(F157*J157)</f>
        <v>2.2941176470588234</v>
      </c>
      <c r="N157" s="2">
        <f>K56</f>
        <v>55.55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51.560000000000016</v>
      </c>
      <c r="S157" s="2">
        <f>T56</f>
        <v>53.1</v>
      </c>
      <c r="T157" s="2">
        <f>U56</f>
        <v>52.484000000000002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51.560000000000016</v>
      </c>
      <c r="AD157" s="2">
        <f t="shared" si="21"/>
        <v>53.1</v>
      </c>
      <c r="AE157" s="2">
        <f t="shared" si="21"/>
        <v>52.484000000000002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192">
        <f>SUMIFS(J6:J55,F6:F55,"k")</f>
        <v>59</v>
      </c>
      <c r="L158" s="192">
        <f>SUMIFS(J6:J55,F6:F55,"q")</f>
        <v>19</v>
      </c>
      <c r="M158" s="192">
        <f>SUM(K158:L158)</f>
        <v>78</v>
      </c>
      <c r="N158" s="2">
        <f>(SUMIFS(K6:K55,F6:F55,"k"))/(COUNTIF(F6:F55,"k"))</f>
        <v>49.46153846153846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47.353846153846149</v>
      </c>
      <c r="S158" s="2">
        <f>(SUMIFS(T6:T55,F6:F55,"k"))/(COUNTIF(F6:F55,"k"))</f>
        <v>47.46153846153846</v>
      </c>
      <c r="T158" s="2">
        <f>(SUMIFS(U6:U55,F6:F55,"k"))/(COUNTIF(F6:F55,"k"))</f>
        <v>47.418461538461536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47.353846153846149</v>
      </c>
      <c r="AD158" s="2">
        <f t="shared" si="22"/>
        <v>47.46153846153846</v>
      </c>
      <c r="AE158" s="2">
        <f t="shared" si="22"/>
        <v>47.418461538461536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66.857142857142861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59.371428571428574</v>
      </c>
      <c r="S159" s="2">
        <f>(SUMIFS(T6:T55,F6:F55,"q"))/(COUNTIF(F6:F55,"q"))</f>
        <v>63.571428571428569</v>
      </c>
      <c r="T159" s="2">
        <f>(SUMIFS(U6:U55,F6:F55,"q"))/(COUNTIF(F6:F55,"q"))</f>
        <v>61.89142857142857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59.371428571428574</v>
      </c>
      <c r="AD159" s="2">
        <f t="shared" ref="AD159:AE159" si="23">(SUMIFS(AO6:AO55,$F$6:$F$55,"q"))/(COUNTIF($F$6:$F$55,"q"))</f>
        <v>63.571428571428569</v>
      </c>
      <c r="AE159" s="2">
        <f t="shared" si="23"/>
        <v>61.89142857142857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>
        <f>K63</f>
        <v>15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10</v>
      </c>
      <c r="S160" s="2">
        <f>T63</f>
        <v>10</v>
      </c>
      <c r="T160" s="2">
        <f>U63</f>
        <v>10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10</v>
      </c>
      <c r="AD160" s="2">
        <f t="shared" si="24"/>
        <v>10</v>
      </c>
      <c r="AE160" s="2">
        <f t="shared" si="24"/>
        <v>10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>
        <f t="shared" ref="N161:O163" si="25">K64</f>
        <v>25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15</v>
      </c>
      <c r="S161" s="2">
        <f t="shared" si="27"/>
        <v>40</v>
      </c>
      <c r="T161" s="2">
        <f t="shared" si="27"/>
        <v>25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15</v>
      </c>
      <c r="AD161" s="2">
        <f t="shared" si="24"/>
        <v>40</v>
      </c>
      <c r="AE161" s="2">
        <f t="shared" si="24"/>
        <v>25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>
        <f t="shared" si="25"/>
        <v>60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75</v>
      </c>
      <c r="S162" s="2">
        <f t="shared" si="27"/>
        <v>50</v>
      </c>
      <c r="T162" s="2">
        <f t="shared" si="27"/>
        <v>65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75</v>
      </c>
      <c r="AD162" s="2">
        <f t="shared" si="24"/>
        <v>50</v>
      </c>
      <c r="AE162" s="2">
        <f t="shared" si="24"/>
        <v>65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>
        <f t="shared" si="27"/>
        <v>0</v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>
        <f t="shared" si="24"/>
        <v>0</v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AB69:AK69"/>
    <mergeCell ref="AL69:AO69"/>
    <mergeCell ref="AP69:AQ69"/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9" zoomScale="95" zoomScaleNormal="95" workbookViewId="0">
      <selection activeCell="K25" sqref="K25"/>
    </sheetView>
  </sheetViews>
  <sheetFormatPr defaultColWidth="8.85546875" defaultRowHeight="16.5" x14ac:dyDescent="0.25"/>
  <cols>
    <col min="1" max="1" width="1.5703125" style="192" customWidth="1"/>
    <col min="2" max="2" width="9.7109375" style="192" customWidth="1"/>
    <col min="3" max="5" width="20.7109375" style="192" customWidth="1"/>
    <col min="6" max="6" width="6.85546875" style="192" customWidth="1"/>
    <col min="7" max="8" width="5.7109375" style="192" customWidth="1"/>
    <col min="9" max="9" width="8.7109375" style="192" customWidth="1"/>
    <col min="10" max="10" width="9.28515625" style="192" customWidth="1"/>
    <col min="11" max="43" width="6.85546875" style="192" customWidth="1"/>
    <col min="44" max="44" width="1.5703125" style="192" customWidth="1"/>
    <col min="45" max="16384" width="8.85546875" style="192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189" t="s">
        <v>29</v>
      </c>
      <c r="C2" s="191">
        <f>Şagirdlər!D2</f>
        <v>8</v>
      </c>
      <c r="D2" s="189" t="s">
        <v>41</v>
      </c>
      <c r="E2" s="190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Müəllimlər!C10</f>
        <v>İnformatika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 t="str">
        <f>Müəllimlər!D10</f>
        <v>Həmidova Yazgül Bayram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Müəllimlər!E10</f>
        <v>34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93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94" t="s">
        <v>38</v>
      </c>
      <c r="H5" s="194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>
        <v>43</v>
      </c>
      <c r="L6" s="43"/>
      <c r="M6" s="43">
        <v>79</v>
      </c>
      <c r="N6" s="43">
        <v>75</v>
      </c>
      <c r="O6" s="43">
        <v>65</v>
      </c>
      <c r="P6" s="43"/>
      <c r="Q6" s="43"/>
      <c r="R6" s="43"/>
      <c r="S6" s="44">
        <f>IFERROR(AVERAGE(M6:R6),"")</f>
        <v>73</v>
      </c>
      <c r="T6" s="43"/>
      <c r="U6" s="44">
        <f>IF(T6="",S6,IF(S6="",T6,S6*40/100+T6*60/100))</f>
        <v>73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73</v>
      </c>
      <c r="AO6" s="48" t="str">
        <f>IFERROR(AVERAGE(T6,AG6),"")</f>
        <v/>
      </c>
      <c r="AP6" s="48">
        <f>IF(AO6="",AN6,IF(AN6="",AO6,AN6*40/100+AO6*60/100))</f>
        <v>73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>
        <v>43</v>
      </c>
      <c r="L7" s="3"/>
      <c r="M7" s="3">
        <v>60</v>
      </c>
      <c r="N7" s="3">
        <v>55</v>
      </c>
      <c r="O7" s="3">
        <v>50</v>
      </c>
      <c r="P7" s="3"/>
      <c r="Q7" s="3"/>
      <c r="R7" s="3"/>
      <c r="S7" s="4">
        <f t="shared" ref="S7:S55" si="0">IFERROR(AVERAGE(M7:R7),"")</f>
        <v>55</v>
      </c>
      <c r="T7" s="3"/>
      <c r="U7" s="44">
        <f t="shared" ref="U7:U55" si="1">IF(T7="",S7,IF(S7="",T7,S7*40/100+T7*60/100))</f>
        <v>55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55</v>
      </c>
      <c r="AO7" s="5" t="str">
        <f t="shared" si="8"/>
        <v/>
      </c>
      <c r="AP7" s="48">
        <f t="shared" ref="AP7:AP55" si="9">IF(AO7="",AN7,IF(AN7="",AO7,AN7*40/100+AO7*60/100))</f>
        <v>55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>
        <v>1</v>
      </c>
      <c r="K8" s="19">
        <v>56</v>
      </c>
      <c r="L8" s="3"/>
      <c r="M8" s="3">
        <v>59</v>
      </c>
      <c r="N8" s="3">
        <v>65</v>
      </c>
      <c r="O8" s="3">
        <v>65</v>
      </c>
      <c r="P8" s="3"/>
      <c r="Q8" s="3"/>
      <c r="R8" s="3"/>
      <c r="S8" s="4">
        <f t="shared" si="0"/>
        <v>63</v>
      </c>
      <c r="T8" s="3"/>
      <c r="U8" s="44">
        <f t="shared" si="1"/>
        <v>63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63</v>
      </c>
      <c r="AO8" s="5" t="str">
        <f t="shared" si="8"/>
        <v/>
      </c>
      <c r="AP8" s="48">
        <f t="shared" si="9"/>
        <v>63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>
        <v>60</v>
      </c>
      <c r="L9" s="3"/>
      <c r="M9" s="3">
        <v>79</v>
      </c>
      <c r="N9" s="3">
        <v>80</v>
      </c>
      <c r="O9" s="3">
        <v>75</v>
      </c>
      <c r="P9" s="3"/>
      <c r="Q9" s="3"/>
      <c r="R9" s="3"/>
      <c r="S9" s="4">
        <f t="shared" si="0"/>
        <v>78</v>
      </c>
      <c r="T9" s="3"/>
      <c r="U9" s="44">
        <f t="shared" si="1"/>
        <v>78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78</v>
      </c>
      <c r="AO9" s="5" t="str">
        <f t="shared" si="8"/>
        <v/>
      </c>
      <c r="AP9" s="48">
        <f t="shared" si="9"/>
        <v>78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148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>
        <v>74</v>
      </c>
      <c r="L10" s="3"/>
      <c r="M10" s="3">
        <v>65</v>
      </c>
      <c r="N10" s="3">
        <v>75</v>
      </c>
      <c r="O10" s="3">
        <v>65</v>
      </c>
      <c r="P10" s="3"/>
      <c r="Q10" s="3"/>
      <c r="R10" s="3"/>
      <c r="S10" s="4">
        <f t="shared" si="0"/>
        <v>68.333333333333329</v>
      </c>
      <c r="T10" s="3"/>
      <c r="U10" s="44">
        <f t="shared" si="1"/>
        <v>68.333333333333329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68.333333333333329</v>
      </c>
      <c r="AO10" s="5" t="str">
        <f t="shared" si="8"/>
        <v/>
      </c>
      <c r="AP10" s="48">
        <f t="shared" si="9"/>
        <v>68.333333333333329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>
        <v>95</v>
      </c>
      <c r="L11" s="3"/>
      <c r="M11" s="3">
        <v>82</v>
      </c>
      <c r="N11" s="3">
        <v>90</v>
      </c>
      <c r="O11" s="3">
        <v>85</v>
      </c>
      <c r="P11" s="3"/>
      <c r="Q11" s="3"/>
      <c r="R11" s="3"/>
      <c r="S11" s="4">
        <f t="shared" si="0"/>
        <v>85.666666666666671</v>
      </c>
      <c r="T11" s="3"/>
      <c r="U11" s="44">
        <f t="shared" si="1"/>
        <v>85.666666666666671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85.666666666666671</v>
      </c>
      <c r="AO11" s="5" t="str">
        <f t="shared" si="8"/>
        <v/>
      </c>
      <c r="AP11" s="48">
        <f t="shared" si="9"/>
        <v>85.666666666666671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>
        <v>63</v>
      </c>
      <c r="L12" s="3"/>
      <c r="M12" s="3">
        <v>80</v>
      </c>
      <c r="N12" s="3">
        <v>80</v>
      </c>
      <c r="O12" s="3">
        <v>70</v>
      </c>
      <c r="P12" s="3"/>
      <c r="Q12" s="3"/>
      <c r="R12" s="3"/>
      <c r="S12" s="4">
        <f t="shared" si="0"/>
        <v>76.666666666666671</v>
      </c>
      <c r="T12" s="3"/>
      <c r="U12" s="44">
        <f t="shared" si="1"/>
        <v>76.666666666666671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76.666666666666671</v>
      </c>
      <c r="AO12" s="5" t="str">
        <f t="shared" si="8"/>
        <v/>
      </c>
      <c r="AP12" s="48">
        <f t="shared" si="9"/>
        <v>76.666666666666671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>
        <v>38</v>
      </c>
      <c r="L13" s="3"/>
      <c r="M13" s="3">
        <v>60</v>
      </c>
      <c r="N13" s="3">
        <v>60</v>
      </c>
      <c r="O13" s="3">
        <v>50</v>
      </c>
      <c r="P13" s="3"/>
      <c r="Q13" s="3"/>
      <c r="R13" s="3"/>
      <c r="S13" s="4">
        <f t="shared" si="0"/>
        <v>56.666666666666664</v>
      </c>
      <c r="T13" s="3"/>
      <c r="U13" s="44">
        <f t="shared" si="1"/>
        <v>56.666666666666664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56.666666666666664</v>
      </c>
      <c r="AO13" s="5" t="str">
        <f t="shared" si="8"/>
        <v/>
      </c>
      <c r="AP13" s="48">
        <f t="shared" si="9"/>
        <v>56.666666666666664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>
        <v>38</v>
      </c>
      <c r="L14" s="3"/>
      <c r="M14" s="3">
        <v>85</v>
      </c>
      <c r="N14" s="3">
        <v>90</v>
      </c>
      <c r="O14" s="3">
        <v>81</v>
      </c>
      <c r="P14" s="3"/>
      <c r="Q14" s="3"/>
      <c r="R14" s="3"/>
      <c r="S14" s="4">
        <f t="shared" si="0"/>
        <v>85.333333333333329</v>
      </c>
      <c r="T14" s="3"/>
      <c r="U14" s="44">
        <f t="shared" si="1"/>
        <v>85.333333333333329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85.333333333333329</v>
      </c>
      <c r="AO14" s="5" t="str">
        <f t="shared" si="8"/>
        <v/>
      </c>
      <c r="AP14" s="48">
        <f t="shared" si="9"/>
        <v>85.333333333333329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>
        <v>45</v>
      </c>
      <c r="L15" s="3"/>
      <c r="M15" s="3">
        <v>85</v>
      </c>
      <c r="N15" s="3">
        <v>81</v>
      </c>
      <c r="O15" s="3">
        <v>81</v>
      </c>
      <c r="P15" s="3"/>
      <c r="Q15" s="3"/>
      <c r="R15" s="3"/>
      <c r="S15" s="4">
        <f t="shared" si="0"/>
        <v>82.333333333333329</v>
      </c>
      <c r="T15" s="3"/>
      <c r="U15" s="44">
        <f t="shared" si="1"/>
        <v>82.333333333333329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82.333333333333329</v>
      </c>
      <c r="AO15" s="5" t="str">
        <f t="shared" si="8"/>
        <v/>
      </c>
      <c r="AP15" s="48">
        <f t="shared" si="9"/>
        <v>82.333333333333329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>
        <v>43</v>
      </c>
      <c r="L16" s="3"/>
      <c r="M16" s="3">
        <v>82</v>
      </c>
      <c r="N16" s="3">
        <v>85</v>
      </c>
      <c r="O16" s="3">
        <v>81</v>
      </c>
      <c r="P16" s="3"/>
      <c r="Q16" s="3"/>
      <c r="R16" s="3"/>
      <c r="S16" s="4">
        <f t="shared" si="0"/>
        <v>82.666666666666671</v>
      </c>
      <c r="T16" s="3"/>
      <c r="U16" s="44">
        <f t="shared" si="1"/>
        <v>82.666666666666671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82.666666666666671</v>
      </c>
      <c r="AO16" s="5" t="str">
        <f t="shared" si="8"/>
        <v/>
      </c>
      <c r="AP16" s="48">
        <f t="shared" si="9"/>
        <v>82.666666666666671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>
        <v>41</v>
      </c>
      <c r="L17" s="3"/>
      <c r="M17" s="3">
        <v>59</v>
      </c>
      <c r="N17" s="3">
        <v>60</v>
      </c>
      <c r="O17" s="3">
        <v>60</v>
      </c>
      <c r="P17" s="3"/>
      <c r="Q17" s="3"/>
      <c r="R17" s="3"/>
      <c r="S17" s="4">
        <f t="shared" si="0"/>
        <v>59.666666666666664</v>
      </c>
      <c r="T17" s="3"/>
      <c r="U17" s="44">
        <f t="shared" si="1"/>
        <v>59.666666666666664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59.666666666666664</v>
      </c>
      <c r="AO17" s="5" t="str">
        <f t="shared" si="8"/>
        <v/>
      </c>
      <c r="AP17" s="48">
        <f t="shared" si="9"/>
        <v>59.666666666666664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>
        <v>68</v>
      </c>
      <c r="L18" s="3"/>
      <c r="M18" s="3">
        <v>50</v>
      </c>
      <c r="N18" s="3">
        <v>65</v>
      </c>
      <c r="O18" s="3">
        <v>40</v>
      </c>
      <c r="P18" s="3"/>
      <c r="Q18" s="3"/>
      <c r="R18" s="3"/>
      <c r="S18" s="4">
        <f t="shared" si="0"/>
        <v>51.666666666666664</v>
      </c>
      <c r="T18" s="3"/>
      <c r="U18" s="44">
        <f t="shared" si="1"/>
        <v>51.666666666666664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51.666666666666664</v>
      </c>
      <c r="AO18" s="5" t="str">
        <f t="shared" si="8"/>
        <v/>
      </c>
      <c r="AP18" s="48">
        <f t="shared" si="9"/>
        <v>51.666666666666664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>
        <v>68</v>
      </c>
      <c r="L19" s="3"/>
      <c r="M19" s="3">
        <v>80</v>
      </c>
      <c r="N19" s="3">
        <v>75</v>
      </c>
      <c r="O19" s="3">
        <v>70</v>
      </c>
      <c r="P19" s="3"/>
      <c r="Q19" s="3"/>
      <c r="R19" s="3"/>
      <c r="S19" s="4">
        <f t="shared" si="0"/>
        <v>75</v>
      </c>
      <c r="T19" s="3"/>
      <c r="U19" s="44">
        <f t="shared" si="1"/>
        <v>75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75</v>
      </c>
      <c r="AO19" s="5" t="str">
        <f t="shared" si="8"/>
        <v/>
      </c>
      <c r="AP19" s="48">
        <f t="shared" si="9"/>
        <v>75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>
        <v>98</v>
      </c>
      <c r="L20" s="3"/>
      <c r="M20" s="3">
        <v>85</v>
      </c>
      <c r="N20" s="3">
        <v>90</v>
      </c>
      <c r="O20" s="3">
        <v>85</v>
      </c>
      <c r="P20" s="3"/>
      <c r="Q20" s="3"/>
      <c r="R20" s="3"/>
      <c r="S20" s="4">
        <f t="shared" si="0"/>
        <v>86.666666666666671</v>
      </c>
      <c r="T20" s="3"/>
      <c r="U20" s="44">
        <f t="shared" si="1"/>
        <v>86.666666666666671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86.666666666666671</v>
      </c>
      <c r="AO20" s="5" t="str">
        <f t="shared" si="8"/>
        <v/>
      </c>
      <c r="AP20" s="48">
        <f t="shared" si="9"/>
        <v>86.666666666666671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>
        <v>90</v>
      </c>
      <c r="L21" s="3"/>
      <c r="M21" s="3">
        <v>81</v>
      </c>
      <c r="N21" s="3">
        <v>80</v>
      </c>
      <c r="O21" s="3">
        <v>75</v>
      </c>
      <c r="P21" s="3"/>
      <c r="Q21" s="3"/>
      <c r="R21" s="3"/>
      <c r="S21" s="4">
        <f t="shared" si="0"/>
        <v>78.666666666666671</v>
      </c>
      <c r="T21" s="3"/>
      <c r="U21" s="44">
        <f t="shared" si="1"/>
        <v>78.666666666666671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78.666666666666671</v>
      </c>
      <c r="AO21" s="5" t="str">
        <f t="shared" si="8"/>
        <v/>
      </c>
      <c r="AP21" s="48">
        <f t="shared" si="9"/>
        <v>78.666666666666671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>
        <v>45</v>
      </c>
      <c r="L22" s="3"/>
      <c r="M22" s="3">
        <v>59</v>
      </c>
      <c r="N22" s="3">
        <v>60</v>
      </c>
      <c r="O22" s="3">
        <v>50</v>
      </c>
      <c r="P22" s="3"/>
      <c r="Q22" s="3"/>
      <c r="R22" s="3"/>
      <c r="S22" s="4">
        <f t="shared" si="0"/>
        <v>56.333333333333336</v>
      </c>
      <c r="T22" s="3"/>
      <c r="U22" s="44">
        <f t="shared" si="1"/>
        <v>56.333333333333336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56.333333333333336</v>
      </c>
      <c r="AO22" s="5" t="str">
        <f t="shared" si="8"/>
        <v/>
      </c>
      <c r="AP22" s="48">
        <f t="shared" si="9"/>
        <v>56.333333333333336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>
        <v>43</v>
      </c>
      <c r="L23" s="3"/>
      <c r="M23" s="3">
        <v>59</v>
      </c>
      <c r="N23" s="3">
        <v>60</v>
      </c>
      <c r="O23" s="3">
        <v>50</v>
      </c>
      <c r="P23" s="3"/>
      <c r="Q23" s="3"/>
      <c r="R23" s="3"/>
      <c r="S23" s="4">
        <f t="shared" si="0"/>
        <v>56.333333333333336</v>
      </c>
      <c r="T23" s="3"/>
      <c r="U23" s="44">
        <f t="shared" si="1"/>
        <v>56.333333333333336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56.333333333333336</v>
      </c>
      <c r="AO23" s="5" t="str">
        <f t="shared" si="8"/>
        <v/>
      </c>
      <c r="AP23" s="48">
        <f t="shared" si="9"/>
        <v>56.333333333333336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>
        <v>85</v>
      </c>
      <c r="L24" s="3"/>
      <c r="M24" s="3">
        <v>60</v>
      </c>
      <c r="N24" s="3">
        <v>65</v>
      </c>
      <c r="O24" s="3">
        <v>61</v>
      </c>
      <c r="P24" s="3"/>
      <c r="Q24" s="3"/>
      <c r="R24" s="3"/>
      <c r="S24" s="4">
        <f t="shared" si="0"/>
        <v>62</v>
      </c>
      <c r="T24" s="3"/>
      <c r="U24" s="44">
        <f t="shared" si="1"/>
        <v>62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62</v>
      </c>
      <c r="AO24" s="5" t="str">
        <f t="shared" si="8"/>
        <v/>
      </c>
      <c r="AP24" s="48">
        <f t="shared" si="9"/>
        <v>62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>
        <v>87</v>
      </c>
      <c r="L25" s="3"/>
      <c r="M25" s="3">
        <v>75</v>
      </c>
      <c r="N25" s="3">
        <v>79</v>
      </c>
      <c r="O25" s="3">
        <v>75</v>
      </c>
      <c r="P25" s="3"/>
      <c r="Q25" s="3"/>
      <c r="R25" s="3"/>
      <c r="S25" s="4">
        <f t="shared" si="0"/>
        <v>76.333333333333329</v>
      </c>
      <c r="T25" s="3"/>
      <c r="U25" s="44">
        <f t="shared" si="1"/>
        <v>76.333333333333329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76.333333333333329</v>
      </c>
      <c r="AO25" s="5" t="str">
        <f t="shared" si="8"/>
        <v/>
      </c>
      <c r="AP25" s="48">
        <f t="shared" si="9"/>
        <v>76.333333333333329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>
        <f t="shared" ref="K56:AQ56" si="10">IFERROR(AVERAGE(K6:K55),"")</f>
        <v>61.15</v>
      </c>
      <c r="L56" s="31" t="str">
        <f t="shared" si="10"/>
        <v/>
      </c>
      <c r="M56" s="31">
        <f t="shared" si="10"/>
        <v>71.2</v>
      </c>
      <c r="N56" s="31">
        <f t="shared" si="10"/>
        <v>73.5</v>
      </c>
      <c r="O56" s="31">
        <f t="shared" si="10"/>
        <v>66.7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70.466666666666669</v>
      </c>
      <c r="T56" s="31" t="str">
        <f t="shared" si="10"/>
        <v/>
      </c>
      <c r="U56" s="31">
        <f t="shared" si="10"/>
        <v>70.466666666666669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70.466666666666669</v>
      </c>
      <c r="AO56" s="31" t="str">
        <f t="shared" si="10"/>
        <v/>
      </c>
      <c r="AP56" s="31">
        <f t="shared" si="10"/>
        <v>70.466666666666669</v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5</v>
      </c>
      <c r="L58" s="57">
        <f t="shared" si="11"/>
        <v>0</v>
      </c>
      <c r="M58" s="57">
        <f t="shared" si="11"/>
        <v>6</v>
      </c>
      <c r="N58" s="57">
        <f t="shared" si="11"/>
        <v>5</v>
      </c>
      <c r="O58" s="57">
        <f t="shared" si="11"/>
        <v>5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5</v>
      </c>
      <c r="T58" s="57">
        <f t="shared" si="11"/>
        <v>0</v>
      </c>
      <c r="U58" s="34">
        <f t="shared" si="11"/>
        <v>5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5</v>
      </c>
      <c r="AO58" s="37">
        <f t="shared" si="11"/>
        <v>0</v>
      </c>
      <c r="AP58" s="37">
        <f t="shared" si="11"/>
        <v>5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4</v>
      </c>
      <c r="L59" s="6">
        <f t="shared" si="12"/>
        <v>0</v>
      </c>
      <c r="M59" s="6">
        <f t="shared" si="12"/>
        <v>6</v>
      </c>
      <c r="N59" s="6">
        <f t="shared" si="12"/>
        <v>10</v>
      </c>
      <c r="O59" s="6">
        <f t="shared" si="12"/>
        <v>9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9</v>
      </c>
      <c r="T59" s="6">
        <f t="shared" si="12"/>
        <v>0</v>
      </c>
      <c r="U59" s="8">
        <f t="shared" si="12"/>
        <v>9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9</v>
      </c>
      <c r="AO59" s="7">
        <f t="shared" si="12"/>
        <v>0</v>
      </c>
      <c r="AP59" s="7">
        <f t="shared" si="12"/>
        <v>9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11</v>
      </c>
      <c r="L60" s="6">
        <f t="shared" si="13"/>
        <v>0</v>
      </c>
      <c r="M60" s="6">
        <f t="shared" si="13"/>
        <v>8</v>
      </c>
      <c r="N60" s="6">
        <f t="shared" si="13"/>
        <v>5</v>
      </c>
      <c r="O60" s="6">
        <f t="shared" si="13"/>
        <v>6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6</v>
      </c>
      <c r="T60" s="6">
        <f t="shared" si="13"/>
        <v>0</v>
      </c>
      <c r="U60" s="8">
        <f t="shared" si="13"/>
        <v>6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6</v>
      </c>
      <c r="AO60" s="7">
        <f t="shared" si="13"/>
        <v>0</v>
      </c>
      <c r="AP60" s="7">
        <f t="shared" si="13"/>
        <v>6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>
        <f>IFERROR(K58*100/K62,"")</f>
        <v>25</v>
      </c>
      <c r="L63" s="64" t="str">
        <f t="shared" ref="L63:AQ63" si="17">IFERROR(L58*100/L62,"")</f>
        <v/>
      </c>
      <c r="M63" s="64">
        <f t="shared" si="17"/>
        <v>30</v>
      </c>
      <c r="N63" s="64">
        <f t="shared" si="17"/>
        <v>25</v>
      </c>
      <c r="O63" s="64">
        <f t="shared" si="17"/>
        <v>25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25</v>
      </c>
      <c r="T63" s="64" t="str">
        <f t="shared" si="17"/>
        <v/>
      </c>
      <c r="U63" s="44">
        <f t="shared" si="17"/>
        <v>25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25</v>
      </c>
      <c r="AO63" s="48" t="str">
        <f t="shared" si="17"/>
        <v/>
      </c>
      <c r="AP63" s="48">
        <f t="shared" si="17"/>
        <v>25</v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>
        <f>IFERROR(K59*100/K62,"")</f>
        <v>20</v>
      </c>
      <c r="L64" s="66" t="str">
        <f t="shared" ref="L64:AQ64" si="18">IFERROR(L59*100/L62,"")</f>
        <v/>
      </c>
      <c r="M64" s="66">
        <f t="shared" si="18"/>
        <v>30</v>
      </c>
      <c r="N64" s="66">
        <f t="shared" si="18"/>
        <v>50</v>
      </c>
      <c r="O64" s="66">
        <f t="shared" si="18"/>
        <v>45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45</v>
      </c>
      <c r="T64" s="66" t="str">
        <f t="shared" si="18"/>
        <v/>
      </c>
      <c r="U64" s="4">
        <f t="shared" si="18"/>
        <v>45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45</v>
      </c>
      <c r="AO64" s="5" t="str">
        <f t="shared" si="18"/>
        <v/>
      </c>
      <c r="AP64" s="5">
        <f t="shared" si="18"/>
        <v>45</v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>
        <f>IFERROR(K60*100/K62,"")</f>
        <v>55</v>
      </c>
      <c r="L65" s="66" t="str">
        <f t="shared" ref="L65:AQ65" si="19">IFERROR(L60*100/L62,"")</f>
        <v/>
      </c>
      <c r="M65" s="66">
        <f t="shared" si="19"/>
        <v>40</v>
      </c>
      <c r="N65" s="66">
        <f t="shared" si="19"/>
        <v>25</v>
      </c>
      <c r="O65" s="66">
        <f t="shared" si="19"/>
        <v>30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30</v>
      </c>
      <c r="T65" s="66" t="str">
        <f t="shared" si="19"/>
        <v/>
      </c>
      <c r="U65" s="4">
        <f t="shared" si="19"/>
        <v>30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30</v>
      </c>
      <c r="AO65" s="5" t="str">
        <f t="shared" si="19"/>
        <v/>
      </c>
      <c r="AP65" s="5">
        <f t="shared" si="19"/>
        <v>30</v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>
        <f>IFERROR(K61*100/K62,"")</f>
        <v>0</v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189" t="s">
        <v>29</v>
      </c>
      <c r="C69" s="191">
        <f>C2</f>
        <v>8</v>
      </c>
      <c r="D69" s="189" t="s">
        <v>41</v>
      </c>
      <c r="E69" s="190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İnformatika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 t="str">
        <f>AB2</f>
        <v>Həmidova Yazgül Bayram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34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88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2" t="s">
        <v>29</v>
      </c>
      <c r="C156" s="192" t="s">
        <v>41</v>
      </c>
      <c r="D156" s="192" t="s">
        <v>30</v>
      </c>
      <c r="E156" s="19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2">
        <f>C2</f>
        <v>8</v>
      </c>
      <c r="C157" s="192" t="str">
        <f>E2</f>
        <v>e</v>
      </c>
      <c r="D157" s="192" t="str">
        <f>N2</f>
        <v>İnformatika</v>
      </c>
      <c r="E157" s="192" t="str">
        <f>AB2</f>
        <v>Həmidova Yazgül Bayram</v>
      </c>
      <c r="F157" s="192">
        <f>AP2</f>
        <v>34</v>
      </c>
      <c r="G157" s="192" t="str">
        <f>H2</f>
        <v>Azərbaycan</v>
      </c>
      <c r="H157" s="192">
        <f>COUNTIF(F6:F55,"k")</f>
        <v>13</v>
      </c>
      <c r="I157" s="192">
        <f>COUNTIF(F6:F55,"q")</f>
        <v>7</v>
      </c>
      <c r="J157" s="192">
        <f>SUM(H157:I157)</f>
        <v>20</v>
      </c>
      <c r="K157" s="2">
        <f>(K158*100)/(F157*H157)</f>
        <v>0.22624434389140272</v>
      </c>
      <c r="L157" s="2">
        <f>(L158*100)/(F157*I157)</f>
        <v>0</v>
      </c>
      <c r="M157" s="2">
        <f>(M158*100)/(F157*J157)</f>
        <v>0.14705882352941177</v>
      </c>
      <c r="N157" s="2">
        <f>K56</f>
        <v>61.15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70.466666666666669</v>
      </c>
      <c r="S157" s="2" t="str">
        <f>T56</f>
        <v/>
      </c>
      <c r="T157" s="2">
        <f>U56</f>
        <v>70.466666666666669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70.466666666666669</v>
      </c>
      <c r="AD157" s="2" t="str">
        <f t="shared" si="21"/>
        <v/>
      </c>
      <c r="AE157" s="2">
        <f t="shared" si="21"/>
        <v>70.466666666666669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192">
        <f>SUMIFS(J6:J55,F6:F55,"k")</f>
        <v>1</v>
      </c>
      <c r="L158" s="192">
        <f>SUMIFS(J6:J55,F6:F55,"q")</f>
        <v>0</v>
      </c>
      <c r="M158" s="192">
        <f>SUM(K158:L158)</f>
        <v>1</v>
      </c>
      <c r="N158" s="2">
        <f>(SUMIFS(K6:K55,F6:F55,"k"))/(COUNTIF(F6:F55,"k"))</f>
        <v>59.692307692307693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65.923076923076934</v>
      </c>
      <c r="S158" s="2">
        <f>(SUMIFS(T6:T55,F6:F55,"k"))/(COUNTIF(F6:F55,"k"))</f>
        <v>0</v>
      </c>
      <c r="T158" s="2">
        <f>(SUMIFS(U6:U55,F6:F55,"k"))/(COUNTIF(F6:F55,"k"))</f>
        <v>65.923076923076934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65.923076923076934</v>
      </c>
      <c r="AD158" s="2">
        <f t="shared" si="22"/>
        <v>0</v>
      </c>
      <c r="AE158" s="2">
        <f t="shared" si="22"/>
        <v>65.923076923076934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63.857142857142854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78.904761904761912</v>
      </c>
      <c r="S159" s="2">
        <f>(SUMIFS(T6:T55,F6:F55,"q"))/(COUNTIF(F6:F55,"q"))</f>
        <v>0</v>
      </c>
      <c r="T159" s="2">
        <f>(SUMIFS(U6:U55,F6:F55,"q"))/(COUNTIF(F6:F55,"q"))</f>
        <v>78.904761904761912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78.904761904761912</v>
      </c>
      <c r="AD159" s="2">
        <f t="shared" ref="AD159:AE159" si="23">(SUMIFS(AO6:AO55,$F$6:$F$55,"q"))/(COUNTIF($F$6:$F$55,"q"))</f>
        <v>0</v>
      </c>
      <c r="AE159" s="2">
        <f t="shared" si="23"/>
        <v>78.904761904761912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>
        <f>K63</f>
        <v>25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25</v>
      </c>
      <c r="S160" s="2" t="str">
        <f>T63</f>
        <v/>
      </c>
      <c r="T160" s="2">
        <f>U63</f>
        <v>25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25</v>
      </c>
      <c r="AD160" s="2" t="str">
        <f t="shared" si="24"/>
        <v/>
      </c>
      <c r="AE160" s="2">
        <f t="shared" si="24"/>
        <v>25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>
        <f t="shared" ref="N161:O163" si="25">K64</f>
        <v>20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45</v>
      </c>
      <c r="S161" s="2" t="str">
        <f t="shared" si="27"/>
        <v/>
      </c>
      <c r="T161" s="2">
        <f t="shared" si="27"/>
        <v>45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45</v>
      </c>
      <c r="AD161" s="2" t="str">
        <f t="shared" si="24"/>
        <v/>
      </c>
      <c r="AE161" s="2">
        <f t="shared" si="24"/>
        <v>45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>
        <f t="shared" si="25"/>
        <v>55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30</v>
      </c>
      <c r="S162" s="2" t="str">
        <f t="shared" si="27"/>
        <v/>
      </c>
      <c r="T162" s="2">
        <f t="shared" si="27"/>
        <v>30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30</v>
      </c>
      <c r="AD162" s="2" t="str">
        <f t="shared" si="24"/>
        <v/>
      </c>
      <c r="AE162" s="2">
        <f t="shared" si="24"/>
        <v>30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AB69:AK69"/>
    <mergeCell ref="AL69:AO69"/>
    <mergeCell ref="AP69:AQ69"/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6" zoomScale="89" zoomScaleNormal="89" workbookViewId="0">
      <selection activeCell="K25" sqref="K25"/>
    </sheetView>
  </sheetViews>
  <sheetFormatPr defaultColWidth="8.85546875" defaultRowHeight="16.5" x14ac:dyDescent="0.25"/>
  <cols>
    <col min="1" max="1" width="1.5703125" style="192" customWidth="1"/>
    <col min="2" max="2" width="9.7109375" style="192" customWidth="1"/>
    <col min="3" max="5" width="20.7109375" style="192" customWidth="1"/>
    <col min="6" max="6" width="6.85546875" style="192" customWidth="1"/>
    <col min="7" max="8" width="5.7109375" style="192" customWidth="1"/>
    <col min="9" max="9" width="8.7109375" style="192" customWidth="1"/>
    <col min="10" max="10" width="9.28515625" style="192" customWidth="1"/>
    <col min="11" max="43" width="6.85546875" style="192" customWidth="1"/>
    <col min="44" max="44" width="1.5703125" style="192" customWidth="1"/>
    <col min="45" max="16384" width="8.85546875" style="192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189" t="s">
        <v>29</v>
      </c>
      <c r="C2" s="191">
        <f>Şagirdlər!D2</f>
        <v>8</v>
      </c>
      <c r="D2" s="189" t="s">
        <v>41</v>
      </c>
      <c r="E2" s="190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Müəllimlər!C11</f>
        <v>Azərbaycan tarixi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 t="str">
        <f>Müəllimlər!D11</f>
        <v>Bayramova Tahirə Müslüm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Müəllimlər!E11</f>
        <v>34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93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94" t="s">
        <v>38</v>
      </c>
      <c r="H5" s="194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>
        <v>2</v>
      </c>
      <c r="K6" s="42">
        <v>53</v>
      </c>
      <c r="L6" s="43"/>
      <c r="M6" s="43">
        <v>35</v>
      </c>
      <c r="N6" s="43">
        <v>35</v>
      </c>
      <c r="O6" s="43">
        <v>40</v>
      </c>
      <c r="P6" s="43"/>
      <c r="Q6" s="43"/>
      <c r="R6" s="43"/>
      <c r="S6" s="44">
        <f>IFERROR(AVERAGE(M6:R6),"")</f>
        <v>36.666666666666664</v>
      </c>
      <c r="T6" s="43"/>
      <c r="U6" s="44">
        <f>IF(T6="",S6,IF(S6="",T6,S6*40/100+T6*60/100))</f>
        <v>36.666666666666664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36.666666666666664</v>
      </c>
      <c r="AO6" s="48" t="str">
        <f>IFERROR(AVERAGE(T6,AG6),"")</f>
        <v/>
      </c>
      <c r="AP6" s="48">
        <f>IF(AO6="",AN6,IF(AN6="",AO6,AN6*40/100+AO6*60/100))</f>
        <v>36.666666666666664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>
        <v>2</v>
      </c>
      <c r="K7" s="19">
        <v>49</v>
      </c>
      <c r="L7" s="3"/>
      <c r="M7" s="3">
        <v>32</v>
      </c>
      <c r="N7" s="3">
        <v>40</v>
      </c>
      <c r="O7" s="3">
        <v>35</v>
      </c>
      <c r="P7" s="3"/>
      <c r="Q7" s="3"/>
      <c r="R7" s="3"/>
      <c r="S7" s="4">
        <f t="shared" ref="S7:S55" si="0">IFERROR(AVERAGE(M7:R7),"")</f>
        <v>35.666666666666664</v>
      </c>
      <c r="T7" s="3"/>
      <c r="U7" s="44">
        <f t="shared" ref="U7:U55" si="1">IF(T7="",S7,IF(S7="",T7,S7*40/100+T7*60/100))</f>
        <v>35.666666666666664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35.666666666666664</v>
      </c>
      <c r="AO7" s="5" t="str">
        <f t="shared" si="8"/>
        <v/>
      </c>
      <c r="AP7" s="48">
        <f t="shared" ref="AP7:AP55" si="9">IF(AO7="",AN7,IF(AN7="",AO7,AN7*40/100+AO7*60/100))</f>
        <v>35.666666666666664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>
        <v>1</v>
      </c>
      <c r="K8" s="19">
        <v>65</v>
      </c>
      <c r="L8" s="3"/>
      <c r="M8" s="3">
        <v>33</v>
      </c>
      <c r="N8" s="3">
        <v>32</v>
      </c>
      <c r="O8" s="3">
        <v>38</v>
      </c>
      <c r="P8" s="3"/>
      <c r="Q8" s="3"/>
      <c r="R8" s="3"/>
      <c r="S8" s="4">
        <f t="shared" si="0"/>
        <v>34.333333333333336</v>
      </c>
      <c r="T8" s="3"/>
      <c r="U8" s="44">
        <f t="shared" si="1"/>
        <v>34.333333333333336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34.333333333333336</v>
      </c>
      <c r="AO8" s="5" t="str">
        <f t="shared" si="8"/>
        <v/>
      </c>
      <c r="AP8" s="48">
        <f t="shared" si="9"/>
        <v>34.333333333333336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1</v>
      </c>
      <c r="K9" s="19">
        <v>70</v>
      </c>
      <c r="L9" s="3"/>
      <c r="M9" s="3">
        <v>33</v>
      </c>
      <c r="N9" s="3">
        <v>35</v>
      </c>
      <c r="O9" s="3">
        <v>40</v>
      </c>
      <c r="P9" s="3"/>
      <c r="Q9" s="3"/>
      <c r="R9" s="3"/>
      <c r="S9" s="4">
        <f t="shared" si="0"/>
        <v>36</v>
      </c>
      <c r="T9" s="3"/>
      <c r="U9" s="44">
        <f t="shared" si="1"/>
        <v>36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36</v>
      </c>
      <c r="AO9" s="5" t="str">
        <f t="shared" si="8"/>
        <v/>
      </c>
      <c r="AP9" s="48">
        <f t="shared" si="9"/>
        <v>36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148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>
        <v>2</v>
      </c>
      <c r="K10" s="19">
        <v>36</v>
      </c>
      <c r="L10" s="3"/>
      <c r="M10" s="3">
        <v>70</v>
      </c>
      <c r="N10" s="3">
        <v>56</v>
      </c>
      <c r="O10" s="3">
        <v>66</v>
      </c>
      <c r="P10" s="3"/>
      <c r="Q10" s="3"/>
      <c r="R10" s="3"/>
      <c r="S10" s="4">
        <f t="shared" si="0"/>
        <v>64</v>
      </c>
      <c r="T10" s="3"/>
      <c r="U10" s="44">
        <f t="shared" si="1"/>
        <v>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64</v>
      </c>
      <c r="AO10" s="5" t="str">
        <f t="shared" si="8"/>
        <v/>
      </c>
      <c r="AP10" s="48">
        <f t="shared" si="9"/>
        <v>64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>
        <v>1</v>
      </c>
      <c r="K11" s="19">
        <v>100</v>
      </c>
      <c r="L11" s="3"/>
      <c r="M11" s="3">
        <v>61</v>
      </c>
      <c r="N11" s="3">
        <v>65</v>
      </c>
      <c r="O11" s="3">
        <v>75</v>
      </c>
      <c r="P11" s="3"/>
      <c r="Q11" s="3"/>
      <c r="R11" s="3"/>
      <c r="S11" s="4">
        <f t="shared" si="0"/>
        <v>67</v>
      </c>
      <c r="T11" s="3"/>
      <c r="U11" s="44">
        <f t="shared" si="1"/>
        <v>67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67</v>
      </c>
      <c r="AO11" s="5" t="str">
        <f t="shared" si="8"/>
        <v/>
      </c>
      <c r="AP11" s="48">
        <f t="shared" si="9"/>
        <v>67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>
        <v>78</v>
      </c>
      <c r="L12" s="3"/>
      <c r="M12" s="3">
        <v>40</v>
      </c>
      <c r="N12" s="3">
        <v>45</v>
      </c>
      <c r="O12" s="3">
        <v>50</v>
      </c>
      <c r="P12" s="3"/>
      <c r="Q12" s="3"/>
      <c r="R12" s="3"/>
      <c r="S12" s="4">
        <f t="shared" si="0"/>
        <v>45</v>
      </c>
      <c r="T12" s="3"/>
      <c r="U12" s="44">
        <f t="shared" si="1"/>
        <v>45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45</v>
      </c>
      <c r="AO12" s="5" t="str">
        <f t="shared" si="8"/>
        <v/>
      </c>
      <c r="AP12" s="48">
        <f t="shared" si="9"/>
        <v>45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>
        <v>4</v>
      </c>
      <c r="K13" s="19">
        <v>43</v>
      </c>
      <c r="L13" s="3"/>
      <c r="M13" s="3">
        <v>31</v>
      </c>
      <c r="N13" s="3">
        <v>40</v>
      </c>
      <c r="O13" s="3">
        <v>35</v>
      </c>
      <c r="P13" s="3"/>
      <c r="Q13" s="3"/>
      <c r="R13" s="3"/>
      <c r="S13" s="4">
        <f t="shared" si="0"/>
        <v>35.333333333333336</v>
      </c>
      <c r="T13" s="3"/>
      <c r="U13" s="44">
        <f t="shared" si="1"/>
        <v>35.333333333333336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35.333333333333336</v>
      </c>
      <c r="AO13" s="5" t="str">
        <f t="shared" si="8"/>
        <v/>
      </c>
      <c r="AP13" s="48">
        <f t="shared" si="9"/>
        <v>35.333333333333336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1</v>
      </c>
      <c r="K14" s="19">
        <v>58</v>
      </c>
      <c r="L14" s="3"/>
      <c r="M14" s="3">
        <v>55</v>
      </c>
      <c r="N14" s="3">
        <v>40</v>
      </c>
      <c r="O14" s="3">
        <v>60</v>
      </c>
      <c r="P14" s="3"/>
      <c r="Q14" s="3"/>
      <c r="R14" s="3"/>
      <c r="S14" s="4">
        <f t="shared" si="0"/>
        <v>51.666666666666664</v>
      </c>
      <c r="T14" s="3"/>
      <c r="U14" s="44">
        <f t="shared" si="1"/>
        <v>51.666666666666664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51.666666666666664</v>
      </c>
      <c r="AO14" s="5" t="str">
        <f t="shared" si="8"/>
        <v/>
      </c>
      <c r="AP14" s="48">
        <f t="shared" si="9"/>
        <v>51.666666666666664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>
        <v>1</v>
      </c>
      <c r="K15" s="19">
        <v>50</v>
      </c>
      <c r="L15" s="3"/>
      <c r="M15" s="3">
        <v>55</v>
      </c>
      <c r="N15" s="3">
        <v>40</v>
      </c>
      <c r="O15" s="3">
        <v>60</v>
      </c>
      <c r="P15" s="3"/>
      <c r="Q15" s="3"/>
      <c r="R15" s="3"/>
      <c r="S15" s="4">
        <f t="shared" si="0"/>
        <v>51.666666666666664</v>
      </c>
      <c r="T15" s="3"/>
      <c r="U15" s="44">
        <f t="shared" si="1"/>
        <v>51.666666666666664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51.666666666666664</v>
      </c>
      <c r="AO15" s="5" t="str">
        <f t="shared" si="8"/>
        <v/>
      </c>
      <c r="AP15" s="48">
        <f t="shared" si="9"/>
        <v>51.666666666666664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>
        <v>50</v>
      </c>
      <c r="L16" s="3"/>
      <c r="M16" s="3">
        <v>50</v>
      </c>
      <c r="N16" s="3">
        <v>40</v>
      </c>
      <c r="O16" s="3">
        <v>55</v>
      </c>
      <c r="P16" s="3"/>
      <c r="Q16" s="3"/>
      <c r="R16" s="3"/>
      <c r="S16" s="4">
        <f t="shared" si="0"/>
        <v>48.333333333333336</v>
      </c>
      <c r="T16" s="3"/>
      <c r="U16" s="44">
        <f t="shared" si="1"/>
        <v>48.333333333333336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48.333333333333336</v>
      </c>
      <c r="AO16" s="5" t="str">
        <f t="shared" si="8"/>
        <v/>
      </c>
      <c r="AP16" s="48">
        <f t="shared" si="9"/>
        <v>48.333333333333336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>
        <v>2</v>
      </c>
      <c r="K17" s="19">
        <v>38</v>
      </c>
      <c r="L17" s="3"/>
      <c r="M17" s="3">
        <v>35</v>
      </c>
      <c r="N17" s="3">
        <v>38</v>
      </c>
      <c r="O17" s="3">
        <v>35</v>
      </c>
      <c r="P17" s="3"/>
      <c r="Q17" s="3"/>
      <c r="R17" s="3"/>
      <c r="S17" s="4">
        <f t="shared" si="0"/>
        <v>36</v>
      </c>
      <c r="T17" s="3"/>
      <c r="U17" s="44">
        <f t="shared" si="1"/>
        <v>36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36</v>
      </c>
      <c r="AO17" s="5" t="str">
        <f t="shared" si="8"/>
        <v/>
      </c>
      <c r="AP17" s="48">
        <f t="shared" si="9"/>
        <v>36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3</v>
      </c>
      <c r="K18" s="19">
        <v>55</v>
      </c>
      <c r="L18" s="3"/>
      <c r="M18" s="3">
        <v>38</v>
      </c>
      <c r="N18" s="3">
        <v>40</v>
      </c>
      <c r="O18" s="3">
        <v>45</v>
      </c>
      <c r="P18" s="3"/>
      <c r="Q18" s="3"/>
      <c r="R18" s="3"/>
      <c r="S18" s="4">
        <f t="shared" si="0"/>
        <v>41</v>
      </c>
      <c r="T18" s="3"/>
      <c r="U18" s="44">
        <f t="shared" si="1"/>
        <v>41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41</v>
      </c>
      <c r="AO18" s="5" t="str">
        <f t="shared" si="8"/>
        <v/>
      </c>
      <c r="AP18" s="48">
        <f t="shared" si="9"/>
        <v>41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>
        <v>1</v>
      </c>
      <c r="K19" s="19">
        <v>70</v>
      </c>
      <c r="L19" s="3"/>
      <c r="M19" s="3">
        <v>33</v>
      </c>
      <c r="N19" s="3">
        <v>45</v>
      </c>
      <c r="O19" s="3">
        <v>37</v>
      </c>
      <c r="P19" s="3"/>
      <c r="Q19" s="3"/>
      <c r="R19" s="3"/>
      <c r="S19" s="4">
        <f t="shared" si="0"/>
        <v>38.333333333333336</v>
      </c>
      <c r="T19" s="3"/>
      <c r="U19" s="44">
        <f t="shared" si="1"/>
        <v>38.333333333333336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38.333333333333336</v>
      </c>
      <c r="AO19" s="5" t="str">
        <f t="shared" si="8"/>
        <v/>
      </c>
      <c r="AP19" s="48">
        <f t="shared" si="9"/>
        <v>38.333333333333336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>
        <v>2</v>
      </c>
      <c r="K20" s="19">
        <v>100</v>
      </c>
      <c r="L20" s="3"/>
      <c r="M20" s="3">
        <v>61</v>
      </c>
      <c r="N20" s="3">
        <v>65</v>
      </c>
      <c r="O20" s="3">
        <v>78</v>
      </c>
      <c r="P20" s="3"/>
      <c r="Q20" s="3"/>
      <c r="R20" s="3"/>
      <c r="S20" s="4">
        <f t="shared" si="0"/>
        <v>68</v>
      </c>
      <c r="T20" s="3"/>
      <c r="U20" s="44">
        <f t="shared" si="1"/>
        <v>68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68</v>
      </c>
      <c r="AO20" s="5" t="str">
        <f t="shared" si="8"/>
        <v/>
      </c>
      <c r="AP20" s="48">
        <f t="shared" si="9"/>
        <v>68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>
        <v>1</v>
      </c>
      <c r="K21" s="19">
        <v>80</v>
      </c>
      <c r="L21" s="3"/>
      <c r="M21" s="3">
        <v>42</v>
      </c>
      <c r="N21" s="3">
        <v>49</v>
      </c>
      <c r="O21" s="3">
        <v>60</v>
      </c>
      <c r="P21" s="3"/>
      <c r="Q21" s="3"/>
      <c r="R21" s="3"/>
      <c r="S21" s="4">
        <f t="shared" si="0"/>
        <v>50.333333333333336</v>
      </c>
      <c r="T21" s="3"/>
      <c r="U21" s="44">
        <f t="shared" si="1"/>
        <v>50.333333333333336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50.333333333333336</v>
      </c>
      <c r="AO21" s="5" t="str">
        <f t="shared" si="8"/>
        <v/>
      </c>
      <c r="AP21" s="48">
        <f t="shared" si="9"/>
        <v>50.333333333333336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>
        <v>3</v>
      </c>
      <c r="K22" s="19">
        <v>38</v>
      </c>
      <c r="L22" s="3"/>
      <c r="M22" s="3">
        <v>35</v>
      </c>
      <c r="N22" s="3">
        <v>33</v>
      </c>
      <c r="O22" s="3">
        <v>35</v>
      </c>
      <c r="P22" s="3"/>
      <c r="Q22" s="3"/>
      <c r="R22" s="3"/>
      <c r="S22" s="4">
        <f t="shared" si="0"/>
        <v>34.333333333333336</v>
      </c>
      <c r="T22" s="3"/>
      <c r="U22" s="44">
        <f t="shared" si="1"/>
        <v>34.333333333333336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34.333333333333336</v>
      </c>
      <c r="AO22" s="5" t="str">
        <f t="shared" si="8"/>
        <v/>
      </c>
      <c r="AP22" s="48">
        <f t="shared" si="9"/>
        <v>34.333333333333336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>
        <v>2</v>
      </c>
      <c r="K23" s="19">
        <v>40</v>
      </c>
      <c r="L23" s="3"/>
      <c r="M23" s="3">
        <v>35</v>
      </c>
      <c r="N23" s="3">
        <v>35</v>
      </c>
      <c r="O23" s="3">
        <v>32</v>
      </c>
      <c r="P23" s="3"/>
      <c r="Q23" s="3"/>
      <c r="R23" s="3"/>
      <c r="S23" s="4">
        <f t="shared" si="0"/>
        <v>34</v>
      </c>
      <c r="T23" s="3"/>
      <c r="U23" s="44">
        <f t="shared" si="1"/>
        <v>34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34</v>
      </c>
      <c r="AO23" s="5" t="str">
        <f t="shared" si="8"/>
        <v/>
      </c>
      <c r="AP23" s="48">
        <f t="shared" si="9"/>
        <v>34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>
        <v>85</v>
      </c>
      <c r="L24" s="3"/>
      <c r="M24" s="3">
        <v>40</v>
      </c>
      <c r="N24" s="3">
        <v>35</v>
      </c>
      <c r="O24" s="3">
        <v>41</v>
      </c>
      <c r="P24" s="3"/>
      <c r="Q24" s="3"/>
      <c r="R24" s="3"/>
      <c r="S24" s="4">
        <f t="shared" si="0"/>
        <v>38.666666666666664</v>
      </c>
      <c r="T24" s="3"/>
      <c r="U24" s="44">
        <f t="shared" si="1"/>
        <v>38.666666666666664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38.666666666666664</v>
      </c>
      <c r="AO24" s="5" t="str">
        <f t="shared" si="8"/>
        <v/>
      </c>
      <c r="AP24" s="48">
        <f t="shared" si="9"/>
        <v>38.666666666666664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>
        <v>71</v>
      </c>
      <c r="L25" s="3"/>
      <c r="M25" s="3">
        <v>58</v>
      </c>
      <c r="N25" s="3">
        <v>65</v>
      </c>
      <c r="O25" s="3">
        <v>65</v>
      </c>
      <c r="P25" s="3"/>
      <c r="Q25" s="3"/>
      <c r="R25" s="3"/>
      <c r="S25" s="4">
        <f t="shared" si="0"/>
        <v>62.666666666666664</v>
      </c>
      <c r="T25" s="3"/>
      <c r="U25" s="44">
        <f t="shared" si="1"/>
        <v>62.666666666666664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62.666666666666664</v>
      </c>
      <c r="AO25" s="5" t="str">
        <f t="shared" si="8"/>
        <v/>
      </c>
      <c r="AP25" s="48">
        <f t="shared" si="9"/>
        <v>62.666666666666664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>
        <f t="shared" ref="K56:AQ56" si="10">IFERROR(AVERAGE(K6:K55),"")</f>
        <v>61.45</v>
      </c>
      <c r="L56" s="31" t="str">
        <f t="shared" si="10"/>
        <v/>
      </c>
      <c r="M56" s="31">
        <f t="shared" si="10"/>
        <v>43.6</v>
      </c>
      <c r="N56" s="31">
        <f t="shared" si="10"/>
        <v>43.65</v>
      </c>
      <c r="O56" s="31">
        <f t="shared" si="10"/>
        <v>49.1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45.45</v>
      </c>
      <c r="T56" s="31" t="str">
        <f t="shared" si="10"/>
        <v/>
      </c>
      <c r="U56" s="31">
        <f t="shared" si="10"/>
        <v>45.45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45.45</v>
      </c>
      <c r="AO56" s="31" t="str">
        <f t="shared" si="10"/>
        <v/>
      </c>
      <c r="AP56" s="31">
        <f t="shared" si="10"/>
        <v>45.45</v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3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6</v>
      </c>
      <c r="L59" s="6">
        <f t="shared" si="12"/>
        <v>0</v>
      </c>
      <c r="M59" s="6">
        <f t="shared" si="12"/>
        <v>3</v>
      </c>
      <c r="N59" s="6">
        <f t="shared" si="12"/>
        <v>3</v>
      </c>
      <c r="O59" s="6">
        <f t="shared" si="12"/>
        <v>4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4</v>
      </c>
      <c r="T59" s="6">
        <f t="shared" si="12"/>
        <v>0</v>
      </c>
      <c r="U59" s="8">
        <f t="shared" si="12"/>
        <v>4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4</v>
      </c>
      <c r="AO59" s="7">
        <f t="shared" si="12"/>
        <v>0</v>
      </c>
      <c r="AP59" s="7">
        <f t="shared" si="12"/>
        <v>4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11</v>
      </c>
      <c r="L60" s="6">
        <f t="shared" si="13"/>
        <v>0</v>
      </c>
      <c r="M60" s="6">
        <f t="shared" si="13"/>
        <v>17</v>
      </c>
      <c r="N60" s="6">
        <f t="shared" si="13"/>
        <v>17</v>
      </c>
      <c r="O60" s="6">
        <f t="shared" si="13"/>
        <v>16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16</v>
      </c>
      <c r="T60" s="6">
        <f t="shared" si="13"/>
        <v>0</v>
      </c>
      <c r="U60" s="8">
        <f t="shared" si="13"/>
        <v>16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16</v>
      </c>
      <c r="AO60" s="7">
        <f t="shared" si="13"/>
        <v>0</v>
      </c>
      <c r="AP60" s="7">
        <f t="shared" si="13"/>
        <v>16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>
        <f>IFERROR(K58*100/K62,"")</f>
        <v>15</v>
      </c>
      <c r="L63" s="64" t="str">
        <f t="shared" ref="L63:AQ63" si="17">IFERROR(L58*100/L62,"")</f>
        <v/>
      </c>
      <c r="M63" s="64">
        <f t="shared" si="17"/>
        <v>0</v>
      </c>
      <c r="N63" s="64">
        <f t="shared" si="17"/>
        <v>0</v>
      </c>
      <c r="O63" s="64">
        <f t="shared" si="17"/>
        <v>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0</v>
      </c>
      <c r="T63" s="64" t="str">
        <f t="shared" si="17"/>
        <v/>
      </c>
      <c r="U63" s="44">
        <f t="shared" si="17"/>
        <v>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0</v>
      </c>
      <c r="AO63" s="48" t="str">
        <f t="shared" si="17"/>
        <v/>
      </c>
      <c r="AP63" s="48">
        <f t="shared" si="17"/>
        <v>0</v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>
        <f>IFERROR(K59*100/K62,"")</f>
        <v>30</v>
      </c>
      <c r="L64" s="66" t="str">
        <f t="shared" ref="L64:AQ64" si="18">IFERROR(L59*100/L62,"")</f>
        <v/>
      </c>
      <c r="M64" s="66">
        <f t="shared" si="18"/>
        <v>15</v>
      </c>
      <c r="N64" s="66">
        <f t="shared" si="18"/>
        <v>15</v>
      </c>
      <c r="O64" s="66">
        <f t="shared" si="18"/>
        <v>20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20</v>
      </c>
      <c r="T64" s="66" t="str">
        <f t="shared" si="18"/>
        <v/>
      </c>
      <c r="U64" s="4">
        <f t="shared" si="18"/>
        <v>20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20</v>
      </c>
      <c r="AO64" s="5" t="str">
        <f t="shared" si="18"/>
        <v/>
      </c>
      <c r="AP64" s="5">
        <f t="shared" si="18"/>
        <v>20</v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>
        <f>IFERROR(K60*100/K62,"")</f>
        <v>55</v>
      </c>
      <c r="L65" s="66" t="str">
        <f t="shared" ref="L65:AQ65" si="19">IFERROR(L60*100/L62,"")</f>
        <v/>
      </c>
      <c r="M65" s="66">
        <f t="shared" si="19"/>
        <v>85</v>
      </c>
      <c r="N65" s="66">
        <f t="shared" si="19"/>
        <v>85</v>
      </c>
      <c r="O65" s="66">
        <f t="shared" si="19"/>
        <v>80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80</v>
      </c>
      <c r="T65" s="66" t="str">
        <f t="shared" si="19"/>
        <v/>
      </c>
      <c r="U65" s="4">
        <f t="shared" si="19"/>
        <v>80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80</v>
      </c>
      <c r="AO65" s="5" t="str">
        <f t="shared" si="19"/>
        <v/>
      </c>
      <c r="AP65" s="5">
        <f t="shared" si="19"/>
        <v>80</v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>
        <f>IFERROR(K61*100/K62,"")</f>
        <v>0</v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189" t="s">
        <v>29</v>
      </c>
      <c r="C69" s="191">
        <f>C2</f>
        <v>8</v>
      </c>
      <c r="D69" s="189" t="s">
        <v>41</v>
      </c>
      <c r="E69" s="190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Azərbaycan tarixi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 t="str">
        <f>AB2</f>
        <v>Bayramova Tahirə Müslüm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34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88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2" t="s">
        <v>29</v>
      </c>
      <c r="C156" s="192" t="s">
        <v>41</v>
      </c>
      <c r="D156" s="192" t="s">
        <v>30</v>
      </c>
      <c r="E156" s="19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2">
        <f>C2</f>
        <v>8</v>
      </c>
      <c r="C157" s="192" t="str">
        <f>E2</f>
        <v>e</v>
      </c>
      <c r="D157" s="192" t="str">
        <f>N2</f>
        <v>Azərbaycan tarixi</v>
      </c>
      <c r="E157" s="192" t="str">
        <f>AB2</f>
        <v>Bayramova Tahirə Müslüm</v>
      </c>
      <c r="F157" s="192">
        <f>AP2</f>
        <v>34</v>
      </c>
      <c r="G157" s="192" t="str">
        <f>H2</f>
        <v>Azərbaycan</v>
      </c>
      <c r="H157" s="192">
        <f>COUNTIF(F6:F55,"k")</f>
        <v>13</v>
      </c>
      <c r="I157" s="192">
        <f>COUNTIF(F6:F55,"q")</f>
        <v>7</v>
      </c>
      <c r="J157" s="192">
        <f>SUM(H157:I157)</f>
        <v>20</v>
      </c>
      <c r="K157" s="2">
        <f>(K158*100)/(F157*H157)</f>
        <v>4.5248868778280542</v>
      </c>
      <c r="L157" s="2">
        <f>(L158*100)/(F157*I157)</f>
        <v>3.7815126050420167</v>
      </c>
      <c r="M157" s="2">
        <f>(M158*100)/(F157*J157)</f>
        <v>4.2647058823529411</v>
      </c>
      <c r="N157" s="2">
        <f>K56</f>
        <v>61.45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45.45</v>
      </c>
      <c r="S157" s="2" t="str">
        <f>T56</f>
        <v/>
      </c>
      <c r="T157" s="2">
        <f>U56</f>
        <v>45.45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45.45</v>
      </c>
      <c r="AD157" s="2" t="str">
        <f t="shared" si="21"/>
        <v/>
      </c>
      <c r="AE157" s="2">
        <f t="shared" si="21"/>
        <v>45.45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192">
        <f>SUMIFS(J6:J55,F6:F55,"k")</f>
        <v>20</v>
      </c>
      <c r="L158" s="192">
        <f>SUMIFS(J6:J55,F6:F55,"q")</f>
        <v>9</v>
      </c>
      <c r="M158" s="192">
        <f>SUM(K158:L158)</f>
        <v>29</v>
      </c>
      <c r="N158" s="2">
        <f>(SUMIFS(K6:K55,F6:F55,"k"))/(COUNTIF(F6:F55,"k"))</f>
        <v>57.384615384615387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41.948717948717942</v>
      </c>
      <c r="S158" s="2">
        <f>(SUMIFS(T6:T55,F6:F55,"k"))/(COUNTIF(F6:F55,"k"))</f>
        <v>0</v>
      </c>
      <c r="T158" s="2">
        <f>(SUMIFS(U6:U55,F6:F55,"k"))/(COUNTIF(F6:F55,"k"))</f>
        <v>41.948717948717942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41.948717948717942</v>
      </c>
      <c r="AD158" s="2">
        <f t="shared" si="22"/>
        <v>0</v>
      </c>
      <c r="AE158" s="2">
        <f t="shared" si="22"/>
        <v>41.948717948717942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69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51.952380952380949</v>
      </c>
      <c r="S159" s="2">
        <f>(SUMIFS(T6:T55,F6:F55,"q"))/(COUNTIF(F6:F55,"q"))</f>
        <v>0</v>
      </c>
      <c r="T159" s="2">
        <f>(SUMIFS(U6:U55,F6:F55,"q"))/(COUNTIF(F6:F55,"q"))</f>
        <v>51.952380952380949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51.952380952380949</v>
      </c>
      <c r="AD159" s="2">
        <f t="shared" ref="AD159:AE159" si="23">(SUMIFS(AO6:AO55,$F$6:$F$55,"q"))/(COUNTIF($F$6:$F$55,"q"))</f>
        <v>0</v>
      </c>
      <c r="AE159" s="2">
        <f t="shared" si="23"/>
        <v>51.952380952380949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>
        <f>K63</f>
        <v>15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0</v>
      </c>
      <c r="S160" s="2" t="str">
        <f>T63</f>
        <v/>
      </c>
      <c r="T160" s="2">
        <f>U63</f>
        <v>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0</v>
      </c>
      <c r="AD160" s="2" t="str">
        <f t="shared" si="24"/>
        <v/>
      </c>
      <c r="AE160" s="2">
        <f t="shared" si="24"/>
        <v>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>
        <f t="shared" ref="N161:O163" si="25">K64</f>
        <v>30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20</v>
      </c>
      <c r="S161" s="2" t="str">
        <f t="shared" si="27"/>
        <v/>
      </c>
      <c r="T161" s="2">
        <f t="shared" si="27"/>
        <v>20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20</v>
      </c>
      <c r="AD161" s="2" t="str">
        <f t="shared" si="24"/>
        <v/>
      </c>
      <c r="AE161" s="2">
        <f t="shared" si="24"/>
        <v>20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>
        <f t="shared" si="25"/>
        <v>55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80</v>
      </c>
      <c r="S162" s="2" t="str">
        <f t="shared" si="27"/>
        <v/>
      </c>
      <c r="T162" s="2">
        <f t="shared" si="27"/>
        <v>80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80</v>
      </c>
      <c r="AD162" s="2" t="str">
        <f t="shared" si="24"/>
        <v/>
      </c>
      <c r="AE162" s="2">
        <f t="shared" si="24"/>
        <v>80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AB69:AK69"/>
    <mergeCell ref="AL69:AO69"/>
    <mergeCell ref="AP69:AQ69"/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0" zoomScale="87" zoomScaleNormal="87" workbookViewId="0">
      <selection activeCell="K25" sqref="K25"/>
    </sheetView>
  </sheetViews>
  <sheetFormatPr defaultColWidth="8.85546875" defaultRowHeight="16.5" x14ac:dyDescent="0.25"/>
  <cols>
    <col min="1" max="1" width="1.5703125" style="192" customWidth="1"/>
    <col min="2" max="2" width="9.7109375" style="192" customWidth="1"/>
    <col min="3" max="5" width="20.7109375" style="192" customWidth="1"/>
    <col min="6" max="6" width="6.85546875" style="192" customWidth="1"/>
    <col min="7" max="8" width="5.7109375" style="192" customWidth="1"/>
    <col min="9" max="9" width="8.7109375" style="192" customWidth="1"/>
    <col min="10" max="10" width="9.28515625" style="192" customWidth="1"/>
    <col min="11" max="43" width="6.85546875" style="192" customWidth="1"/>
    <col min="44" max="44" width="1.5703125" style="192" customWidth="1"/>
    <col min="45" max="16384" width="8.85546875" style="192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189" t="s">
        <v>29</v>
      </c>
      <c r="C2" s="191">
        <f>Şagirdlər!D2</f>
        <v>8</v>
      </c>
      <c r="D2" s="189" t="s">
        <v>41</v>
      </c>
      <c r="E2" s="190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Müəllimlər!C12</f>
        <v>Ümumi tarix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 t="str">
        <f>Müəllimlər!D12</f>
        <v>Bayramova Tahirə Müslüm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Müəllimlər!E12</f>
        <v>34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93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94" t="s">
        <v>38</v>
      </c>
      <c r="H5" s="194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>
        <v>48</v>
      </c>
      <c r="L6" s="43"/>
      <c r="M6" s="43">
        <v>20</v>
      </c>
      <c r="N6" s="43">
        <v>35</v>
      </c>
      <c r="O6" s="43">
        <v>39</v>
      </c>
      <c r="P6" s="43"/>
      <c r="Q6" s="43"/>
      <c r="R6" s="43"/>
      <c r="S6" s="44">
        <f>IFERROR(AVERAGE(M6:R6),"")</f>
        <v>31.333333333333332</v>
      </c>
      <c r="T6" s="43"/>
      <c r="U6" s="44">
        <f>IF(T6="",S6,IF(S6="",T6,S6*40/100+T6*60/100))</f>
        <v>31.333333333333332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31.333333333333332</v>
      </c>
      <c r="AO6" s="48" t="str">
        <f>IFERROR(AVERAGE(T6,AG6),"")</f>
        <v/>
      </c>
      <c r="AP6" s="48">
        <f>IF(AO6="",AN6,IF(AN6="",AO6,AN6*40/100+AO6*60/100))</f>
        <v>31.333333333333332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>
        <v>54</v>
      </c>
      <c r="L7" s="3"/>
      <c r="M7" s="3">
        <v>50</v>
      </c>
      <c r="N7" s="3">
        <v>36</v>
      </c>
      <c r="O7" s="3">
        <v>34</v>
      </c>
      <c r="P7" s="3"/>
      <c r="Q7" s="3"/>
      <c r="R7" s="3"/>
      <c r="S7" s="4">
        <f t="shared" ref="S7:S55" si="0">IFERROR(AVERAGE(M7:R7),"")</f>
        <v>40</v>
      </c>
      <c r="T7" s="3"/>
      <c r="U7" s="44">
        <f t="shared" ref="U7:U55" si="1">IF(T7="",S7,IF(S7="",T7,S7*40/100+T7*60/100))</f>
        <v>40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40</v>
      </c>
      <c r="AO7" s="5" t="str">
        <f t="shared" si="8"/>
        <v/>
      </c>
      <c r="AP7" s="48">
        <f t="shared" ref="AP7:AP55" si="9">IF(AO7="",AN7,IF(AN7="",AO7,AN7*40/100+AO7*60/100))</f>
        <v>40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>
        <v>60</v>
      </c>
      <c r="L8" s="3"/>
      <c r="M8" s="3">
        <v>35</v>
      </c>
      <c r="N8" s="3">
        <v>40</v>
      </c>
      <c r="O8" s="3">
        <v>31</v>
      </c>
      <c r="P8" s="3"/>
      <c r="Q8" s="3"/>
      <c r="R8" s="3"/>
      <c r="S8" s="4">
        <f t="shared" si="0"/>
        <v>35.333333333333336</v>
      </c>
      <c r="T8" s="3"/>
      <c r="U8" s="44">
        <f t="shared" si="1"/>
        <v>35.333333333333336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35.333333333333336</v>
      </c>
      <c r="AO8" s="5" t="str">
        <f t="shared" si="8"/>
        <v/>
      </c>
      <c r="AP8" s="48">
        <f t="shared" si="9"/>
        <v>35.333333333333336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>
        <v>68</v>
      </c>
      <c r="L9" s="3"/>
      <c r="M9" s="3">
        <v>35</v>
      </c>
      <c r="N9" s="3">
        <v>35</v>
      </c>
      <c r="O9" s="3">
        <v>35</v>
      </c>
      <c r="P9" s="3"/>
      <c r="Q9" s="3"/>
      <c r="R9" s="3"/>
      <c r="S9" s="4">
        <f t="shared" si="0"/>
        <v>35</v>
      </c>
      <c r="T9" s="3"/>
      <c r="U9" s="44">
        <f t="shared" si="1"/>
        <v>35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35</v>
      </c>
      <c r="AO9" s="5" t="str">
        <f t="shared" si="8"/>
        <v/>
      </c>
      <c r="AP9" s="48">
        <f t="shared" si="9"/>
        <v>35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148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>
        <v>43</v>
      </c>
      <c r="L10" s="3"/>
      <c r="M10" s="3">
        <v>62</v>
      </c>
      <c r="N10" s="3">
        <v>61</v>
      </c>
      <c r="O10" s="3">
        <v>75</v>
      </c>
      <c r="P10" s="3"/>
      <c r="Q10" s="3"/>
      <c r="R10" s="3"/>
      <c r="S10" s="4">
        <f t="shared" si="0"/>
        <v>66</v>
      </c>
      <c r="T10" s="3"/>
      <c r="U10" s="44">
        <f t="shared" si="1"/>
        <v>66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66</v>
      </c>
      <c r="AO10" s="5" t="str">
        <f t="shared" si="8"/>
        <v/>
      </c>
      <c r="AP10" s="48">
        <f t="shared" si="9"/>
        <v>66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>
        <v>100</v>
      </c>
      <c r="L11" s="3"/>
      <c r="M11" s="3">
        <v>78</v>
      </c>
      <c r="N11" s="3">
        <v>85</v>
      </c>
      <c r="O11" s="3">
        <v>80</v>
      </c>
      <c r="P11" s="3"/>
      <c r="Q11" s="3"/>
      <c r="R11" s="3"/>
      <c r="S11" s="4">
        <f t="shared" si="0"/>
        <v>81</v>
      </c>
      <c r="T11" s="3"/>
      <c r="U11" s="44">
        <f t="shared" si="1"/>
        <v>81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81</v>
      </c>
      <c r="AO11" s="5" t="str">
        <f t="shared" si="8"/>
        <v/>
      </c>
      <c r="AP11" s="48">
        <f t="shared" si="9"/>
        <v>81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>
        <v>1</v>
      </c>
      <c r="K12" s="19">
        <v>68</v>
      </c>
      <c r="L12" s="3"/>
      <c r="M12" s="3">
        <v>40</v>
      </c>
      <c r="N12" s="3">
        <v>35</v>
      </c>
      <c r="O12" s="3">
        <v>33</v>
      </c>
      <c r="P12" s="3"/>
      <c r="Q12" s="3"/>
      <c r="R12" s="3"/>
      <c r="S12" s="4">
        <f t="shared" si="0"/>
        <v>36</v>
      </c>
      <c r="T12" s="3"/>
      <c r="U12" s="44">
        <f t="shared" si="1"/>
        <v>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36</v>
      </c>
      <c r="AO12" s="5" t="str">
        <f t="shared" si="8"/>
        <v/>
      </c>
      <c r="AP12" s="48">
        <f t="shared" si="9"/>
        <v>36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>
        <v>1</v>
      </c>
      <c r="K13" s="19">
        <v>38</v>
      </c>
      <c r="L13" s="3"/>
      <c r="M13" s="3">
        <v>43</v>
      </c>
      <c r="N13" s="3">
        <v>34</v>
      </c>
      <c r="O13" s="3">
        <v>31</v>
      </c>
      <c r="P13" s="3"/>
      <c r="Q13" s="3"/>
      <c r="R13" s="3"/>
      <c r="S13" s="4">
        <f t="shared" si="0"/>
        <v>36</v>
      </c>
      <c r="T13" s="3"/>
      <c r="U13" s="44">
        <f t="shared" si="1"/>
        <v>36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36</v>
      </c>
      <c r="AO13" s="5" t="str">
        <f t="shared" si="8"/>
        <v/>
      </c>
      <c r="AP13" s="48">
        <f t="shared" si="9"/>
        <v>36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1</v>
      </c>
      <c r="K14" s="19">
        <v>65</v>
      </c>
      <c r="L14" s="3"/>
      <c r="M14" s="3">
        <v>35</v>
      </c>
      <c r="N14" s="3">
        <v>55</v>
      </c>
      <c r="O14" s="3">
        <v>45</v>
      </c>
      <c r="P14" s="3"/>
      <c r="Q14" s="3"/>
      <c r="R14" s="3"/>
      <c r="S14" s="4">
        <f t="shared" si="0"/>
        <v>45</v>
      </c>
      <c r="T14" s="3"/>
      <c r="U14" s="44">
        <f t="shared" si="1"/>
        <v>45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45</v>
      </c>
      <c r="AO14" s="5" t="str">
        <f t="shared" si="8"/>
        <v/>
      </c>
      <c r="AP14" s="48">
        <f t="shared" si="9"/>
        <v>45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>
        <v>1</v>
      </c>
      <c r="K15" s="19">
        <v>63</v>
      </c>
      <c r="L15" s="3"/>
      <c r="M15" s="3">
        <v>45</v>
      </c>
      <c r="N15" s="3">
        <v>40</v>
      </c>
      <c r="O15" s="3">
        <v>35</v>
      </c>
      <c r="P15" s="3"/>
      <c r="Q15" s="3"/>
      <c r="R15" s="3"/>
      <c r="S15" s="4">
        <f t="shared" si="0"/>
        <v>40</v>
      </c>
      <c r="T15" s="3"/>
      <c r="U15" s="44">
        <f t="shared" si="1"/>
        <v>40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40</v>
      </c>
      <c r="AO15" s="5" t="str">
        <f t="shared" si="8"/>
        <v/>
      </c>
      <c r="AP15" s="48">
        <f t="shared" si="9"/>
        <v>40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1</v>
      </c>
      <c r="K16" s="19">
        <v>45</v>
      </c>
      <c r="L16" s="3"/>
      <c r="M16" s="3">
        <v>45</v>
      </c>
      <c r="N16" s="3">
        <v>50</v>
      </c>
      <c r="O16" s="3">
        <v>33</v>
      </c>
      <c r="P16" s="3"/>
      <c r="Q16" s="3"/>
      <c r="R16" s="3"/>
      <c r="S16" s="4">
        <f t="shared" si="0"/>
        <v>42.666666666666664</v>
      </c>
      <c r="T16" s="3"/>
      <c r="U16" s="44">
        <f t="shared" si="1"/>
        <v>42.666666666666664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42.666666666666664</v>
      </c>
      <c r="AO16" s="5" t="str">
        <f t="shared" si="8"/>
        <v/>
      </c>
      <c r="AP16" s="48">
        <f t="shared" si="9"/>
        <v>42.666666666666664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>
        <v>1</v>
      </c>
      <c r="K17" s="19">
        <v>38</v>
      </c>
      <c r="L17" s="3"/>
      <c r="M17" s="3">
        <v>41</v>
      </c>
      <c r="N17" s="3">
        <v>38</v>
      </c>
      <c r="O17" s="3">
        <v>40</v>
      </c>
      <c r="P17" s="3"/>
      <c r="Q17" s="3"/>
      <c r="R17" s="3"/>
      <c r="S17" s="4">
        <f t="shared" si="0"/>
        <v>39.666666666666664</v>
      </c>
      <c r="T17" s="3"/>
      <c r="U17" s="44">
        <f t="shared" si="1"/>
        <v>39.666666666666664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39.666666666666664</v>
      </c>
      <c r="AO17" s="5" t="str">
        <f t="shared" si="8"/>
        <v/>
      </c>
      <c r="AP17" s="48">
        <f t="shared" si="9"/>
        <v>39.666666666666664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1</v>
      </c>
      <c r="K18" s="19">
        <v>53</v>
      </c>
      <c r="L18" s="3"/>
      <c r="M18" s="3">
        <v>40</v>
      </c>
      <c r="N18" s="3">
        <v>35</v>
      </c>
      <c r="O18" s="3">
        <v>35</v>
      </c>
      <c r="P18" s="3"/>
      <c r="Q18" s="3"/>
      <c r="R18" s="3"/>
      <c r="S18" s="4">
        <f t="shared" si="0"/>
        <v>36.666666666666664</v>
      </c>
      <c r="T18" s="3"/>
      <c r="U18" s="44">
        <f t="shared" si="1"/>
        <v>36.666666666666664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36.666666666666664</v>
      </c>
      <c r="AO18" s="5" t="str">
        <f t="shared" si="8"/>
        <v/>
      </c>
      <c r="AP18" s="48">
        <f t="shared" si="9"/>
        <v>36.666666666666664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>
        <v>1</v>
      </c>
      <c r="K19" s="19">
        <v>73</v>
      </c>
      <c r="L19" s="3"/>
      <c r="M19" s="3">
        <v>31</v>
      </c>
      <c r="N19" s="3">
        <v>40</v>
      </c>
      <c r="O19" s="3">
        <v>32</v>
      </c>
      <c r="P19" s="3"/>
      <c r="Q19" s="3"/>
      <c r="R19" s="3"/>
      <c r="S19" s="4">
        <f t="shared" si="0"/>
        <v>34.333333333333336</v>
      </c>
      <c r="T19" s="3"/>
      <c r="U19" s="44">
        <f t="shared" si="1"/>
        <v>34.333333333333336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34.333333333333336</v>
      </c>
      <c r="AO19" s="5" t="str">
        <f t="shared" si="8"/>
        <v/>
      </c>
      <c r="AP19" s="48">
        <f t="shared" si="9"/>
        <v>34.333333333333336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>
        <v>100</v>
      </c>
      <c r="L20" s="3"/>
      <c r="M20" s="3">
        <v>75</v>
      </c>
      <c r="N20" s="3">
        <v>85</v>
      </c>
      <c r="O20" s="3">
        <v>80</v>
      </c>
      <c r="P20" s="3"/>
      <c r="Q20" s="3"/>
      <c r="R20" s="3"/>
      <c r="S20" s="4">
        <f t="shared" si="0"/>
        <v>80</v>
      </c>
      <c r="T20" s="3"/>
      <c r="U20" s="44">
        <f t="shared" si="1"/>
        <v>80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80</v>
      </c>
      <c r="AO20" s="5" t="str">
        <f t="shared" si="8"/>
        <v/>
      </c>
      <c r="AP20" s="48">
        <f t="shared" si="9"/>
        <v>80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>
        <v>85</v>
      </c>
      <c r="L21" s="3"/>
      <c r="M21" s="3">
        <v>33</v>
      </c>
      <c r="N21" s="3">
        <v>40</v>
      </c>
      <c r="O21" s="3">
        <v>31</v>
      </c>
      <c r="P21" s="3"/>
      <c r="Q21" s="3"/>
      <c r="R21" s="3"/>
      <c r="S21" s="4">
        <f t="shared" si="0"/>
        <v>34.666666666666664</v>
      </c>
      <c r="T21" s="3"/>
      <c r="U21" s="44">
        <f t="shared" si="1"/>
        <v>34.666666666666664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34.666666666666664</v>
      </c>
      <c r="AO21" s="5" t="str">
        <f t="shared" si="8"/>
        <v/>
      </c>
      <c r="AP21" s="48">
        <f t="shared" si="9"/>
        <v>34.666666666666664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>
        <v>1</v>
      </c>
      <c r="K22" s="19">
        <v>38</v>
      </c>
      <c r="L22" s="3"/>
      <c r="M22" s="3">
        <v>38</v>
      </c>
      <c r="N22" s="3">
        <v>33</v>
      </c>
      <c r="O22" s="3">
        <v>31</v>
      </c>
      <c r="P22" s="3"/>
      <c r="Q22" s="3"/>
      <c r="R22" s="3"/>
      <c r="S22" s="4">
        <f t="shared" si="0"/>
        <v>34</v>
      </c>
      <c r="T22" s="3"/>
      <c r="U22" s="44">
        <f t="shared" si="1"/>
        <v>34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34</v>
      </c>
      <c r="AO22" s="5" t="str">
        <f t="shared" si="8"/>
        <v/>
      </c>
      <c r="AP22" s="48">
        <f t="shared" si="9"/>
        <v>34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>
        <v>38</v>
      </c>
      <c r="L23" s="3"/>
      <c r="M23" s="3">
        <v>15</v>
      </c>
      <c r="N23" s="3">
        <v>35</v>
      </c>
      <c r="O23" s="3">
        <v>34</v>
      </c>
      <c r="P23" s="3"/>
      <c r="Q23" s="3"/>
      <c r="R23" s="3"/>
      <c r="S23" s="4">
        <f t="shared" si="0"/>
        <v>28</v>
      </c>
      <c r="T23" s="3"/>
      <c r="U23" s="44">
        <f t="shared" si="1"/>
        <v>28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28</v>
      </c>
      <c r="AO23" s="5" t="str">
        <f t="shared" si="8"/>
        <v/>
      </c>
      <c r="AP23" s="48">
        <f t="shared" si="9"/>
        <v>28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>
        <v>85</v>
      </c>
      <c r="L24" s="3"/>
      <c r="M24" s="3">
        <v>35</v>
      </c>
      <c r="N24" s="3">
        <v>33</v>
      </c>
      <c r="O24" s="3">
        <v>31</v>
      </c>
      <c r="P24" s="3"/>
      <c r="Q24" s="3"/>
      <c r="R24" s="3"/>
      <c r="S24" s="4">
        <f t="shared" si="0"/>
        <v>33</v>
      </c>
      <c r="T24" s="3"/>
      <c r="U24" s="44">
        <f t="shared" si="1"/>
        <v>33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33</v>
      </c>
      <c r="AO24" s="5" t="str">
        <f t="shared" si="8"/>
        <v/>
      </c>
      <c r="AP24" s="48">
        <f t="shared" si="9"/>
        <v>33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>
        <v>76</v>
      </c>
      <c r="L25" s="3"/>
      <c r="M25" s="3">
        <v>75</v>
      </c>
      <c r="N25" s="3">
        <v>55</v>
      </c>
      <c r="O25" s="3">
        <v>55</v>
      </c>
      <c r="P25" s="3"/>
      <c r="Q25" s="3"/>
      <c r="R25" s="3"/>
      <c r="S25" s="4">
        <f t="shared" si="0"/>
        <v>61.666666666666664</v>
      </c>
      <c r="T25" s="3"/>
      <c r="U25" s="44">
        <f t="shared" si="1"/>
        <v>61.666666666666664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61.666666666666664</v>
      </c>
      <c r="AO25" s="5" t="str">
        <f t="shared" si="8"/>
        <v/>
      </c>
      <c r="AP25" s="48">
        <f t="shared" si="9"/>
        <v>61.666666666666664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>
        <f t="shared" ref="K56:AQ56" si="10">IFERROR(AVERAGE(K6:K55),"")</f>
        <v>61.9</v>
      </c>
      <c r="L56" s="31" t="str">
        <f t="shared" si="10"/>
        <v/>
      </c>
      <c r="M56" s="31">
        <f t="shared" si="10"/>
        <v>43.55</v>
      </c>
      <c r="N56" s="31">
        <f t="shared" si="10"/>
        <v>45</v>
      </c>
      <c r="O56" s="31">
        <f t="shared" si="10"/>
        <v>42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43.516666666666666</v>
      </c>
      <c r="T56" s="31" t="str">
        <f t="shared" si="10"/>
        <v/>
      </c>
      <c r="U56" s="31">
        <f t="shared" si="10"/>
        <v>43.516666666666666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43.516666666666666</v>
      </c>
      <c r="AO56" s="31" t="str">
        <f t="shared" si="10"/>
        <v/>
      </c>
      <c r="AP56" s="31">
        <f t="shared" si="10"/>
        <v>43.516666666666666</v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4</v>
      </c>
      <c r="L58" s="57">
        <f t="shared" si="11"/>
        <v>0</v>
      </c>
      <c r="M58" s="57">
        <f t="shared" si="11"/>
        <v>0</v>
      </c>
      <c r="N58" s="57">
        <f t="shared" si="11"/>
        <v>2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1</v>
      </c>
      <c r="T58" s="57">
        <f t="shared" si="11"/>
        <v>0</v>
      </c>
      <c r="U58" s="34">
        <f t="shared" si="11"/>
        <v>1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1</v>
      </c>
      <c r="AO58" s="37">
        <f t="shared" si="11"/>
        <v>0</v>
      </c>
      <c r="AP58" s="37">
        <f t="shared" si="11"/>
        <v>1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6</v>
      </c>
      <c r="L59" s="6">
        <f t="shared" si="12"/>
        <v>0</v>
      </c>
      <c r="M59" s="6">
        <f t="shared" si="12"/>
        <v>4</v>
      </c>
      <c r="N59" s="6">
        <f t="shared" si="12"/>
        <v>1</v>
      </c>
      <c r="O59" s="6">
        <f t="shared" si="12"/>
        <v>3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3</v>
      </c>
      <c r="T59" s="6">
        <f t="shared" si="12"/>
        <v>0</v>
      </c>
      <c r="U59" s="8">
        <f t="shared" si="12"/>
        <v>3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3</v>
      </c>
      <c r="AO59" s="7">
        <f t="shared" si="12"/>
        <v>0</v>
      </c>
      <c r="AP59" s="7">
        <f t="shared" si="12"/>
        <v>3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10</v>
      </c>
      <c r="L60" s="6">
        <f t="shared" si="13"/>
        <v>0</v>
      </c>
      <c r="M60" s="6">
        <f t="shared" si="13"/>
        <v>14</v>
      </c>
      <c r="N60" s="6">
        <f t="shared" si="13"/>
        <v>17</v>
      </c>
      <c r="O60" s="6">
        <f t="shared" si="13"/>
        <v>17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15</v>
      </c>
      <c r="T60" s="6">
        <f t="shared" si="13"/>
        <v>0</v>
      </c>
      <c r="U60" s="8">
        <f t="shared" si="13"/>
        <v>15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0</v>
      </c>
      <c r="AP60" s="7">
        <f t="shared" si="13"/>
        <v>15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2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1</v>
      </c>
      <c r="T61" s="6">
        <f t="shared" si="14"/>
        <v>0</v>
      </c>
      <c r="U61" s="8">
        <f t="shared" si="14"/>
        <v>1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1</v>
      </c>
      <c r="AO61" s="7">
        <f t="shared" si="14"/>
        <v>0</v>
      </c>
      <c r="AP61" s="7">
        <f t="shared" si="14"/>
        <v>1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>
        <f>IFERROR(K58*100/K62,"")</f>
        <v>20</v>
      </c>
      <c r="L63" s="64" t="str">
        <f t="shared" ref="L63:AQ63" si="17">IFERROR(L58*100/L62,"")</f>
        <v/>
      </c>
      <c r="M63" s="64">
        <f t="shared" si="17"/>
        <v>0</v>
      </c>
      <c r="N63" s="64">
        <f t="shared" si="17"/>
        <v>10</v>
      </c>
      <c r="O63" s="64">
        <f t="shared" si="17"/>
        <v>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5</v>
      </c>
      <c r="T63" s="64" t="str">
        <f t="shared" si="17"/>
        <v/>
      </c>
      <c r="U63" s="44">
        <f t="shared" si="17"/>
        <v>5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5</v>
      </c>
      <c r="AO63" s="48" t="str">
        <f t="shared" si="17"/>
        <v/>
      </c>
      <c r="AP63" s="48">
        <f t="shared" si="17"/>
        <v>5</v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>
        <f>IFERROR(K59*100/K62,"")</f>
        <v>30</v>
      </c>
      <c r="L64" s="66" t="str">
        <f t="shared" ref="L64:AQ64" si="18">IFERROR(L59*100/L62,"")</f>
        <v/>
      </c>
      <c r="M64" s="66">
        <f t="shared" si="18"/>
        <v>20</v>
      </c>
      <c r="N64" s="66">
        <f t="shared" si="18"/>
        <v>5</v>
      </c>
      <c r="O64" s="66">
        <f t="shared" si="18"/>
        <v>15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15</v>
      </c>
      <c r="T64" s="66" t="str">
        <f t="shared" si="18"/>
        <v/>
      </c>
      <c r="U64" s="4">
        <f t="shared" si="18"/>
        <v>15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15</v>
      </c>
      <c r="AO64" s="5" t="str">
        <f t="shared" si="18"/>
        <v/>
      </c>
      <c r="AP64" s="5">
        <f t="shared" si="18"/>
        <v>15</v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>
        <f>IFERROR(K60*100/K62,"")</f>
        <v>50</v>
      </c>
      <c r="L65" s="66" t="str">
        <f t="shared" ref="L65:AQ65" si="19">IFERROR(L60*100/L62,"")</f>
        <v/>
      </c>
      <c r="M65" s="66">
        <f t="shared" si="19"/>
        <v>70</v>
      </c>
      <c r="N65" s="66">
        <f t="shared" si="19"/>
        <v>85</v>
      </c>
      <c r="O65" s="66">
        <f t="shared" si="19"/>
        <v>85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75</v>
      </c>
      <c r="T65" s="66" t="str">
        <f t="shared" si="19"/>
        <v/>
      </c>
      <c r="U65" s="4">
        <f t="shared" si="19"/>
        <v>75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75</v>
      </c>
      <c r="AO65" s="5" t="str">
        <f t="shared" si="19"/>
        <v/>
      </c>
      <c r="AP65" s="5">
        <f t="shared" si="19"/>
        <v>75</v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>
        <f>IFERROR(K61*100/K62,"")</f>
        <v>0</v>
      </c>
      <c r="L66" s="68" t="str">
        <f t="shared" ref="L66:AQ66" si="20">IFERROR(L61*100/L62,"")</f>
        <v/>
      </c>
      <c r="M66" s="68">
        <f t="shared" si="20"/>
        <v>10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5</v>
      </c>
      <c r="T66" s="68" t="str">
        <f t="shared" si="20"/>
        <v/>
      </c>
      <c r="U66" s="69">
        <f t="shared" si="20"/>
        <v>5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5</v>
      </c>
      <c r="AO66" s="73" t="str">
        <f t="shared" si="20"/>
        <v/>
      </c>
      <c r="AP66" s="73">
        <f t="shared" si="20"/>
        <v>5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189" t="s">
        <v>29</v>
      </c>
      <c r="C69" s="191">
        <f>C2</f>
        <v>8</v>
      </c>
      <c r="D69" s="189" t="s">
        <v>41</v>
      </c>
      <c r="E69" s="190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Ümumi tarix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 t="str">
        <f>AB2</f>
        <v>Bayramova Tahirə Müslüm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34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88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2" t="s">
        <v>29</v>
      </c>
      <c r="C156" s="192" t="s">
        <v>41</v>
      </c>
      <c r="D156" s="192" t="s">
        <v>30</v>
      </c>
      <c r="E156" s="19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2">
        <f>C2</f>
        <v>8</v>
      </c>
      <c r="C157" s="192" t="str">
        <f>E2</f>
        <v>e</v>
      </c>
      <c r="D157" s="192" t="str">
        <f>N2</f>
        <v>Ümumi tarix</v>
      </c>
      <c r="E157" s="192" t="str">
        <f>AB2</f>
        <v>Bayramova Tahirə Müslüm</v>
      </c>
      <c r="F157" s="192">
        <f>AP2</f>
        <v>34</v>
      </c>
      <c r="G157" s="192" t="str">
        <f>H2</f>
        <v>Azərbaycan</v>
      </c>
      <c r="H157" s="192">
        <f>COUNTIF(F6:F55,"k")</f>
        <v>13</v>
      </c>
      <c r="I157" s="192">
        <f>COUNTIF(F6:F55,"q")</f>
        <v>7</v>
      </c>
      <c r="J157" s="192">
        <f>SUM(H157:I157)</f>
        <v>20</v>
      </c>
      <c r="K157" s="2">
        <f>(K158*100)/(F157*H157)</f>
        <v>1.1312217194570136</v>
      </c>
      <c r="L157" s="2">
        <f>(L158*100)/(F157*I157)</f>
        <v>1.680672268907563</v>
      </c>
      <c r="M157" s="2">
        <f>(M158*100)/(F157*J157)</f>
        <v>1.3235294117647058</v>
      </c>
      <c r="N157" s="2">
        <f>K56</f>
        <v>61.9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43.516666666666666</v>
      </c>
      <c r="S157" s="2" t="str">
        <f>T56</f>
        <v/>
      </c>
      <c r="T157" s="2">
        <f>U56</f>
        <v>43.516666666666666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43.516666666666666</v>
      </c>
      <c r="AD157" s="2" t="str">
        <f t="shared" si="21"/>
        <v/>
      </c>
      <c r="AE157" s="2">
        <f t="shared" si="21"/>
        <v>43.516666666666666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192">
        <f>SUMIFS(J6:J55,F6:F55,"k")</f>
        <v>5</v>
      </c>
      <c r="L158" s="192">
        <f>SUMIFS(J6:J55,F6:F55,"q")</f>
        <v>4</v>
      </c>
      <c r="M158" s="192">
        <f>SUM(K158:L158)</f>
        <v>9</v>
      </c>
      <c r="N158" s="2">
        <f>(SUMIFS(K6:K55,F6:F55,"k"))/(COUNTIF(F6:F55,"k"))</f>
        <v>57.230769230769234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39.230769230769234</v>
      </c>
      <c r="S158" s="2">
        <f>(SUMIFS(T6:T55,F6:F55,"k"))/(COUNTIF(F6:F55,"k"))</f>
        <v>0</v>
      </c>
      <c r="T158" s="2">
        <f>(SUMIFS(U6:U55,F6:F55,"k"))/(COUNTIF(F6:F55,"k"))</f>
        <v>39.230769230769234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39.230769230769234</v>
      </c>
      <c r="AD158" s="2">
        <f t="shared" si="22"/>
        <v>0</v>
      </c>
      <c r="AE158" s="2">
        <f t="shared" si="22"/>
        <v>39.230769230769234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70.571428571428569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51.476190476190474</v>
      </c>
      <c r="S159" s="2">
        <f>(SUMIFS(T6:T55,F6:F55,"q"))/(COUNTIF(F6:F55,"q"))</f>
        <v>0</v>
      </c>
      <c r="T159" s="2">
        <f>(SUMIFS(U6:U55,F6:F55,"q"))/(COUNTIF(F6:F55,"q"))</f>
        <v>51.476190476190474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51.476190476190474</v>
      </c>
      <c r="AD159" s="2">
        <f t="shared" ref="AD159:AE159" si="23">(SUMIFS(AO6:AO55,$F$6:$F$55,"q"))/(COUNTIF($F$6:$F$55,"q"))</f>
        <v>0</v>
      </c>
      <c r="AE159" s="2">
        <f t="shared" si="23"/>
        <v>51.476190476190474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>
        <f>K63</f>
        <v>20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5</v>
      </c>
      <c r="S160" s="2" t="str">
        <f>T63</f>
        <v/>
      </c>
      <c r="T160" s="2">
        <f>U63</f>
        <v>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5</v>
      </c>
      <c r="AD160" s="2" t="str">
        <f t="shared" si="24"/>
        <v/>
      </c>
      <c r="AE160" s="2">
        <f t="shared" si="24"/>
        <v>5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>
        <f t="shared" ref="N161:O163" si="25">K64</f>
        <v>30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15</v>
      </c>
      <c r="S161" s="2" t="str">
        <f t="shared" si="27"/>
        <v/>
      </c>
      <c r="T161" s="2">
        <f t="shared" si="27"/>
        <v>15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15</v>
      </c>
      <c r="AD161" s="2" t="str">
        <f t="shared" si="24"/>
        <v/>
      </c>
      <c r="AE161" s="2">
        <f t="shared" si="24"/>
        <v>15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>
        <f t="shared" si="25"/>
        <v>50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75</v>
      </c>
      <c r="S162" s="2" t="str">
        <f t="shared" si="27"/>
        <v/>
      </c>
      <c r="T162" s="2">
        <f t="shared" si="27"/>
        <v>75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75</v>
      </c>
      <c r="AD162" s="2" t="str">
        <f t="shared" si="24"/>
        <v/>
      </c>
      <c r="AE162" s="2">
        <f t="shared" si="24"/>
        <v>75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5</v>
      </c>
      <c r="S163" s="2" t="str">
        <f t="shared" si="27"/>
        <v/>
      </c>
      <c r="T163" s="2">
        <f t="shared" si="27"/>
        <v>5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5</v>
      </c>
      <c r="AD163" s="2" t="str">
        <f t="shared" si="24"/>
        <v/>
      </c>
      <c r="AE163" s="2">
        <f t="shared" si="24"/>
        <v>5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AB69:AK69"/>
    <mergeCell ref="AL69:AO69"/>
    <mergeCell ref="AP69:AQ69"/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6" zoomScale="93" zoomScaleNormal="93" workbookViewId="0">
      <selection activeCell="K25" sqref="K25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Müəllimlər!C13</f>
        <v>Fizika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 t="str">
        <f>Müəllimlər!D13</f>
        <v>Süleymanava Nərminə Əlövsət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Müəllimlər!E13</f>
        <v>68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95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96" t="s">
        <v>38</v>
      </c>
      <c r="H5" s="196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>
        <v>5</v>
      </c>
      <c r="K6" s="42">
        <v>43</v>
      </c>
      <c r="L6" s="43"/>
      <c r="M6" s="43">
        <v>55</v>
      </c>
      <c r="N6" s="43">
        <v>35</v>
      </c>
      <c r="O6" s="43">
        <v>55</v>
      </c>
      <c r="P6" s="43">
        <v>40</v>
      </c>
      <c r="Q6" s="43"/>
      <c r="R6" s="43"/>
      <c r="S6" s="44">
        <f>IFERROR(AVERAGE(M6:R6),"")</f>
        <v>46.25</v>
      </c>
      <c r="T6" s="43"/>
      <c r="U6" s="44">
        <f>IF(T6="",S6,IF(S6="",T6,S6*40/100+T6*60/100))</f>
        <v>46.25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46.25</v>
      </c>
      <c r="AO6" s="48" t="str">
        <f>IFERROR(AVERAGE(T6,AG6),"")</f>
        <v/>
      </c>
      <c r="AP6" s="48">
        <f>IF(AO6="",AN6,IF(AN6="",AO6,AN6*40/100+AO6*60/100))</f>
        <v>46.25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>
        <v>3</v>
      </c>
      <c r="K7" s="19">
        <v>61</v>
      </c>
      <c r="L7" s="3"/>
      <c r="M7" s="3">
        <v>55</v>
      </c>
      <c r="N7" s="3">
        <v>35</v>
      </c>
      <c r="O7" s="3">
        <v>35</v>
      </c>
      <c r="P7" s="3">
        <v>60</v>
      </c>
      <c r="Q7" s="3"/>
      <c r="R7" s="3"/>
      <c r="S7" s="4">
        <f t="shared" ref="S7:S55" si="0">IFERROR(AVERAGE(M7:R7),"")</f>
        <v>46.25</v>
      </c>
      <c r="T7" s="3"/>
      <c r="U7" s="44">
        <f t="shared" ref="U7:U55" si="1">IF(T7="",S7,IF(S7="",T7,S7*40/100+T7*60/100))</f>
        <v>46.25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46.25</v>
      </c>
      <c r="AO7" s="5" t="str">
        <f t="shared" si="8"/>
        <v/>
      </c>
      <c r="AP7" s="48">
        <f t="shared" ref="AP7:AP55" si="9">IF(AO7="",AN7,IF(AN7="",AO7,AN7*40/100+AO7*60/100))</f>
        <v>46.25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>
        <v>3</v>
      </c>
      <c r="K8" s="19">
        <v>62</v>
      </c>
      <c r="L8" s="3"/>
      <c r="M8" s="3">
        <v>35</v>
      </c>
      <c r="N8" s="3">
        <v>35</v>
      </c>
      <c r="O8" s="3">
        <v>55</v>
      </c>
      <c r="P8" s="3">
        <v>35</v>
      </c>
      <c r="Q8" s="3"/>
      <c r="R8" s="3"/>
      <c r="S8" s="4">
        <f t="shared" si="0"/>
        <v>40</v>
      </c>
      <c r="T8" s="3"/>
      <c r="U8" s="44">
        <f t="shared" si="1"/>
        <v>40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40</v>
      </c>
      <c r="AO8" s="5" t="str">
        <f t="shared" si="8"/>
        <v/>
      </c>
      <c r="AP8" s="48">
        <f t="shared" si="9"/>
        <v>40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2</v>
      </c>
      <c r="K9" s="19">
        <v>83</v>
      </c>
      <c r="L9" s="3"/>
      <c r="M9" s="3">
        <v>65</v>
      </c>
      <c r="N9" s="3">
        <v>45</v>
      </c>
      <c r="O9" s="3">
        <v>75</v>
      </c>
      <c r="P9" s="3">
        <v>60</v>
      </c>
      <c r="Q9" s="3"/>
      <c r="R9" s="3"/>
      <c r="S9" s="4">
        <f t="shared" si="0"/>
        <v>61.25</v>
      </c>
      <c r="T9" s="3"/>
      <c r="U9" s="44">
        <f t="shared" si="1"/>
        <v>61.25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61.25</v>
      </c>
      <c r="AO9" s="5" t="str">
        <f t="shared" si="8"/>
        <v/>
      </c>
      <c r="AP9" s="48">
        <f t="shared" si="9"/>
        <v>61.25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tr">
        <f>IF(Şagirdlər!E9="","",Şagirdlər!E9)</f>
        <v>İlhan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>
        <v>42</v>
      </c>
      <c r="L10" s="3"/>
      <c r="M10" s="3">
        <v>70</v>
      </c>
      <c r="N10" s="3">
        <v>35</v>
      </c>
      <c r="O10" s="3">
        <v>70</v>
      </c>
      <c r="P10" s="3">
        <v>70</v>
      </c>
      <c r="Q10" s="3"/>
      <c r="R10" s="3"/>
      <c r="S10" s="4">
        <f t="shared" si="0"/>
        <v>61.25</v>
      </c>
      <c r="T10" s="3"/>
      <c r="U10" s="44">
        <f t="shared" si="1"/>
        <v>61.25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61.25</v>
      </c>
      <c r="AO10" s="5" t="str">
        <f t="shared" si="8"/>
        <v/>
      </c>
      <c r="AP10" s="48">
        <f t="shared" si="9"/>
        <v>61.25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>
        <v>90</v>
      </c>
      <c r="L11" s="3"/>
      <c r="M11" s="3">
        <v>85</v>
      </c>
      <c r="N11" s="3">
        <v>85</v>
      </c>
      <c r="O11" s="3">
        <v>100</v>
      </c>
      <c r="P11" s="3">
        <v>100</v>
      </c>
      <c r="Q11" s="3"/>
      <c r="R11" s="3"/>
      <c r="S11" s="4">
        <f t="shared" si="0"/>
        <v>92.5</v>
      </c>
      <c r="T11" s="3"/>
      <c r="U11" s="44">
        <f t="shared" si="1"/>
        <v>92.5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92.5</v>
      </c>
      <c r="AO11" s="5" t="str">
        <f t="shared" si="8"/>
        <v/>
      </c>
      <c r="AP11" s="48">
        <f t="shared" si="9"/>
        <v>92.5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>
        <v>2</v>
      </c>
      <c r="K12" s="19">
        <v>52</v>
      </c>
      <c r="L12" s="3"/>
      <c r="M12" s="3">
        <v>80</v>
      </c>
      <c r="N12" s="3">
        <v>40</v>
      </c>
      <c r="O12" s="3">
        <v>48</v>
      </c>
      <c r="P12" s="3">
        <v>60</v>
      </c>
      <c r="Q12" s="3"/>
      <c r="R12" s="3"/>
      <c r="S12" s="4">
        <f t="shared" si="0"/>
        <v>57</v>
      </c>
      <c r="T12" s="3"/>
      <c r="U12" s="44">
        <f t="shared" si="1"/>
        <v>57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57</v>
      </c>
      <c r="AO12" s="5" t="str">
        <f t="shared" si="8"/>
        <v/>
      </c>
      <c r="AP12" s="48">
        <f t="shared" si="9"/>
        <v>57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>
        <v>8</v>
      </c>
      <c r="K13" s="19">
        <v>43</v>
      </c>
      <c r="L13" s="3"/>
      <c r="M13" s="3">
        <v>35</v>
      </c>
      <c r="N13" s="3">
        <v>35</v>
      </c>
      <c r="O13" s="3">
        <v>35</v>
      </c>
      <c r="P13" s="3">
        <v>35</v>
      </c>
      <c r="Q13" s="3"/>
      <c r="R13" s="3"/>
      <c r="S13" s="4">
        <f t="shared" si="0"/>
        <v>35</v>
      </c>
      <c r="T13" s="3"/>
      <c r="U13" s="44">
        <f t="shared" si="1"/>
        <v>35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35</v>
      </c>
      <c r="AO13" s="5" t="str">
        <f t="shared" si="8"/>
        <v/>
      </c>
      <c r="AP13" s="48">
        <f t="shared" si="9"/>
        <v>35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3</v>
      </c>
      <c r="K14" s="19">
        <v>63</v>
      </c>
      <c r="L14" s="3"/>
      <c r="M14" s="3">
        <v>95</v>
      </c>
      <c r="N14" s="3">
        <v>80</v>
      </c>
      <c r="O14" s="3">
        <v>100</v>
      </c>
      <c r="P14" s="3">
        <v>100</v>
      </c>
      <c r="Q14" s="3"/>
      <c r="R14" s="3"/>
      <c r="S14" s="4">
        <f t="shared" si="0"/>
        <v>93.75</v>
      </c>
      <c r="T14" s="3"/>
      <c r="U14" s="44">
        <f t="shared" si="1"/>
        <v>93.75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93.75</v>
      </c>
      <c r="AO14" s="5" t="str">
        <f t="shared" si="8"/>
        <v/>
      </c>
      <c r="AP14" s="48">
        <f t="shared" si="9"/>
        <v>93.75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>
        <v>6</v>
      </c>
      <c r="K15" s="19">
        <v>74</v>
      </c>
      <c r="L15" s="3"/>
      <c r="M15" s="3">
        <v>75</v>
      </c>
      <c r="N15" s="3">
        <v>65</v>
      </c>
      <c r="O15" s="3">
        <v>55</v>
      </c>
      <c r="P15" s="3">
        <v>60</v>
      </c>
      <c r="Q15" s="3"/>
      <c r="R15" s="3"/>
      <c r="S15" s="4">
        <f t="shared" si="0"/>
        <v>63.75</v>
      </c>
      <c r="T15" s="3"/>
      <c r="U15" s="44">
        <f t="shared" si="1"/>
        <v>63.75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63.75</v>
      </c>
      <c r="AO15" s="5" t="str">
        <f t="shared" si="8"/>
        <v/>
      </c>
      <c r="AP15" s="48">
        <f t="shared" si="9"/>
        <v>63.75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3</v>
      </c>
      <c r="K16" s="19">
        <v>55</v>
      </c>
      <c r="L16" s="3"/>
      <c r="M16" s="3">
        <v>90</v>
      </c>
      <c r="N16" s="3">
        <v>80</v>
      </c>
      <c r="O16" s="3">
        <v>100</v>
      </c>
      <c r="P16" s="3">
        <v>100</v>
      </c>
      <c r="Q16" s="3"/>
      <c r="R16" s="3"/>
      <c r="S16" s="4">
        <f t="shared" si="0"/>
        <v>92.5</v>
      </c>
      <c r="T16" s="3"/>
      <c r="U16" s="44">
        <f t="shared" si="1"/>
        <v>92.5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92.5</v>
      </c>
      <c r="AO16" s="5" t="str">
        <f t="shared" si="8"/>
        <v/>
      </c>
      <c r="AP16" s="48">
        <f t="shared" si="9"/>
        <v>92.5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>
        <v>9</v>
      </c>
      <c r="K17" s="19">
        <v>45</v>
      </c>
      <c r="L17" s="3"/>
      <c r="M17" s="3">
        <v>35</v>
      </c>
      <c r="N17" s="3">
        <v>35</v>
      </c>
      <c r="O17" s="3">
        <v>35</v>
      </c>
      <c r="P17" s="3">
        <v>35</v>
      </c>
      <c r="Q17" s="3"/>
      <c r="R17" s="3"/>
      <c r="S17" s="4">
        <f t="shared" si="0"/>
        <v>35</v>
      </c>
      <c r="T17" s="3"/>
      <c r="U17" s="44">
        <f t="shared" si="1"/>
        <v>35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35</v>
      </c>
      <c r="AO17" s="5" t="str">
        <f t="shared" si="8"/>
        <v/>
      </c>
      <c r="AP17" s="48">
        <f t="shared" si="9"/>
        <v>35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8</v>
      </c>
      <c r="K18" s="19">
        <v>67</v>
      </c>
      <c r="L18" s="3"/>
      <c r="M18" s="3">
        <v>75</v>
      </c>
      <c r="N18" s="3">
        <v>35</v>
      </c>
      <c r="O18" s="3">
        <v>35</v>
      </c>
      <c r="P18" s="3">
        <v>35</v>
      </c>
      <c r="Q18" s="3"/>
      <c r="R18" s="3"/>
      <c r="S18" s="4">
        <f t="shared" si="0"/>
        <v>45</v>
      </c>
      <c r="T18" s="3"/>
      <c r="U18" s="44">
        <f t="shared" si="1"/>
        <v>45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45</v>
      </c>
      <c r="AO18" s="5" t="str">
        <f t="shared" si="8"/>
        <v/>
      </c>
      <c r="AP18" s="48">
        <f t="shared" si="9"/>
        <v>45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>
        <v>2</v>
      </c>
      <c r="K19" s="19">
        <v>64</v>
      </c>
      <c r="L19" s="3"/>
      <c r="M19" s="3">
        <v>65</v>
      </c>
      <c r="N19" s="3">
        <v>35</v>
      </c>
      <c r="O19" s="3">
        <v>65</v>
      </c>
      <c r="P19" s="3">
        <v>60</v>
      </c>
      <c r="Q19" s="3"/>
      <c r="R19" s="3"/>
      <c r="S19" s="4">
        <f t="shared" si="0"/>
        <v>56.25</v>
      </c>
      <c r="T19" s="3"/>
      <c r="U19" s="44">
        <f t="shared" si="1"/>
        <v>56.25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56.25</v>
      </c>
      <c r="AO19" s="5" t="str">
        <f t="shared" si="8"/>
        <v/>
      </c>
      <c r="AP19" s="48">
        <f t="shared" si="9"/>
        <v>56.25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>
        <v>1</v>
      </c>
      <c r="K20" s="19">
        <v>83</v>
      </c>
      <c r="L20" s="3"/>
      <c r="M20" s="3">
        <v>100</v>
      </c>
      <c r="N20" s="3">
        <v>85</v>
      </c>
      <c r="O20" s="3">
        <v>100</v>
      </c>
      <c r="P20" s="3">
        <v>100</v>
      </c>
      <c r="Q20" s="3"/>
      <c r="R20" s="3"/>
      <c r="S20" s="4">
        <f t="shared" si="0"/>
        <v>96.25</v>
      </c>
      <c r="T20" s="3"/>
      <c r="U20" s="44">
        <f t="shared" si="1"/>
        <v>96.25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96.25</v>
      </c>
      <c r="AO20" s="5" t="str">
        <f t="shared" si="8"/>
        <v/>
      </c>
      <c r="AP20" s="48">
        <f t="shared" si="9"/>
        <v>96.25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>
        <v>5</v>
      </c>
      <c r="K21" s="19">
        <v>83</v>
      </c>
      <c r="L21" s="3"/>
      <c r="M21" s="3">
        <v>65</v>
      </c>
      <c r="N21" s="3">
        <v>35</v>
      </c>
      <c r="O21" s="3">
        <v>90</v>
      </c>
      <c r="P21" s="3">
        <v>95</v>
      </c>
      <c r="Q21" s="3"/>
      <c r="R21" s="3"/>
      <c r="S21" s="4">
        <f t="shared" si="0"/>
        <v>71.25</v>
      </c>
      <c r="T21" s="3"/>
      <c r="U21" s="44">
        <f t="shared" si="1"/>
        <v>71.25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71.25</v>
      </c>
      <c r="AO21" s="5" t="str">
        <f t="shared" si="8"/>
        <v/>
      </c>
      <c r="AP21" s="48">
        <f t="shared" si="9"/>
        <v>71.25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>
        <v>6</v>
      </c>
      <c r="K22" s="19">
        <v>41</v>
      </c>
      <c r="L22" s="3"/>
      <c r="M22" s="3">
        <v>35</v>
      </c>
      <c r="N22" s="3">
        <v>35</v>
      </c>
      <c r="O22" s="3">
        <v>35</v>
      </c>
      <c r="P22" s="3">
        <v>35</v>
      </c>
      <c r="Q22" s="3"/>
      <c r="R22" s="3"/>
      <c r="S22" s="4">
        <f t="shared" si="0"/>
        <v>35</v>
      </c>
      <c r="T22" s="3"/>
      <c r="U22" s="44">
        <f t="shared" si="1"/>
        <v>35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35</v>
      </c>
      <c r="AO22" s="5" t="str">
        <f t="shared" si="8"/>
        <v/>
      </c>
      <c r="AP22" s="48">
        <f t="shared" si="9"/>
        <v>35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>
        <v>2</v>
      </c>
      <c r="K23" s="19">
        <v>44</v>
      </c>
      <c r="L23" s="3"/>
      <c r="M23" s="3">
        <v>35</v>
      </c>
      <c r="N23" s="3">
        <v>50</v>
      </c>
      <c r="O23" s="3">
        <v>35</v>
      </c>
      <c r="P23" s="3">
        <v>33</v>
      </c>
      <c r="Q23" s="3"/>
      <c r="R23" s="3"/>
      <c r="S23" s="4">
        <f t="shared" si="0"/>
        <v>38.25</v>
      </c>
      <c r="T23" s="3"/>
      <c r="U23" s="44">
        <f t="shared" si="1"/>
        <v>38.25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38.25</v>
      </c>
      <c r="AO23" s="5" t="str">
        <f t="shared" si="8"/>
        <v/>
      </c>
      <c r="AP23" s="48">
        <f t="shared" si="9"/>
        <v>38.25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>
        <v>80</v>
      </c>
      <c r="L24" s="3"/>
      <c r="M24" s="3">
        <v>35</v>
      </c>
      <c r="N24" s="3">
        <v>35</v>
      </c>
      <c r="O24" s="3">
        <v>50</v>
      </c>
      <c r="P24" s="3">
        <v>35</v>
      </c>
      <c r="Q24" s="3"/>
      <c r="R24" s="3"/>
      <c r="S24" s="4">
        <f t="shared" si="0"/>
        <v>38.75</v>
      </c>
      <c r="T24" s="3"/>
      <c r="U24" s="44">
        <f t="shared" si="1"/>
        <v>38.75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38.75</v>
      </c>
      <c r="AO24" s="5" t="str">
        <f t="shared" si="8"/>
        <v/>
      </c>
      <c r="AP24" s="48">
        <f t="shared" si="9"/>
        <v>38.75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>
        <v>73</v>
      </c>
      <c r="L25" s="3"/>
      <c r="M25" s="3">
        <v>51</v>
      </c>
      <c r="N25" s="3">
        <v>60</v>
      </c>
      <c r="O25" s="3">
        <v>70</v>
      </c>
      <c r="P25" s="3">
        <v>70</v>
      </c>
      <c r="Q25" s="3"/>
      <c r="R25" s="3"/>
      <c r="S25" s="4">
        <f t="shared" si="0"/>
        <v>62.75</v>
      </c>
      <c r="T25" s="3"/>
      <c r="U25" s="44">
        <f t="shared" si="1"/>
        <v>62.75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62.75</v>
      </c>
      <c r="AO25" s="5" t="str">
        <f t="shared" si="8"/>
        <v/>
      </c>
      <c r="AP25" s="48">
        <f t="shared" si="9"/>
        <v>62.75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>
        <f t="shared" ref="K56:AQ56" si="10">IFERROR(AVERAGE(K6:K55),"")</f>
        <v>62.4</v>
      </c>
      <c r="L56" s="31" t="str">
        <f t="shared" si="10"/>
        <v/>
      </c>
      <c r="M56" s="31">
        <f t="shared" si="10"/>
        <v>61.8</v>
      </c>
      <c r="N56" s="31">
        <f t="shared" si="10"/>
        <v>48.75</v>
      </c>
      <c r="O56" s="31">
        <f t="shared" si="10"/>
        <v>62.15</v>
      </c>
      <c r="P56" s="31">
        <f t="shared" si="10"/>
        <v>60.9</v>
      </c>
      <c r="Q56" s="31" t="str">
        <f t="shared" si="10"/>
        <v/>
      </c>
      <c r="R56" s="31" t="str">
        <f t="shared" si="10"/>
        <v/>
      </c>
      <c r="S56" s="31">
        <f t="shared" si="10"/>
        <v>58.4</v>
      </c>
      <c r="T56" s="31" t="str">
        <f t="shared" si="10"/>
        <v/>
      </c>
      <c r="U56" s="31">
        <f t="shared" si="10"/>
        <v>58.4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58.4</v>
      </c>
      <c r="AO56" s="31" t="str">
        <f t="shared" si="10"/>
        <v/>
      </c>
      <c r="AP56" s="31">
        <f t="shared" si="10"/>
        <v>58.4</v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4</v>
      </c>
      <c r="L58" s="57">
        <f t="shared" si="11"/>
        <v>0</v>
      </c>
      <c r="M58" s="57">
        <f t="shared" si="11"/>
        <v>4</v>
      </c>
      <c r="N58" s="57">
        <f t="shared" si="11"/>
        <v>2</v>
      </c>
      <c r="O58" s="57">
        <f t="shared" si="11"/>
        <v>5</v>
      </c>
      <c r="P58" s="57">
        <f t="shared" si="11"/>
        <v>5</v>
      </c>
      <c r="Q58" s="57">
        <f t="shared" si="11"/>
        <v>0</v>
      </c>
      <c r="R58" s="57">
        <f t="shared" si="11"/>
        <v>0</v>
      </c>
      <c r="S58" s="34">
        <f t="shared" si="11"/>
        <v>4</v>
      </c>
      <c r="T58" s="57">
        <f t="shared" si="11"/>
        <v>0</v>
      </c>
      <c r="U58" s="34">
        <f t="shared" si="11"/>
        <v>4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4</v>
      </c>
      <c r="AO58" s="37">
        <f t="shared" si="11"/>
        <v>0</v>
      </c>
      <c r="AP58" s="37">
        <f t="shared" si="11"/>
        <v>4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8</v>
      </c>
      <c r="L59" s="6">
        <f t="shared" si="12"/>
        <v>0</v>
      </c>
      <c r="M59" s="6">
        <f t="shared" si="12"/>
        <v>7</v>
      </c>
      <c r="N59" s="6">
        <f t="shared" si="12"/>
        <v>3</v>
      </c>
      <c r="O59" s="6">
        <f t="shared" si="12"/>
        <v>4</v>
      </c>
      <c r="P59" s="6">
        <f t="shared" si="12"/>
        <v>2</v>
      </c>
      <c r="Q59" s="6">
        <f t="shared" si="12"/>
        <v>0</v>
      </c>
      <c r="R59" s="6">
        <f t="shared" si="12"/>
        <v>0</v>
      </c>
      <c r="S59" s="8">
        <f t="shared" si="12"/>
        <v>5</v>
      </c>
      <c r="T59" s="6">
        <f t="shared" si="12"/>
        <v>0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5</v>
      </c>
      <c r="AO59" s="7">
        <f t="shared" si="12"/>
        <v>0</v>
      </c>
      <c r="AP59" s="7">
        <f t="shared" si="12"/>
        <v>5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8</v>
      </c>
      <c r="L60" s="6">
        <f t="shared" si="13"/>
        <v>0</v>
      </c>
      <c r="M60" s="6">
        <f t="shared" si="13"/>
        <v>9</v>
      </c>
      <c r="N60" s="6">
        <f t="shared" si="13"/>
        <v>15</v>
      </c>
      <c r="O60" s="6">
        <f t="shared" si="13"/>
        <v>11</v>
      </c>
      <c r="P60" s="6">
        <f t="shared" si="13"/>
        <v>13</v>
      </c>
      <c r="Q60" s="6">
        <f t="shared" si="13"/>
        <v>0</v>
      </c>
      <c r="R60" s="6">
        <f t="shared" si="13"/>
        <v>0</v>
      </c>
      <c r="S60" s="8">
        <f t="shared" si="13"/>
        <v>11</v>
      </c>
      <c r="T60" s="6">
        <f t="shared" si="13"/>
        <v>0</v>
      </c>
      <c r="U60" s="8">
        <f t="shared" si="13"/>
        <v>11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11</v>
      </c>
      <c r="AO60" s="7">
        <f t="shared" si="13"/>
        <v>0</v>
      </c>
      <c r="AP60" s="7">
        <f t="shared" si="13"/>
        <v>11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20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>
        <f>IFERROR(K58*100/K62,"")</f>
        <v>20</v>
      </c>
      <c r="L63" s="64" t="str">
        <f t="shared" ref="L63:AQ63" si="17">IFERROR(L58*100/L62,"")</f>
        <v/>
      </c>
      <c r="M63" s="64">
        <f t="shared" si="17"/>
        <v>20</v>
      </c>
      <c r="N63" s="64">
        <f t="shared" si="17"/>
        <v>10</v>
      </c>
      <c r="O63" s="64">
        <f t="shared" si="17"/>
        <v>25</v>
      </c>
      <c r="P63" s="64">
        <f t="shared" si="17"/>
        <v>25</v>
      </c>
      <c r="Q63" s="64" t="str">
        <f t="shared" si="17"/>
        <v/>
      </c>
      <c r="R63" s="64" t="str">
        <f t="shared" si="17"/>
        <v/>
      </c>
      <c r="S63" s="44">
        <f t="shared" si="17"/>
        <v>20</v>
      </c>
      <c r="T63" s="64" t="str">
        <f t="shared" si="17"/>
        <v/>
      </c>
      <c r="U63" s="44">
        <f t="shared" si="17"/>
        <v>20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20</v>
      </c>
      <c r="AO63" s="48" t="str">
        <f t="shared" si="17"/>
        <v/>
      </c>
      <c r="AP63" s="48">
        <f t="shared" si="17"/>
        <v>20</v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>
        <f>IFERROR(K59*100/K62,"")</f>
        <v>40</v>
      </c>
      <c r="L64" s="66" t="str">
        <f t="shared" ref="L64:AQ64" si="18">IFERROR(L59*100/L62,"")</f>
        <v/>
      </c>
      <c r="M64" s="66">
        <f t="shared" si="18"/>
        <v>35</v>
      </c>
      <c r="N64" s="66">
        <f t="shared" si="18"/>
        <v>15</v>
      </c>
      <c r="O64" s="66">
        <f t="shared" si="18"/>
        <v>20</v>
      </c>
      <c r="P64" s="66">
        <f t="shared" si="18"/>
        <v>10</v>
      </c>
      <c r="Q64" s="66" t="str">
        <f t="shared" si="18"/>
        <v/>
      </c>
      <c r="R64" s="66" t="str">
        <f t="shared" si="18"/>
        <v/>
      </c>
      <c r="S64" s="4">
        <f t="shared" si="18"/>
        <v>25</v>
      </c>
      <c r="T64" s="66" t="str">
        <f t="shared" si="18"/>
        <v/>
      </c>
      <c r="U64" s="4">
        <f t="shared" si="18"/>
        <v>25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25</v>
      </c>
      <c r="AO64" s="5" t="str">
        <f t="shared" si="18"/>
        <v/>
      </c>
      <c r="AP64" s="5">
        <f t="shared" si="18"/>
        <v>25</v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>
        <f>IFERROR(K60*100/K62,"")</f>
        <v>40</v>
      </c>
      <c r="L65" s="66" t="str">
        <f t="shared" ref="L65:AQ65" si="19">IFERROR(L60*100/L62,"")</f>
        <v/>
      </c>
      <c r="M65" s="66">
        <f t="shared" si="19"/>
        <v>45</v>
      </c>
      <c r="N65" s="66">
        <f t="shared" si="19"/>
        <v>75</v>
      </c>
      <c r="O65" s="66">
        <f t="shared" si="19"/>
        <v>55</v>
      </c>
      <c r="P65" s="66">
        <f t="shared" si="19"/>
        <v>65</v>
      </c>
      <c r="Q65" s="66" t="str">
        <f t="shared" si="19"/>
        <v/>
      </c>
      <c r="R65" s="66" t="str">
        <f t="shared" si="19"/>
        <v/>
      </c>
      <c r="S65" s="4">
        <f t="shared" si="19"/>
        <v>55</v>
      </c>
      <c r="T65" s="66" t="str">
        <f t="shared" si="19"/>
        <v/>
      </c>
      <c r="U65" s="4">
        <f t="shared" si="19"/>
        <v>55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55</v>
      </c>
      <c r="AO65" s="5" t="str">
        <f t="shared" si="19"/>
        <v/>
      </c>
      <c r="AP65" s="5">
        <f t="shared" si="19"/>
        <v>55</v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>
        <f>IFERROR(K61*100/K62,"")</f>
        <v>0</v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>
        <f t="shared" si="20"/>
        <v>0</v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Fizika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 t="str">
        <f>AB2</f>
        <v>Süleymanava Nərminə Əlövsət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68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99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Fizika</v>
      </c>
      <c r="E157" s="202" t="str">
        <f>AB2</f>
        <v>Süleymanava Nərminə Əlövsət</v>
      </c>
      <c r="F157" s="202">
        <f>AP2</f>
        <v>68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5.0904977375565608</v>
      </c>
      <c r="L157" s="2">
        <f>(L158*100)/(F157*I157)</f>
        <v>4.8319327731092434</v>
      </c>
      <c r="M157" s="2">
        <f>(M158*100)/(F157*J157)</f>
        <v>5</v>
      </c>
      <c r="N157" s="2">
        <f>K56</f>
        <v>62.4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58.4</v>
      </c>
      <c r="S157" s="2" t="str">
        <f>T56</f>
        <v/>
      </c>
      <c r="T157" s="2">
        <f>U56</f>
        <v>58.4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58.4</v>
      </c>
      <c r="AD157" s="2" t="str">
        <f t="shared" si="21"/>
        <v/>
      </c>
      <c r="AE157" s="2">
        <f t="shared" si="21"/>
        <v>58.4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45</v>
      </c>
      <c r="L158" s="202">
        <f>SUMIFS(J6:J55,F6:F55,"q")</f>
        <v>23</v>
      </c>
      <c r="M158" s="202">
        <f>SUM(K158:L158)</f>
        <v>68</v>
      </c>
      <c r="N158" s="2">
        <f>(SUMIFS(K6:K55,F6:F55,"k"))/(COUNTIF(F6:F55,"k"))</f>
        <v>56.384615384615387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47.92307692307692</v>
      </c>
      <c r="S158" s="2">
        <f>(SUMIFS(T6:T55,F6:F55,"k"))/(COUNTIF(F6:F55,"k"))</f>
        <v>0</v>
      </c>
      <c r="T158" s="2">
        <f>(SUMIFS(U6:U55,F6:F55,"k"))/(COUNTIF(F6:F55,"k"))</f>
        <v>47.92307692307692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47.92307692307692</v>
      </c>
      <c r="AD158" s="2">
        <f t="shared" si="22"/>
        <v>0</v>
      </c>
      <c r="AE158" s="2">
        <f t="shared" si="22"/>
        <v>47.92307692307692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73.571428571428569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77.857142857142861</v>
      </c>
      <c r="S159" s="2">
        <f>(SUMIFS(T6:T55,F6:F55,"q"))/(COUNTIF(F6:F55,"q"))</f>
        <v>0</v>
      </c>
      <c r="T159" s="2">
        <f>(SUMIFS(U6:U55,F6:F55,"q"))/(COUNTIF(F6:F55,"q"))</f>
        <v>77.857142857142861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77.857142857142861</v>
      </c>
      <c r="AD159" s="2">
        <f t="shared" ref="AD159:AE159" si="23">(SUMIFS(AO6:AO55,$F$6:$F$55,"q"))/(COUNTIF($F$6:$F$55,"q"))</f>
        <v>0</v>
      </c>
      <c r="AE159" s="2">
        <f t="shared" si="23"/>
        <v>77.857142857142861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>
        <f>K63</f>
        <v>20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20</v>
      </c>
      <c r="S160" s="2" t="str">
        <f>T63</f>
        <v/>
      </c>
      <c r="T160" s="2">
        <f>U63</f>
        <v>20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20</v>
      </c>
      <c r="AD160" s="2" t="str">
        <f t="shared" si="24"/>
        <v/>
      </c>
      <c r="AE160" s="2">
        <f t="shared" si="24"/>
        <v>20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>
        <f t="shared" ref="N161:O163" si="25">K64</f>
        <v>40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25</v>
      </c>
      <c r="S161" s="2" t="str">
        <f t="shared" si="27"/>
        <v/>
      </c>
      <c r="T161" s="2">
        <f t="shared" si="27"/>
        <v>25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25</v>
      </c>
      <c r="AD161" s="2" t="str">
        <f t="shared" si="24"/>
        <v/>
      </c>
      <c r="AE161" s="2">
        <f t="shared" si="24"/>
        <v>25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>
        <f t="shared" si="25"/>
        <v>40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55</v>
      </c>
      <c r="S162" s="2" t="str">
        <f t="shared" si="27"/>
        <v/>
      </c>
      <c r="T162" s="2">
        <f t="shared" si="27"/>
        <v>55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55</v>
      </c>
      <c r="AD162" s="2" t="str">
        <f t="shared" si="24"/>
        <v/>
      </c>
      <c r="AE162" s="2">
        <f t="shared" si="24"/>
        <v>55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6" zoomScale="89" zoomScaleNormal="89" workbookViewId="0">
      <selection activeCell="K25" sqref="K25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Müəllimlər!C14</f>
        <v>Kimya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 t="str">
        <f>Müəllimlər!D14</f>
        <v>Hüseynova Rəna Qədir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Müəllimlər!E14</f>
        <v>34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95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96" t="s">
        <v>38</v>
      </c>
      <c r="H5" s="196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>
        <v>46</v>
      </c>
      <c r="L6" s="43"/>
      <c r="M6" s="43">
        <v>35</v>
      </c>
      <c r="N6" s="43">
        <v>60</v>
      </c>
      <c r="O6" s="43">
        <v>40</v>
      </c>
      <c r="P6" s="43"/>
      <c r="Q6" s="43"/>
      <c r="R6" s="43"/>
      <c r="S6" s="44">
        <f>IFERROR(AVERAGE(M6:R6),"")</f>
        <v>45</v>
      </c>
      <c r="T6" s="43"/>
      <c r="U6" s="44">
        <f>IF(T6="",S6,IF(S6="",T6,S6*40/100+T6*60/100))</f>
        <v>45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45</v>
      </c>
      <c r="AO6" s="48" t="str">
        <f>IFERROR(AVERAGE(T6,AG6),"")</f>
        <v/>
      </c>
      <c r="AP6" s="48">
        <f>IF(AO6="",AN6,IF(AN6="",AO6,AN6*40/100+AO6*60/100))</f>
        <v>45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>
        <v>1</v>
      </c>
      <c r="K7" s="19">
        <v>43</v>
      </c>
      <c r="L7" s="3"/>
      <c r="M7" s="3">
        <v>35</v>
      </c>
      <c r="N7" s="3">
        <v>55</v>
      </c>
      <c r="O7" s="3">
        <v>40</v>
      </c>
      <c r="P7" s="3"/>
      <c r="Q7" s="3"/>
      <c r="R7" s="3"/>
      <c r="S7" s="4">
        <f t="shared" ref="S7:S55" si="0">IFERROR(AVERAGE(M7:R7),"")</f>
        <v>43.333333333333336</v>
      </c>
      <c r="T7" s="3"/>
      <c r="U7" s="44">
        <f t="shared" ref="U7:U55" si="1">IF(T7="",S7,IF(S7="",T7,S7*40/100+T7*60/100))</f>
        <v>43.333333333333336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43.333333333333336</v>
      </c>
      <c r="AO7" s="5" t="str">
        <f t="shared" si="8"/>
        <v/>
      </c>
      <c r="AP7" s="48">
        <f t="shared" ref="AP7:AP55" si="9">IF(AO7="",AN7,IF(AN7="",AO7,AN7*40/100+AO7*60/100))</f>
        <v>43.333333333333336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>
        <v>1</v>
      </c>
      <c r="K8" s="19">
        <v>55</v>
      </c>
      <c r="L8" s="3"/>
      <c r="M8" s="3">
        <v>32</v>
      </c>
      <c r="N8" s="3">
        <v>50</v>
      </c>
      <c r="O8" s="3">
        <v>37</v>
      </c>
      <c r="P8" s="3"/>
      <c r="Q8" s="3"/>
      <c r="R8" s="3"/>
      <c r="S8" s="4">
        <f t="shared" si="0"/>
        <v>39.666666666666664</v>
      </c>
      <c r="T8" s="3"/>
      <c r="U8" s="44">
        <f t="shared" si="1"/>
        <v>39.666666666666664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39.666666666666664</v>
      </c>
      <c r="AO8" s="5" t="str">
        <f t="shared" si="8"/>
        <v/>
      </c>
      <c r="AP8" s="48">
        <f t="shared" si="9"/>
        <v>39.666666666666664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1</v>
      </c>
      <c r="K9" s="19">
        <v>52</v>
      </c>
      <c r="L9" s="3"/>
      <c r="M9" s="3">
        <v>32</v>
      </c>
      <c r="N9" s="3">
        <v>35</v>
      </c>
      <c r="O9" s="3">
        <v>50</v>
      </c>
      <c r="P9" s="3"/>
      <c r="Q9" s="3"/>
      <c r="R9" s="3"/>
      <c r="S9" s="4">
        <f t="shared" si="0"/>
        <v>39</v>
      </c>
      <c r="T9" s="3"/>
      <c r="U9" s="44">
        <f t="shared" si="1"/>
        <v>39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39</v>
      </c>
      <c r="AO9" s="5" t="str">
        <f t="shared" si="8"/>
        <v/>
      </c>
      <c r="AP9" s="48">
        <f t="shared" si="9"/>
        <v>39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148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>
        <v>43</v>
      </c>
      <c r="L10" s="3"/>
      <c r="M10" s="3">
        <v>60</v>
      </c>
      <c r="N10" s="3">
        <v>52</v>
      </c>
      <c r="O10" s="3">
        <v>80</v>
      </c>
      <c r="P10" s="3"/>
      <c r="Q10" s="3"/>
      <c r="R10" s="3"/>
      <c r="S10" s="4">
        <f t="shared" si="0"/>
        <v>64</v>
      </c>
      <c r="T10" s="3"/>
      <c r="U10" s="44">
        <f t="shared" si="1"/>
        <v>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64</v>
      </c>
      <c r="AO10" s="5" t="str">
        <f t="shared" si="8"/>
        <v/>
      </c>
      <c r="AP10" s="48">
        <f t="shared" si="9"/>
        <v>64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>
        <v>89</v>
      </c>
      <c r="L11" s="3"/>
      <c r="M11" s="3">
        <v>81</v>
      </c>
      <c r="N11" s="3">
        <v>80</v>
      </c>
      <c r="O11" s="3">
        <v>85</v>
      </c>
      <c r="P11" s="3"/>
      <c r="Q11" s="3"/>
      <c r="R11" s="3"/>
      <c r="S11" s="4">
        <f t="shared" si="0"/>
        <v>82</v>
      </c>
      <c r="T11" s="3"/>
      <c r="U11" s="44">
        <f t="shared" si="1"/>
        <v>82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82</v>
      </c>
      <c r="AO11" s="5" t="str">
        <f t="shared" si="8"/>
        <v/>
      </c>
      <c r="AP11" s="48">
        <f t="shared" si="9"/>
        <v>82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>
        <v>59</v>
      </c>
      <c r="L12" s="3"/>
      <c r="M12" s="3">
        <v>32</v>
      </c>
      <c r="N12" s="3">
        <v>50</v>
      </c>
      <c r="O12" s="3">
        <v>50</v>
      </c>
      <c r="P12" s="3"/>
      <c r="Q12" s="3"/>
      <c r="R12" s="3"/>
      <c r="S12" s="4">
        <f t="shared" si="0"/>
        <v>44</v>
      </c>
      <c r="T12" s="3"/>
      <c r="U12" s="44">
        <f t="shared" si="1"/>
        <v>44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44</v>
      </c>
      <c r="AO12" s="5" t="str">
        <f t="shared" si="8"/>
        <v/>
      </c>
      <c r="AP12" s="48">
        <f t="shared" si="9"/>
        <v>44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>
        <v>2</v>
      </c>
      <c r="K13" s="19">
        <v>44</v>
      </c>
      <c r="L13" s="3"/>
      <c r="M13" s="3">
        <v>38</v>
      </c>
      <c r="N13" s="3">
        <v>33</v>
      </c>
      <c r="O13" s="3">
        <v>35</v>
      </c>
      <c r="P13" s="3"/>
      <c r="Q13" s="3"/>
      <c r="R13" s="3"/>
      <c r="S13" s="4">
        <f t="shared" si="0"/>
        <v>35.333333333333336</v>
      </c>
      <c r="T13" s="3"/>
      <c r="U13" s="44">
        <f t="shared" si="1"/>
        <v>35.333333333333336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35.333333333333336</v>
      </c>
      <c r="AO13" s="5" t="str">
        <f t="shared" si="8"/>
        <v/>
      </c>
      <c r="AP13" s="48">
        <f t="shared" si="9"/>
        <v>35.333333333333336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2</v>
      </c>
      <c r="K14" s="19">
        <v>57</v>
      </c>
      <c r="L14" s="3"/>
      <c r="M14" s="3">
        <v>67</v>
      </c>
      <c r="N14" s="3">
        <v>80</v>
      </c>
      <c r="O14" s="3">
        <v>72</v>
      </c>
      <c r="P14" s="3"/>
      <c r="Q14" s="3"/>
      <c r="R14" s="3"/>
      <c r="S14" s="4">
        <f t="shared" si="0"/>
        <v>73</v>
      </c>
      <c r="T14" s="3"/>
      <c r="U14" s="44">
        <f t="shared" si="1"/>
        <v>73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73</v>
      </c>
      <c r="AO14" s="5" t="str">
        <f t="shared" si="8"/>
        <v/>
      </c>
      <c r="AP14" s="48">
        <f t="shared" si="9"/>
        <v>73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>
        <v>2</v>
      </c>
      <c r="K15" s="19">
        <v>50</v>
      </c>
      <c r="L15" s="3"/>
      <c r="M15" s="3">
        <v>32</v>
      </c>
      <c r="N15" s="3">
        <v>32</v>
      </c>
      <c r="O15" s="3">
        <v>57</v>
      </c>
      <c r="P15" s="3"/>
      <c r="Q15" s="3"/>
      <c r="R15" s="3"/>
      <c r="S15" s="4">
        <f t="shared" si="0"/>
        <v>40.333333333333336</v>
      </c>
      <c r="T15" s="3"/>
      <c r="U15" s="44">
        <f t="shared" si="1"/>
        <v>40.333333333333336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40.333333333333336</v>
      </c>
      <c r="AO15" s="5" t="str">
        <f t="shared" si="8"/>
        <v/>
      </c>
      <c r="AP15" s="48">
        <f t="shared" si="9"/>
        <v>40.333333333333336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1</v>
      </c>
      <c r="K16" s="19">
        <v>49</v>
      </c>
      <c r="L16" s="3"/>
      <c r="M16" s="3">
        <v>65</v>
      </c>
      <c r="N16" s="3">
        <v>80</v>
      </c>
      <c r="O16" s="3">
        <v>72</v>
      </c>
      <c r="P16" s="3"/>
      <c r="Q16" s="3"/>
      <c r="R16" s="3"/>
      <c r="S16" s="4">
        <f t="shared" si="0"/>
        <v>72.333333333333329</v>
      </c>
      <c r="T16" s="3"/>
      <c r="U16" s="44">
        <f t="shared" si="1"/>
        <v>72.333333333333329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72.333333333333329</v>
      </c>
      <c r="AO16" s="5" t="str">
        <f t="shared" si="8"/>
        <v/>
      </c>
      <c r="AP16" s="48">
        <f t="shared" si="9"/>
        <v>72.333333333333329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>
        <v>1</v>
      </c>
      <c r="K17" s="19">
        <v>39</v>
      </c>
      <c r="L17" s="3"/>
      <c r="M17" s="3">
        <v>32</v>
      </c>
      <c r="N17" s="3">
        <v>38</v>
      </c>
      <c r="O17" s="3">
        <v>40</v>
      </c>
      <c r="P17" s="3"/>
      <c r="Q17" s="3"/>
      <c r="R17" s="3"/>
      <c r="S17" s="4">
        <f t="shared" si="0"/>
        <v>36.666666666666664</v>
      </c>
      <c r="T17" s="3"/>
      <c r="U17" s="44">
        <f t="shared" si="1"/>
        <v>36.666666666666664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36.666666666666664</v>
      </c>
      <c r="AO17" s="5" t="str">
        <f t="shared" si="8"/>
        <v/>
      </c>
      <c r="AP17" s="48">
        <f t="shared" si="9"/>
        <v>36.666666666666664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2</v>
      </c>
      <c r="K18" s="19">
        <v>51</v>
      </c>
      <c r="L18" s="3"/>
      <c r="M18" s="3">
        <v>40</v>
      </c>
      <c r="N18" s="3">
        <v>43</v>
      </c>
      <c r="O18" s="3">
        <v>35</v>
      </c>
      <c r="P18" s="3"/>
      <c r="Q18" s="3"/>
      <c r="R18" s="3"/>
      <c r="S18" s="4">
        <f t="shared" si="0"/>
        <v>39.333333333333336</v>
      </c>
      <c r="T18" s="3"/>
      <c r="U18" s="44">
        <f t="shared" si="1"/>
        <v>39.333333333333336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39.333333333333336</v>
      </c>
      <c r="AO18" s="5" t="str">
        <f t="shared" si="8"/>
        <v/>
      </c>
      <c r="AP18" s="48">
        <f t="shared" si="9"/>
        <v>39.333333333333336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>
        <v>1</v>
      </c>
      <c r="K19" s="19">
        <v>51</v>
      </c>
      <c r="L19" s="3"/>
      <c r="M19" s="3">
        <v>32</v>
      </c>
      <c r="N19" s="3">
        <v>64</v>
      </c>
      <c r="O19" s="3">
        <v>45</v>
      </c>
      <c r="P19" s="3"/>
      <c r="Q19" s="3"/>
      <c r="R19" s="3"/>
      <c r="S19" s="4">
        <f t="shared" si="0"/>
        <v>47</v>
      </c>
      <c r="T19" s="3"/>
      <c r="U19" s="44">
        <f t="shared" si="1"/>
        <v>47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47</v>
      </c>
      <c r="AO19" s="5" t="str">
        <f t="shared" si="8"/>
        <v/>
      </c>
      <c r="AP19" s="48">
        <f t="shared" si="9"/>
        <v>47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>
        <v>1</v>
      </c>
      <c r="K20" s="19">
        <v>89</v>
      </c>
      <c r="L20" s="3"/>
      <c r="M20" s="3">
        <v>65</v>
      </c>
      <c r="N20" s="3">
        <v>70</v>
      </c>
      <c r="O20" s="3">
        <v>65</v>
      </c>
      <c r="P20" s="3"/>
      <c r="Q20" s="3"/>
      <c r="R20" s="3"/>
      <c r="S20" s="4">
        <f t="shared" si="0"/>
        <v>66.666666666666671</v>
      </c>
      <c r="T20" s="3"/>
      <c r="U20" s="44">
        <f t="shared" si="1"/>
        <v>66.666666666666671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66.666666666666671</v>
      </c>
      <c r="AO20" s="5" t="str">
        <f t="shared" si="8"/>
        <v/>
      </c>
      <c r="AP20" s="48">
        <f t="shared" si="9"/>
        <v>66.666666666666671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>
        <v>1</v>
      </c>
      <c r="K21" s="19">
        <v>83</v>
      </c>
      <c r="L21" s="3"/>
      <c r="M21" s="3">
        <v>61</v>
      </c>
      <c r="N21" s="3">
        <v>70</v>
      </c>
      <c r="O21" s="3">
        <v>63</v>
      </c>
      <c r="P21" s="3"/>
      <c r="Q21" s="3"/>
      <c r="R21" s="3"/>
      <c r="S21" s="4">
        <f t="shared" si="0"/>
        <v>64.666666666666671</v>
      </c>
      <c r="T21" s="3"/>
      <c r="U21" s="44">
        <f t="shared" si="1"/>
        <v>64.666666666666671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64.666666666666671</v>
      </c>
      <c r="AO21" s="5" t="str">
        <f t="shared" si="8"/>
        <v/>
      </c>
      <c r="AP21" s="48">
        <f t="shared" si="9"/>
        <v>64.666666666666671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>
        <v>2</v>
      </c>
      <c r="K22" s="19">
        <v>48</v>
      </c>
      <c r="L22" s="3"/>
      <c r="M22" s="3">
        <v>31</v>
      </c>
      <c r="N22" s="3">
        <v>35</v>
      </c>
      <c r="O22" s="3">
        <v>40</v>
      </c>
      <c r="P22" s="3"/>
      <c r="Q22" s="3"/>
      <c r="R22" s="3"/>
      <c r="S22" s="4">
        <f t="shared" si="0"/>
        <v>35.333333333333336</v>
      </c>
      <c r="T22" s="3"/>
      <c r="U22" s="44">
        <f t="shared" si="1"/>
        <v>35.333333333333336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35.333333333333336</v>
      </c>
      <c r="AO22" s="5" t="str">
        <f t="shared" si="8"/>
        <v/>
      </c>
      <c r="AP22" s="48">
        <f t="shared" si="9"/>
        <v>35.333333333333336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>
        <v>2</v>
      </c>
      <c r="K23" s="19">
        <v>44</v>
      </c>
      <c r="L23" s="3"/>
      <c r="M23" s="3">
        <v>33</v>
      </c>
      <c r="N23" s="3">
        <v>40</v>
      </c>
      <c r="O23" s="3">
        <v>35</v>
      </c>
      <c r="P23" s="3"/>
      <c r="Q23" s="3"/>
      <c r="R23" s="3"/>
      <c r="S23" s="4">
        <f t="shared" si="0"/>
        <v>36</v>
      </c>
      <c r="T23" s="3"/>
      <c r="U23" s="44">
        <f t="shared" si="1"/>
        <v>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36</v>
      </c>
      <c r="AO23" s="5" t="str">
        <f t="shared" si="8"/>
        <v/>
      </c>
      <c r="AP23" s="48">
        <f t="shared" si="9"/>
        <v>36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>
        <v>70</v>
      </c>
      <c r="L24" s="3"/>
      <c r="M24" s="3">
        <v>35</v>
      </c>
      <c r="N24" s="3">
        <v>45</v>
      </c>
      <c r="O24" s="3">
        <v>50</v>
      </c>
      <c r="P24" s="3"/>
      <c r="Q24" s="3"/>
      <c r="R24" s="3"/>
      <c r="S24" s="4">
        <f t="shared" si="0"/>
        <v>43.333333333333336</v>
      </c>
      <c r="T24" s="3"/>
      <c r="U24" s="44">
        <f t="shared" si="1"/>
        <v>43.333333333333336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43.333333333333336</v>
      </c>
      <c r="AO24" s="5" t="str">
        <f t="shared" si="8"/>
        <v/>
      </c>
      <c r="AP24" s="48">
        <f t="shared" si="9"/>
        <v>43.333333333333336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>
        <v>82</v>
      </c>
      <c r="L25" s="3"/>
      <c r="M25" s="3">
        <v>56</v>
      </c>
      <c r="N25" s="3">
        <v>60</v>
      </c>
      <c r="O25" s="3">
        <v>79</v>
      </c>
      <c r="P25" s="3"/>
      <c r="Q25" s="3"/>
      <c r="R25" s="3"/>
      <c r="S25" s="4">
        <f t="shared" si="0"/>
        <v>65</v>
      </c>
      <c r="T25" s="3"/>
      <c r="U25" s="44">
        <f t="shared" si="1"/>
        <v>65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65</v>
      </c>
      <c r="AO25" s="5" t="str">
        <f t="shared" si="8"/>
        <v/>
      </c>
      <c r="AP25" s="48">
        <f t="shared" si="9"/>
        <v>65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>
        <f t="shared" ref="K56:AQ56" si="10">IFERROR(AVERAGE(K6:K55),"")</f>
        <v>57.2</v>
      </c>
      <c r="L56" s="31" t="str">
        <f t="shared" si="10"/>
        <v/>
      </c>
      <c r="M56" s="31">
        <f t="shared" si="10"/>
        <v>44.7</v>
      </c>
      <c r="N56" s="31">
        <f t="shared" si="10"/>
        <v>53.6</v>
      </c>
      <c r="O56" s="31">
        <f t="shared" si="10"/>
        <v>53.5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50.6</v>
      </c>
      <c r="T56" s="31" t="str">
        <f t="shared" si="10"/>
        <v/>
      </c>
      <c r="U56" s="31">
        <f t="shared" si="10"/>
        <v>50.6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50.6</v>
      </c>
      <c r="AO56" s="31" t="str">
        <f t="shared" si="10"/>
        <v/>
      </c>
      <c r="AP56" s="31">
        <f t="shared" si="10"/>
        <v>50.6</v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4</v>
      </c>
      <c r="L58" s="57">
        <f t="shared" si="11"/>
        <v>0</v>
      </c>
      <c r="M58" s="57">
        <f t="shared" si="11"/>
        <v>1</v>
      </c>
      <c r="N58" s="57">
        <f t="shared" si="11"/>
        <v>0</v>
      </c>
      <c r="O58" s="57">
        <f t="shared" si="11"/>
        <v>1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1</v>
      </c>
      <c r="T58" s="57">
        <f t="shared" si="11"/>
        <v>0</v>
      </c>
      <c r="U58" s="34">
        <f t="shared" si="11"/>
        <v>1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1</v>
      </c>
      <c r="AO58" s="37">
        <f t="shared" si="11"/>
        <v>0</v>
      </c>
      <c r="AP58" s="37">
        <f t="shared" si="11"/>
        <v>1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1</v>
      </c>
      <c r="L59" s="6">
        <f t="shared" si="12"/>
        <v>0</v>
      </c>
      <c r="M59" s="6">
        <f t="shared" si="12"/>
        <v>4</v>
      </c>
      <c r="N59" s="6">
        <f t="shared" si="12"/>
        <v>6</v>
      </c>
      <c r="O59" s="6">
        <f t="shared" si="12"/>
        <v>6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6</v>
      </c>
      <c r="T59" s="6">
        <f t="shared" si="12"/>
        <v>0</v>
      </c>
      <c r="U59" s="8">
        <f t="shared" si="12"/>
        <v>6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6</v>
      </c>
      <c r="AO59" s="7">
        <f t="shared" si="12"/>
        <v>0</v>
      </c>
      <c r="AP59" s="7">
        <f t="shared" si="12"/>
        <v>6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15</v>
      </c>
      <c r="L60" s="6">
        <f t="shared" si="13"/>
        <v>0</v>
      </c>
      <c r="M60" s="6">
        <f t="shared" si="13"/>
        <v>15</v>
      </c>
      <c r="N60" s="6">
        <f t="shared" si="13"/>
        <v>14</v>
      </c>
      <c r="O60" s="6">
        <f t="shared" si="13"/>
        <v>13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13</v>
      </c>
      <c r="T60" s="6">
        <f t="shared" si="13"/>
        <v>0</v>
      </c>
      <c r="U60" s="8">
        <f t="shared" si="13"/>
        <v>13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13</v>
      </c>
      <c r="AO60" s="7">
        <f t="shared" si="13"/>
        <v>0</v>
      </c>
      <c r="AP60" s="7">
        <f t="shared" si="13"/>
        <v>13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>
        <f>IFERROR(K58*100/K62,"")</f>
        <v>20</v>
      </c>
      <c r="L63" s="64" t="str">
        <f t="shared" ref="L63:AQ63" si="17">IFERROR(L58*100/L62,"")</f>
        <v/>
      </c>
      <c r="M63" s="64">
        <f t="shared" si="17"/>
        <v>5</v>
      </c>
      <c r="N63" s="64">
        <f t="shared" si="17"/>
        <v>0</v>
      </c>
      <c r="O63" s="64">
        <f t="shared" si="17"/>
        <v>5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5</v>
      </c>
      <c r="T63" s="64" t="str">
        <f t="shared" si="17"/>
        <v/>
      </c>
      <c r="U63" s="44">
        <f t="shared" si="17"/>
        <v>5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5</v>
      </c>
      <c r="AO63" s="48" t="str">
        <f t="shared" si="17"/>
        <v/>
      </c>
      <c r="AP63" s="48">
        <f t="shared" si="17"/>
        <v>5</v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>
        <f>IFERROR(K59*100/K62,"")</f>
        <v>5</v>
      </c>
      <c r="L64" s="66" t="str">
        <f t="shared" ref="L64:AQ64" si="18">IFERROR(L59*100/L62,"")</f>
        <v/>
      </c>
      <c r="M64" s="66">
        <f t="shared" si="18"/>
        <v>20</v>
      </c>
      <c r="N64" s="66">
        <f t="shared" si="18"/>
        <v>30</v>
      </c>
      <c r="O64" s="66">
        <f t="shared" si="18"/>
        <v>30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30</v>
      </c>
      <c r="T64" s="66" t="str">
        <f t="shared" si="18"/>
        <v/>
      </c>
      <c r="U64" s="4">
        <f t="shared" si="18"/>
        <v>30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30</v>
      </c>
      <c r="AO64" s="5" t="str">
        <f t="shared" si="18"/>
        <v/>
      </c>
      <c r="AP64" s="5">
        <f t="shared" si="18"/>
        <v>30</v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>
        <f>IFERROR(K60*100/K62,"")</f>
        <v>75</v>
      </c>
      <c r="L65" s="66" t="str">
        <f t="shared" ref="L65:AQ65" si="19">IFERROR(L60*100/L62,"")</f>
        <v/>
      </c>
      <c r="M65" s="66">
        <f t="shared" si="19"/>
        <v>75</v>
      </c>
      <c r="N65" s="66">
        <f t="shared" si="19"/>
        <v>70</v>
      </c>
      <c r="O65" s="66">
        <f t="shared" si="19"/>
        <v>65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65</v>
      </c>
      <c r="T65" s="66" t="str">
        <f t="shared" si="19"/>
        <v/>
      </c>
      <c r="U65" s="4">
        <f t="shared" si="19"/>
        <v>65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65</v>
      </c>
      <c r="AO65" s="5" t="str">
        <f t="shared" si="19"/>
        <v/>
      </c>
      <c r="AP65" s="5">
        <f t="shared" si="19"/>
        <v>65</v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>
        <f>IFERROR(K61*100/K62,"")</f>
        <v>0</v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Kimya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 t="str">
        <f>AB2</f>
        <v>Hüseynova Rəna Qədir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34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99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Kimya</v>
      </c>
      <c r="E157" s="202" t="str">
        <f>AB2</f>
        <v>Hüseynova Rəna Qədir</v>
      </c>
      <c r="F157" s="202">
        <f>AP2</f>
        <v>34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2.4886877828054299</v>
      </c>
      <c r="L157" s="2">
        <f>(L158*100)/(F157*I157)</f>
        <v>3.7815126050420167</v>
      </c>
      <c r="M157" s="2">
        <f>(M158*100)/(F157*J157)</f>
        <v>2.9411764705882355</v>
      </c>
      <c r="N157" s="2">
        <f>K56</f>
        <v>57.2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50.6</v>
      </c>
      <c r="S157" s="2" t="str">
        <f>T56</f>
        <v/>
      </c>
      <c r="T157" s="2">
        <f>U56</f>
        <v>50.6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50.6</v>
      </c>
      <c r="AD157" s="2" t="str">
        <f t="shared" si="21"/>
        <v/>
      </c>
      <c r="AE157" s="2">
        <f t="shared" si="21"/>
        <v>50.6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11</v>
      </c>
      <c r="L158" s="202">
        <f>SUMIFS(J6:J55,F6:F55,"q")</f>
        <v>9</v>
      </c>
      <c r="M158" s="202">
        <f>SUM(K158:L158)</f>
        <v>20</v>
      </c>
      <c r="N158" s="2">
        <f>(SUMIFS(K6:K55,F6:F55,"k"))/(COUNTIF(F6:F55,"k"))</f>
        <v>54.384615384615387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46.102564102564102</v>
      </c>
      <c r="S158" s="2">
        <f>(SUMIFS(T6:T55,F6:F55,"k"))/(COUNTIF(F6:F55,"k"))</f>
        <v>0</v>
      </c>
      <c r="T158" s="2">
        <f>(SUMIFS(U6:U55,F6:F55,"k"))/(COUNTIF(F6:F55,"k"))</f>
        <v>46.102564102564102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46.102564102564102</v>
      </c>
      <c r="AD158" s="2">
        <f t="shared" si="22"/>
        <v>0</v>
      </c>
      <c r="AE158" s="2">
        <f t="shared" si="22"/>
        <v>46.102564102564102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62.428571428571431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58.952380952380956</v>
      </c>
      <c r="S159" s="2">
        <f>(SUMIFS(T6:T55,F6:F55,"q"))/(COUNTIF(F6:F55,"q"))</f>
        <v>0</v>
      </c>
      <c r="T159" s="2">
        <f>(SUMIFS(U6:U55,F6:F55,"q"))/(COUNTIF(F6:F55,"q"))</f>
        <v>58.952380952380956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58.952380952380956</v>
      </c>
      <c r="AD159" s="2">
        <f t="shared" ref="AD159:AE159" si="23">(SUMIFS(AO6:AO55,$F$6:$F$55,"q"))/(COUNTIF($F$6:$F$55,"q"))</f>
        <v>0</v>
      </c>
      <c r="AE159" s="2">
        <f t="shared" si="23"/>
        <v>58.952380952380956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>
        <f>K63</f>
        <v>20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5</v>
      </c>
      <c r="S160" s="2" t="str">
        <f>T63</f>
        <v/>
      </c>
      <c r="T160" s="2">
        <f>U63</f>
        <v>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5</v>
      </c>
      <c r="AD160" s="2" t="str">
        <f t="shared" si="24"/>
        <v/>
      </c>
      <c r="AE160" s="2">
        <f t="shared" si="24"/>
        <v>5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>
        <f t="shared" ref="N161:O163" si="25">K64</f>
        <v>5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30</v>
      </c>
      <c r="S161" s="2" t="str">
        <f t="shared" si="27"/>
        <v/>
      </c>
      <c r="T161" s="2">
        <f t="shared" si="27"/>
        <v>30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30</v>
      </c>
      <c r="AD161" s="2" t="str">
        <f t="shared" si="24"/>
        <v/>
      </c>
      <c r="AE161" s="2">
        <f t="shared" si="24"/>
        <v>30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>
        <f t="shared" si="25"/>
        <v>75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65</v>
      </c>
      <c r="S162" s="2" t="str">
        <f t="shared" si="27"/>
        <v/>
      </c>
      <c r="T162" s="2">
        <f t="shared" si="27"/>
        <v>65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65</v>
      </c>
      <c r="AD162" s="2" t="str">
        <f t="shared" si="24"/>
        <v/>
      </c>
      <c r="AE162" s="2">
        <f t="shared" si="24"/>
        <v>65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3" zoomScale="96" zoomScaleNormal="96" workbookViewId="0">
      <selection activeCell="K25" sqref="K25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Müəllimlər!C15</f>
        <v>Biologiya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 t="str">
        <f>Müəllimlər!D15</f>
        <v>Həmidova Məlahət Mənsub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Müəllimlər!E15</f>
        <v>68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95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96" t="s">
        <v>38</v>
      </c>
      <c r="H5" s="196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>
        <v>33</v>
      </c>
      <c r="L6" s="43"/>
      <c r="M6" s="43">
        <v>35</v>
      </c>
      <c r="N6" s="43">
        <v>32</v>
      </c>
      <c r="O6" s="43">
        <v>40</v>
      </c>
      <c r="P6" s="43"/>
      <c r="Q6" s="43"/>
      <c r="R6" s="43"/>
      <c r="S6" s="44">
        <f>IFERROR(AVERAGE(M6:R6),"")</f>
        <v>35.666666666666664</v>
      </c>
      <c r="T6" s="43">
        <v>41</v>
      </c>
      <c r="U6" s="44">
        <f>IF(T6="",S6,IF(S6="",T6,S6*40/100+T6*60/100))</f>
        <v>38.866666666666667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35.666666666666664</v>
      </c>
      <c r="AO6" s="48">
        <f>IFERROR(AVERAGE(T6,AG6),"")</f>
        <v>41</v>
      </c>
      <c r="AP6" s="48">
        <f>IF(AO6="",AN6,IF(AN6="",AO6,AN6*40/100+AO6*60/100))</f>
        <v>38.866666666666667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>
        <v>38</v>
      </c>
      <c r="L7" s="3"/>
      <c r="M7" s="3">
        <v>33</v>
      </c>
      <c r="N7" s="3">
        <v>32</v>
      </c>
      <c r="O7" s="3">
        <v>35</v>
      </c>
      <c r="P7" s="3"/>
      <c r="Q7" s="3"/>
      <c r="R7" s="3"/>
      <c r="S7" s="4">
        <f t="shared" ref="S7:S55" si="0">IFERROR(AVERAGE(M7:R7),"")</f>
        <v>33.333333333333336</v>
      </c>
      <c r="T7" s="3">
        <v>35</v>
      </c>
      <c r="U7" s="44">
        <f t="shared" ref="U7:U55" si="1">IF(T7="",S7,IF(S7="",T7,S7*40/100+T7*60/100))</f>
        <v>34.333333333333336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33.333333333333336</v>
      </c>
      <c r="AO7" s="5">
        <f t="shared" si="8"/>
        <v>35</v>
      </c>
      <c r="AP7" s="48">
        <f t="shared" ref="AP7:AP55" si="9">IF(AO7="",AN7,IF(AN7="",AO7,AN7*40/100+AO7*60/100))</f>
        <v>34.333333333333336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>
        <v>2</v>
      </c>
      <c r="K8" s="19">
        <v>35</v>
      </c>
      <c r="L8" s="3"/>
      <c r="M8" s="3">
        <v>32</v>
      </c>
      <c r="N8" s="3">
        <v>35</v>
      </c>
      <c r="O8" s="3">
        <v>40</v>
      </c>
      <c r="P8" s="3"/>
      <c r="Q8" s="3"/>
      <c r="R8" s="3"/>
      <c r="S8" s="4">
        <f t="shared" si="0"/>
        <v>35.666666666666664</v>
      </c>
      <c r="T8" s="3">
        <v>31</v>
      </c>
      <c r="U8" s="44">
        <f t="shared" si="1"/>
        <v>32.866666666666667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35.666666666666664</v>
      </c>
      <c r="AO8" s="5">
        <f t="shared" si="8"/>
        <v>31</v>
      </c>
      <c r="AP8" s="48">
        <f t="shared" si="9"/>
        <v>32.866666666666667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1</v>
      </c>
      <c r="K9" s="19">
        <v>57</v>
      </c>
      <c r="L9" s="3"/>
      <c r="M9" s="3">
        <v>40</v>
      </c>
      <c r="N9" s="3">
        <v>40</v>
      </c>
      <c r="O9" s="3">
        <v>50</v>
      </c>
      <c r="P9" s="3"/>
      <c r="Q9" s="3"/>
      <c r="R9" s="3"/>
      <c r="S9" s="4">
        <f t="shared" si="0"/>
        <v>43.333333333333336</v>
      </c>
      <c r="T9" s="3">
        <v>36</v>
      </c>
      <c r="U9" s="44">
        <f t="shared" si="1"/>
        <v>38.933333333333337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43.333333333333336</v>
      </c>
      <c r="AO9" s="5">
        <f t="shared" si="8"/>
        <v>36</v>
      </c>
      <c r="AP9" s="48">
        <f t="shared" si="9"/>
        <v>38.933333333333337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148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>
        <v>43</v>
      </c>
      <c r="L10" s="3"/>
      <c r="M10" s="3">
        <v>61</v>
      </c>
      <c r="N10" s="3">
        <v>65</v>
      </c>
      <c r="O10" s="3">
        <v>62</v>
      </c>
      <c r="P10" s="3"/>
      <c r="Q10" s="3"/>
      <c r="R10" s="3"/>
      <c r="S10" s="4">
        <f t="shared" si="0"/>
        <v>62.666666666666664</v>
      </c>
      <c r="T10" s="3">
        <v>66</v>
      </c>
      <c r="U10" s="44">
        <f t="shared" si="1"/>
        <v>64.666666666666671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62.666666666666664</v>
      </c>
      <c r="AO10" s="5">
        <f t="shared" si="8"/>
        <v>66</v>
      </c>
      <c r="AP10" s="48">
        <f t="shared" si="9"/>
        <v>64.666666666666671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>
        <v>1</v>
      </c>
      <c r="K11" s="19">
        <v>89</v>
      </c>
      <c r="L11" s="3"/>
      <c r="M11" s="3">
        <v>80</v>
      </c>
      <c r="N11" s="3">
        <v>85</v>
      </c>
      <c r="O11" s="3">
        <v>85</v>
      </c>
      <c r="P11" s="3"/>
      <c r="Q11" s="3"/>
      <c r="R11" s="3"/>
      <c r="S11" s="4">
        <f t="shared" si="0"/>
        <v>83.333333333333329</v>
      </c>
      <c r="T11" s="3">
        <v>85</v>
      </c>
      <c r="U11" s="44">
        <f t="shared" si="1"/>
        <v>84.333333333333329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83.333333333333329</v>
      </c>
      <c r="AO11" s="5">
        <f t="shared" si="8"/>
        <v>85</v>
      </c>
      <c r="AP11" s="48">
        <f t="shared" si="9"/>
        <v>84.333333333333329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>
        <v>50</v>
      </c>
      <c r="L12" s="3"/>
      <c r="M12" s="3">
        <v>55</v>
      </c>
      <c r="N12" s="3">
        <v>50</v>
      </c>
      <c r="O12" s="3">
        <v>45</v>
      </c>
      <c r="P12" s="3"/>
      <c r="Q12" s="3"/>
      <c r="R12" s="3"/>
      <c r="S12" s="4">
        <f t="shared" si="0"/>
        <v>50</v>
      </c>
      <c r="T12" s="3">
        <v>41</v>
      </c>
      <c r="U12" s="44">
        <f t="shared" si="1"/>
        <v>44.6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50</v>
      </c>
      <c r="AO12" s="5">
        <f t="shared" si="8"/>
        <v>41</v>
      </c>
      <c r="AP12" s="48">
        <f t="shared" si="9"/>
        <v>44.6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>
        <v>34</v>
      </c>
      <c r="L13" s="3"/>
      <c r="M13" s="3">
        <v>31</v>
      </c>
      <c r="N13" s="3">
        <v>32</v>
      </c>
      <c r="O13" s="3">
        <v>33</v>
      </c>
      <c r="P13" s="3"/>
      <c r="Q13" s="3"/>
      <c r="R13" s="3"/>
      <c r="S13" s="4">
        <f t="shared" si="0"/>
        <v>32</v>
      </c>
      <c r="T13" s="3">
        <v>40</v>
      </c>
      <c r="U13" s="44">
        <f t="shared" si="1"/>
        <v>36.799999999999997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32</v>
      </c>
      <c r="AO13" s="5">
        <f t="shared" si="8"/>
        <v>40</v>
      </c>
      <c r="AP13" s="48">
        <f t="shared" si="9"/>
        <v>36.799999999999997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2</v>
      </c>
      <c r="K14" s="19">
        <v>39</v>
      </c>
      <c r="L14" s="3"/>
      <c r="M14" s="3">
        <v>67</v>
      </c>
      <c r="N14" s="3">
        <v>40</v>
      </c>
      <c r="O14" s="3">
        <v>65</v>
      </c>
      <c r="P14" s="3"/>
      <c r="Q14" s="3"/>
      <c r="R14" s="3"/>
      <c r="S14" s="4">
        <f t="shared" si="0"/>
        <v>57.333333333333336</v>
      </c>
      <c r="T14" s="3">
        <v>64</v>
      </c>
      <c r="U14" s="44">
        <f t="shared" si="1"/>
        <v>61.333333333333329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57.333333333333336</v>
      </c>
      <c r="AO14" s="5">
        <f t="shared" si="8"/>
        <v>64</v>
      </c>
      <c r="AP14" s="48">
        <f t="shared" si="9"/>
        <v>61.333333333333329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>
        <v>36</v>
      </c>
      <c r="L15" s="3"/>
      <c r="M15" s="3">
        <v>47</v>
      </c>
      <c r="N15" s="3">
        <v>31</v>
      </c>
      <c r="O15" s="3">
        <v>45</v>
      </c>
      <c r="P15" s="3"/>
      <c r="Q15" s="3"/>
      <c r="R15" s="3"/>
      <c r="S15" s="4">
        <f t="shared" si="0"/>
        <v>41</v>
      </c>
      <c r="T15" s="3">
        <v>44</v>
      </c>
      <c r="U15" s="44">
        <f t="shared" si="1"/>
        <v>42.8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41</v>
      </c>
      <c r="AO15" s="5">
        <f t="shared" si="8"/>
        <v>44</v>
      </c>
      <c r="AP15" s="48">
        <f t="shared" si="9"/>
        <v>42.8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2</v>
      </c>
      <c r="K16" s="19">
        <v>36</v>
      </c>
      <c r="L16" s="3"/>
      <c r="M16" s="3">
        <v>31</v>
      </c>
      <c r="N16" s="3">
        <v>32</v>
      </c>
      <c r="O16" s="3">
        <v>50</v>
      </c>
      <c r="P16" s="3"/>
      <c r="Q16" s="3"/>
      <c r="R16" s="3"/>
      <c r="S16" s="4">
        <f t="shared" si="0"/>
        <v>37.666666666666664</v>
      </c>
      <c r="T16" s="3">
        <v>34</v>
      </c>
      <c r="U16" s="44">
        <f t="shared" si="1"/>
        <v>35.466666666666661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37.666666666666664</v>
      </c>
      <c r="AO16" s="5">
        <f t="shared" si="8"/>
        <v>34</v>
      </c>
      <c r="AP16" s="48">
        <f t="shared" si="9"/>
        <v>35.466666666666661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>
        <v>32</v>
      </c>
      <c r="L17" s="3"/>
      <c r="M17" s="3">
        <v>32</v>
      </c>
      <c r="N17" s="3">
        <v>31</v>
      </c>
      <c r="O17" s="3">
        <v>35</v>
      </c>
      <c r="P17" s="3"/>
      <c r="Q17" s="3"/>
      <c r="R17" s="3"/>
      <c r="S17" s="4">
        <f t="shared" si="0"/>
        <v>32.666666666666664</v>
      </c>
      <c r="T17" s="3">
        <v>37</v>
      </c>
      <c r="U17" s="44">
        <f t="shared" si="1"/>
        <v>35.266666666666666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32.666666666666664</v>
      </c>
      <c r="AO17" s="5">
        <f t="shared" si="8"/>
        <v>37</v>
      </c>
      <c r="AP17" s="48">
        <f t="shared" si="9"/>
        <v>35.266666666666666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4</v>
      </c>
      <c r="K18" s="19">
        <v>34</v>
      </c>
      <c r="L18" s="3"/>
      <c r="M18" s="3">
        <v>32</v>
      </c>
      <c r="N18" s="3">
        <v>31</v>
      </c>
      <c r="O18" s="3">
        <v>31</v>
      </c>
      <c r="P18" s="3"/>
      <c r="Q18" s="3"/>
      <c r="R18" s="3"/>
      <c r="S18" s="4">
        <f t="shared" si="0"/>
        <v>31.333333333333332</v>
      </c>
      <c r="T18" s="3">
        <v>31</v>
      </c>
      <c r="U18" s="44">
        <f t="shared" si="1"/>
        <v>31.133333333333333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31.333333333333332</v>
      </c>
      <c r="AO18" s="5">
        <f t="shared" si="8"/>
        <v>31</v>
      </c>
      <c r="AP18" s="48">
        <f t="shared" si="9"/>
        <v>31.133333333333333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>
        <v>49</v>
      </c>
      <c r="L19" s="3"/>
      <c r="M19" s="3">
        <v>45</v>
      </c>
      <c r="N19" s="3">
        <v>32</v>
      </c>
      <c r="O19" s="3">
        <v>62</v>
      </c>
      <c r="P19" s="3"/>
      <c r="Q19" s="3"/>
      <c r="R19" s="3"/>
      <c r="S19" s="4">
        <f t="shared" si="0"/>
        <v>46.333333333333336</v>
      </c>
      <c r="T19" s="3">
        <v>61</v>
      </c>
      <c r="U19" s="44">
        <f t="shared" si="1"/>
        <v>55.13333333333334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46.333333333333336</v>
      </c>
      <c r="AO19" s="5">
        <f t="shared" si="8"/>
        <v>61</v>
      </c>
      <c r="AP19" s="48">
        <f t="shared" si="9"/>
        <v>55.13333333333334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>
        <v>88</v>
      </c>
      <c r="L20" s="3"/>
      <c r="M20" s="3">
        <v>90</v>
      </c>
      <c r="N20" s="3">
        <v>95</v>
      </c>
      <c r="O20" s="3">
        <v>85</v>
      </c>
      <c r="P20" s="3"/>
      <c r="Q20" s="3"/>
      <c r="R20" s="3"/>
      <c r="S20" s="4">
        <f t="shared" si="0"/>
        <v>90</v>
      </c>
      <c r="T20" s="3">
        <v>88</v>
      </c>
      <c r="U20" s="44">
        <f t="shared" si="1"/>
        <v>88.8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90</v>
      </c>
      <c r="AO20" s="5">
        <f t="shared" si="8"/>
        <v>88</v>
      </c>
      <c r="AP20" s="48">
        <f t="shared" si="9"/>
        <v>88.8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>
        <v>75</v>
      </c>
      <c r="L21" s="3"/>
      <c r="M21" s="3">
        <v>57</v>
      </c>
      <c r="N21" s="3">
        <v>65</v>
      </c>
      <c r="O21" s="3">
        <v>62</v>
      </c>
      <c r="P21" s="3"/>
      <c r="Q21" s="3"/>
      <c r="R21" s="3"/>
      <c r="S21" s="4">
        <f t="shared" si="0"/>
        <v>61.333333333333336</v>
      </c>
      <c r="T21" s="3">
        <v>62</v>
      </c>
      <c r="U21" s="44">
        <f t="shared" si="1"/>
        <v>61.733333333333334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61.333333333333336</v>
      </c>
      <c r="AO21" s="5">
        <f t="shared" si="8"/>
        <v>62</v>
      </c>
      <c r="AP21" s="48">
        <f t="shared" si="9"/>
        <v>61.733333333333334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>
        <v>33</v>
      </c>
      <c r="L22" s="3"/>
      <c r="M22" s="3">
        <v>35</v>
      </c>
      <c r="N22" s="3">
        <v>31</v>
      </c>
      <c r="O22" s="3">
        <v>35</v>
      </c>
      <c r="P22" s="3"/>
      <c r="Q22" s="3"/>
      <c r="R22" s="3"/>
      <c r="S22" s="4">
        <f t="shared" si="0"/>
        <v>33.666666666666664</v>
      </c>
      <c r="T22" s="3">
        <v>42</v>
      </c>
      <c r="U22" s="44">
        <f t="shared" si="1"/>
        <v>38.666666666666664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33.666666666666664</v>
      </c>
      <c r="AO22" s="5">
        <f t="shared" si="8"/>
        <v>42</v>
      </c>
      <c r="AP22" s="48">
        <f t="shared" si="9"/>
        <v>38.666666666666664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>
        <v>34</v>
      </c>
      <c r="L23" s="3"/>
      <c r="M23" s="3">
        <v>32</v>
      </c>
      <c r="N23" s="3">
        <v>35</v>
      </c>
      <c r="O23" s="3">
        <v>31</v>
      </c>
      <c r="P23" s="3"/>
      <c r="Q23" s="3"/>
      <c r="R23" s="3"/>
      <c r="S23" s="4">
        <f t="shared" si="0"/>
        <v>32.666666666666664</v>
      </c>
      <c r="T23" s="3">
        <v>38</v>
      </c>
      <c r="U23" s="44">
        <f t="shared" si="1"/>
        <v>35.866666666666667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32.666666666666664</v>
      </c>
      <c r="AO23" s="5">
        <f t="shared" si="8"/>
        <v>38</v>
      </c>
      <c r="AP23" s="48">
        <f t="shared" si="9"/>
        <v>35.866666666666667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>
        <v>85</v>
      </c>
      <c r="L24" s="3"/>
      <c r="M24" s="3">
        <v>55</v>
      </c>
      <c r="N24" s="3">
        <v>35</v>
      </c>
      <c r="O24" s="3">
        <v>40</v>
      </c>
      <c r="P24" s="3"/>
      <c r="Q24" s="3"/>
      <c r="R24" s="3"/>
      <c r="S24" s="4">
        <f t="shared" si="0"/>
        <v>43.333333333333336</v>
      </c>
      <c r="T24" s="3">
        <v>42</v>
      </c>
      <c r="U24" s="44">
        <f t="shared" si="1"/>
        <v>42.533333333333331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43.333333333333336</v>
      </c>
      <c r="AO24" s="5">
        <f t="shared" si="8"/>
        <v>42</v>
      </c>
      <c r="AP24" s="48">
        <f t="shared" si="9"/>
        <v>42.533333333333331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>
        <v>79</v>
      </c>
      <c r="L25" s="3"/>
      <c r="M25" s="3">
        <v>71</v>
      </c>
      <c r="N25" s="3">
        <v>60</v>
      </c>
      <c r="O25" s="3">
        <v>65</v>
      </c>
      <c r="P25" s="3"/>
      <c r="Q25" s="3"/>
      <c r="R25" s="3"/>
      <c r="S25" s="4">
        <f t="shared" si="0"/>
        <v>65.333333333333329</v>
      </c>
      <c r="T25" s="3">
        <v>68</v>
      </c>
      <c r="U25" s="44">
        <f t="shared" si="1"/>
        <v>66.933333333333323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65.333333333333329</v>
      </c>
      <c r="AO25" s="5">
        <f t="shared" si="8"/>
        <v>68</v>
      </c>
      <c r="AP25" s="48">
        <f t="shared" si="9"/>
        <v>66.933333333333323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>
        <f t="shared" ref="K56:AQ56" si="10">IFERROR(AVERAGE(K6:K55),"")</f>
        <v>49.95</v>
      </c>
      <c r="L56" s="31" t="str">
        <f t="shared" si="10"/>
        <v/>
      </c>
      <c r="M56" s="31">
        <f t="shared" si="10"/>
        <v>48.05</v>
      </c>
      <c r="N56" s="31">
        <f t="shared" si="10"/>
        <v>44.45</v>
      </c>
      <c r="O56" s="31">
        <f t="shared" si="10"/>
        <v>49.8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47.433333333333337</v>
      </c>
      <c r="T56" s="31">
        <f t="shared" si="10"/>
        <v>49.3</v>
      </c>
      <c r="U56" s="31">
        <f t="shared" si="10"/>
        <v>48.553333333333327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47.433333333333337</v>
      </c>
      <c r="AO56" s="31">
        <f t="shared" si="10"/>
        <v>49.3</v>
      </c>
      <c r="AP56" s="31">
        <f t="shared" si="10"/>
        <v>48.553333333333327</v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3</v>
      </c>
      <c r="L58" s="57">
        <f t="shared" si="11"/>
        <v>0</v>
      </c>
      <c r="M58" s="57">
        <f t="shared" si="11"/>
        <v>1</v>
      </c>
      <c r="N58" s="57">
        <f t="shared" si="11"/>
        <v>2</v>
      </c>
      <c r="O58" s="57">
        <f t="shared" si="11"/>
        <v>2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2</v>
      </c>
      <c r="T58" s="57">
        <f t="shared" si="11"/>
        <v>2</v>
      </c>
      <c r="U58" s="34">
        <f t="shared" si="11"/>
        <v>2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2</v>
      </c>
      <c r="AP58" s="37">
        <f t="shared" si="11"/>
        <v>2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2</v>
      </c>
      <c r="L59" s="6">
        <f t="shared" si="12"/>
        <v>0</v>
      </c>
      <c r="M59" s="6">
        <f t="shared" si="12"/>
        <v>4</v>
      </c>
      <c r="N59" s="6">
        <f t="shared" si="12"/>
        <v>2</v>
      </c>
      <c r="O59" s="6">
        <f t="shared" si="12"/>
        <v>5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3</v>
      </c>
      <c r="T59" s="6">
        <f t="shared" si="12"/>
        <v>5</v>
      </c>
      <c r="U59" s="8">
        <f t="shared" si="12"/>
        <v>4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3</v>
      </c>
      <c r="AO59" s="7">
        <f t="shared" si="12"/>
        <v>5</v>
      </c>
      <c r="AP59" s="7">
        <f t="shared" si="12"/>
        <v>4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15</v>
      </c>
      <c r="L60" s="6">
        <f t="shared" si="13"/>
        <v>0</v>
      </c>
      <c r="M60" s="6">
        <f t="shared" si="13"/>
        <v>15</v>
      </c>
      <c r="N60" s="6">
        <f t="shared" si="13"/>
        <v>16</v>
      </c>
      <c r="O60" s="6">
        <f t="shared" si="13"/>
        <v>13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15</v>
      </c>
      <c r="T60" s="6">
        <f t="shared" si="13"/>
        <v>13</v>
      </c>
      <c r="U60" s="8">
        <f t="shared" si="13"/>
        <v>14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13</v>
      </c>
      <c r="AP60" s="7">
        <f t="shared" si="13"/>
        <v>14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20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20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>
        <f>IFERROR(K58*100/K62,"")</f>
        <v>15</v>
      </c>
      <c r="L63" s="64" t="str">
        <f t="shared" ref="L63:AQ63" si="17">IFERROR(L58*100/L62,"")</f>
        <v/>
      </c>
      <c r="M63" s="64">
        <f t="shared" si="17"/>
        <v>5</v>
      </c>
      <c r="N63" s="64">
        <f t="shared" si="17"/>
        <v>10</v>
      </c>
      <c r="O63" s="64">
        <f t="shared" si="17"/>
        <v>10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10</v>
      </c>
      <c r="T63" s="64">
        <f t="shared" si="17"/>
        <v>10</v>
      </c>
      <c r="U63" s="44">
        <f t="shared" si="17"/>
        <v>10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10</v>
      </c>
      <c r="AO63" s="48">
        <f t="shared" si="17"/>
        <v>10</v>
      </c>
      <c r="AP63" s="48">
        <f t="shared" si="17"/>
        <v>10</v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>
        <f>IFERROR(K59*100/K62,"")</f>
        <v>10</v>
      </c>
      <c r="L64" s="66" t="str">
        <f t="shared" ref="L64:AQ64" si="18">IFERROR(L59*100/L62,"")</f>
        <v/>
      </c>
      <c r="M64" s="66">
        <f t="shared" si="18"/>
        <v>20</v>
      </c>
      <c r="N64" s="66">
        <f t="shared" si="18"/>
        <v>10</v>
      </c>
      <c r="O64" s="66">
        <f t="shared" si="18"/>
        <v>25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15</v>
      </c>
      <c r="T64" s="66">
        <f t="shared" si="18"/>
        <v>25</v>
      </c>
      <c r="U64" s="4">
        <f t="shared" si="18"/>
        <v>20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15</v>
      </c>
      <c r="AO64" s="5">
        <f t="shared" si="18"/>
        <v>25</v>
      </c>
      <c r="AP64" s="5">
        <f t="shared" si="18"/>
        <v>20</v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>
        <f>IFERROR(K60*100/K62,"")</f>
        <v>75</v>
      </c>
      <c r="L65" s="66" t="str">
        <f t="shared" ref="L65:AQ65" si="19">IFERROR(L60*100/L62,"")</f>
        <v/>
      </c>
      <c r="M65" s="66">
        <f t="shared" si="19"/>
        <v>75</v>
      </c>
      <c r="N65" s="66">
        <f t="shared" si="19"/>
        <v>80</v>
      </c>
      <c r="O65" s="66">
        <f t="shared" si="19"/>
        <v>65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75</v>
      </c>
      <c r="T65" s="66">
        <f t="shared" si="19"/>
        <v>65</v>
      </c>
      <c r="U65" s="4">
        <f t="shared" si="19"/>
        <v>70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75</v>
      </c>
      <c r="AO65" s="5">
        <f t="shared" si="19"/>
        <v>65</v>
      </c>
      <c r="AP65" s="5">
        <f t="shared" si="19"/>
        <v>70</v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>
        <f>IFERROR(K61*100/K62,"")</f>
        <v>0</v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>
        <f t="shared" si="20"/>
        <v>0</v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>
        <f t="shared" si="20"/>
        <v>0</v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Biologiya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 t="str">
        <f>AB2</f>
        <v>Həmidova Məlahət Mənsub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68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99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Biologiya</v>
      </c>
      <c r="E157" s="202" t="str">
        <f>AB2</f>
        <v>Həmidova Məlahət Mənsub</v>
      </c>
      <c r="F157" s="202">
        <f>AP2</f>
        <v>68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0.22624434389140272</v>
      </c>
      <c r="L157" s="2">
        <f>(L158*100)/(F157*I157)</f>
        <v>2.1008403361344539</v>
      </c>
      <c r="M157" s="2">
        <f>(M158*100)/(F157*J157)</f>
        <v>0.88235294117647056</v>
      </c>
      <c r="N157" s="2">
        <f>K56</f>
        <v>49.95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47.433333333333337</v>
      </c>
      <c r="S157" s="2">
        <f>T56</f>
        <v>49.3</v>
      </c>
      <c r="T157" s="2">
        <f>U56</f>
        <v>48.553333333333327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47.433333333333337</v>
      </c>
      <c r="AD157" s="2">
        <f t="shared" si="21"/>
        <v>49.3</v>
      </c>
      <c r="AE157" s="2">
        <f t="shared" si="21"/>
        <v>48.553333333333327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2</v>
      </c>
      <c r="L158" s="202">
        <f>SUMIFS(J6:J55,F6:F55,"q")</f>
        <v>10</v>
      </c>
      <c r="M158" s="202">
        <f>SUM(K158:L158)</f>
        <v>12</v>
      </c>
      <c r="N158" s="2">
        <f>(SUMIFS(K6:K55,F6:F55,"k"))/(COUNTIF(F6:F55,"k"))</f>
        <v>47.692307692307693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43.435897435897431</v>
      </c>
      <c r="S158" s="2">
        <f>(SUMIFS(T6:T55,F6:F55,"k"))/(COUNTIF(F6:F55,"k"))</f>
        <v>46.46153846153846</v>
      </c>
      <c r="T158" s="2">
        <f>(SUMIFS(U6:U55,F6:F55,"k"))/(COUNTIF(F6:F55,"k"))</f>
        <v>45.251282051282047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43.435897435897431</v>
      </c>
      <c r="AD158" s="2">
        <f t="shared" si="22"/>
        <v>46.46153846153846</v>
      </c>
      <c r="AE158" s="2">
        <f t="shared" si="22"/>
        <v>45.251282051282047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54.142857142857146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54.857142857142854</v>
      </c>
      <c r="S159" s="2">
        <f>(SUMIFS(T6:T55,F6:F55,"q"))/(COUNTIF(F6:F55,"q"))</f>
        <v>54.571428571428569</v>
      </c>
      <c r="T159" s="2">
        <f>(SUMIFS(U6:U55,F6:F55,"q"))/(COUNTIF(F6:F55,"q"))</f>
        <v>54.685714285714276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54.857142857142854</v>
      </c>
      <c r="AD159" s="2">
        <f t="shared" ref="AD159:AE159" si="23">(SUMIFS(AO6:AO55,$F$6:$F$55,"q"))/(COUNTIF($F$6:$F$55,"q"))</f>
        <v>54.571428571428569</v>
      </c>
      <c r="AE159" s="2">
        <f t="shared" si="23"/>
        <v>54.685714285714276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>
        <f>K63</f>
        <v>15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10</v>
      </c>
      <c r="S160" s="2">
        <f>T63</f>
        <v>10</v>
      </c>
      <c r="T160" s="2">
        <f>U63</f>
        <v>10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10</v>
      </c>
      <c r="AD160" s="2">
        <f t="shared" si="24"/>
        <v>10</v>
      </c>
      <c r="AE160" s="2">
        <f t="shared" si="24"/>
        <v>10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>
        <f t="shared" ref="N161:O163" si="25">K64</f>
        <v>10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15</v>
      </c>
      <c r="S161" s="2">
        <f t="shared" si="27"/>
        <v>25</v>
      </c>
      <c r="T161" s="2">
        <f t="shared" si="27"/>
        <v>20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15</v>
      </c>
      <c r="AD161" s="2">
        <f t="shared" si="24"/>
        <v>25</v>
      </c>
      <c r="AE161" s="2">
        <f t="shared" si="24"/>
        <v>20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>
        <f t="shared" si="25"/>
        <v>75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75</v>
      </c>
      <c r="S162" s="2">
        <f t="shared" si="27"/>
        <v>65</v>
      </c>
      <c r="T162" s="2">
        <f t="shared" si="27"/>
        <v>70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75</v>
      </c>
      <c r="AD162" s="2">
        <f t="shared" si="24"/>
        <v>65</v>
      </c>
      <c r="AE162" s="2">
        <f t="shared" si="24"/>
        <v>70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>
        <f t="shared" si="27"/>
        <v>0</v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>
        <f t="shared" si="24"/>
        <v>0</v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4" zoomScale="89" zoomScaleNormal="89" workbookViewId="0">
      <selection activeCell="K25" sqref="K25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Müəllimlər!C16</f>
        <v>Coğrafiya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 t="str">
        <f>Müəllimlər!D16</f>
        <v>Məmmədova Sevil Zahid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Müəllimlər!E16</f>
        <v>68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95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96" t="s">
        <v>38</v>
      </c>
      <c r="H5" s="196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>
        <v>3</v>
      </c>
      <c r="K6" s="42">
        <v>54</v>
      </c>
      <c r="L6" s="43"/>
      <c r="M6" s="43">
        <v>63</v>
      </c>
      <c r="N6" s="43">
        <v>44</v>
      </c>
      <c r="O6" s="43">
        <v>60</v>
      </c>
      <c r="P6" s="43"/>
      <c r="Q6" s="43"/>
      <c r="R6" s="43"/>
      <c r="S6" s="44">
        <f>IFERROR(AVERAGE(M6:R6),"")</f>
        <v>55.666666666666664</v>
      </c>
      <c r="T6" s="43"/>
      <c r="U6" s="44">
        <f>IF(T6="",S6,IF(S6="",T6,S6*40/100+T6*60/100))</f>
        <v>55.666666666666664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55.666666666666664</v>
      </c>
      <c r="AO6" s="48" t="str">
        <f>IFERROR(AVERAGE(T6,AG6),"")</f>
        <v/>
      </c>
      <c r="AP6" s="48">
        <f>IF(AO6="",AN6,IF(AN6="",AO6,AN6*40/100+AO6*60/100))</f>
        <v>55.666666666666664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>
        <v>52</v>
      </c>
      <c r="L7" s="3"/>
      <c r="M7" s="3">
        <v>31</v>
      </c>
      <c r="N7" s="3">
        <v>35</v>
      </c>
      <c r="O7" s="3">
        <v>47</v>
      </c>
      <c r="P7" s="3"/>
      <c r="Q7" s="3"/>
      <c r="R7" s="3"/>
      <c r="S7" s="4">
        <f t="shared" ref="S7:S55" si="0">IFERROR(AVERAGE(M7:R7),"")</f>
        <v>37.666666666666664</v>
      </c>
      <c r="T7" s="3"/>
      <c r="U7" s="44">
        <f t="shared" ref="U7:U55" si="1">IF(T7="",S7,IF(S7="",T7,S7*40/100+T7*60/100))</f>
        <v>37.666666666666664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37.666666666666664</v>
      </c>
      <c r="AO7" s="5" t="str">
        <f t="shared" si="8"/>
        <v/>
      </c>
      <c r="AP7" s="48">
        <f t="shared" ref="AP7:AP55" si="9">IF(AO7="",AN7,IF(AN7="",AO7,AN7*40/100+AO7*60/100))</f>
        <v>37.666666666666664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>
        <v>2</v>
      </c>
      <c r="K8" s="19">
        <v>48</v>
      </c>
      <c r="L8" s="3"/>
      <c r="M8" s="3">
        <v>64</v>
      </c>
      <c r="N8" s="3">
        <v>57</v>
      </c>
      <c r="O8" s="3">
        <v>32</v>
      </c>
      <c r="P8" s="3"/>
      <c r="Q8" s="3"/>
      <c r="R8" s="3"/>
      <c r="S8" s="4">
        <f t="shared" si="0"/>
        <v>51</v>
      </c>
      <c r="T8" s="3"/>
      <c r="U8" s="44">
        <f t="shared" si="1"/>
        <v>51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51</v>
      </c>
      <c r="AO8" s="5" t="str">
        <f t="shared" si="8"/>
        <v/>
      </c>
      <c r="AP8" s="48">
        <f t="shared" si="9"/>
        <v>51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3</v>
      </c>
      <c r="K9" s="19">
        <v>70</v>
      </c>
      <c r="L9" s="3"/>
      <c r="M9" s="3">
        <v>65</v>
      </c>
      <c r="N9" s="3">
        <v>40</v>
      </c>
      <c r="O9" s="3">
        <v>38</v>
      </c>
      <c r="P9" s="3"/>
      <c r="Q9" s="3"/>
      <c r="R9" s="3"/>
      <c r="S9" s="4">
        <f t="shared" si="0"/>
        <v>47.666666666666664</v>
      </c>
      <c r="T9" s="3"/>
      <c r="U9" s="44">
        <f t="shared" si="1"/>
        <v>47.666666666666664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47.666666666666664</v>
      </c>
      <c r="AO9" s="5" t="str">
        <f t="shared" si="8"/>
        <v/>
      </c>
      <c r="AP9" s="48">
        <f t="shared" si="9"/>
        <v>47.666666666666664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148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>
        <v>1</v>
      </c>
      <c r="K10" s="19">
        <v>56</v>
      </c>
      <c r="L10" s="3"/>
      <c r="M10" s="3">
        <v>32</v>
      </c>
      <c r="N10" s="3">
        <v>31</v>
      </c>
      <c r="O10" s="3">
        <v>35</v>
      </c>
      <c r="P10" s="3"/>
      <c r="Q10" s="3"/>
      <c r="R10" s="3"/>
      <c r="S10" s="4">
        <f t="shared" si="0"/>
        <v>32.666666666666664</v>
      </c>
      <c r="T10" s="3"/>
      <c r="U10" s="44">
        <f t="shared" si="1"/>
        <v>32.666666666666664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32.666666666666664</v>
      </c>
      <c r="AO10" s="5" t="str">
        <f t="shared" si="8"/>
        <v/>
      </c>
      <c r="AP10" s="48">
        <f t="shared" si="9"/>
        <v>32.666666666666664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>
        <v>100</v>
      </c>
      <c r="L11" s="3"/>
      <c r="M11" s="3">
        <v>68</v>
      </c>
      <c r="N11" s="3">
        <v>63</v>
      </c>
      <c r="O11" s="3">
        <v>75</v>
      </c>
      <c r="P11" s="3"/>
      <c r="Q11" s="3"/>
      <c r="R11" s="3"/>
      <c r="S11" s="4">
        <f t="shared" si="0"/>
        <v>68.666666666666671</v>
      </c>
      <c r="T11" s="3"/>
      <c r="U11" s="44">
        <f t="shared" si="1"/>
        <v>68.666666666666671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68.666666666666671</v>
      </c>
      <c r="AO11" s="5" t="str">
        <f t="shared" si="8"/>
        <v/>
      </c>
      <c r="AP11" s="48">
        <f t="shared" si="9"/>
        <v>68.666666666666671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>
        <v>1</v>
      </c>
      <c r="K12" s="19">
        <v>48</v>
      </c>
      <c r="L12" s="3"/>
      <c r="M12" s="3">
        <v>50</v>
      </c>
      <c r="N12" s="3">
        <v>55</v>
      </c>
      <c r="O12" s="3">
        <v>60</v>
      </c>
      <c r="P12" s="3"/>
      <c r="Q12" s="3"/>
      <c r="R12" s="3"/>
      <c r="S12" s="4">
        <f t="shared" si="0"/>
        <v>55</v>
      </c>
      <c r="T12" s="3"/>
      <c r="U12" s="44">
        <f t="shared" si="1"/>
        <v>55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55</v>
      </c>
      <c r="AO12" s="5" t="str">
        <f t="shared" si="8"/>
        <v/>
      </c>
      <c r="AP12" s="48">
        <f t="shared" si="9"/>
        <v>55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>
        <v>2</v>
      </c>
      <c r="K13" s="19">
        <v>43</v>
      </c>
      <c r="L13" s="3"/>
      <c r="M13" s="3">
        <v>32</v>
      </c>
      <c r="N13" s="3">
        <v>48</v>
      </c>
      <c r="O13" s="3">
        <v>32</v>
      </c>
      <c r="P13" s="3"/>
      <c r="Q13" s="3"/>
      <c r="R13" s="3"/>
      <c r="S13" s="4">
        <f t="shared" si="0"/>
        <v>37.333333333333336</v>
      </c>
      <c r="T13" s="3"/>
      <c r="U13" s="44">
        <f t="shared" si="1"/>
        <v>37.333333333333336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37.333333333333336</v>
      </c>
      <c r="AO13" s="5" t="str">
        <f t="shared" si="8"/>
        <v/>
      </c>
      <c r="AP13" s="48">
        <f t="shared" si="9"/>
        <v>37.333333333333336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1</v>
      </c>
      <c r="K14" s="19">
        <v>55</v>
      </c>
      <c r="L14" s="3"/>
      <c r="M14" s="3">
        <v>85</v>
      </c>
      <c r="N14" s="3">
        <v>40</v>
      </c>
      <c r="O14" s="3">
        <v>64</v>
      </c>
      <c r="P14" s="3"/>
      <c r="Q14" s="3"/>
      <c r="R14" s="3"/>
      <c r="S14" s="4">
        <f t="shared" si="0"/>
        <v>63</v>
      </c>
      <c r="T14" s="3"/>
      <c r="U14" s="44">
        <f t="shared" si="1"/>
        <v>63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63</v>
      </c>
      <c r="AO14" s="5" t="str">
        <f t="shared" si="8"/>
        <v/>
      </c>
      <c r="AP14" s="48">
        <f t="shared" si="9"/>
        <v>63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>
        <v>4</v>
      </c>
      <c r="K15" s="19">
        <v>63</v>
      </c>
      <c r="L15" s="3"/>
      <c r="M15" s="3">
        <v>85</v>
      </c>
      <c r="N15" s="3">
        <v>58</v>
      </c>
      <c r="O15" s="3">
        <v>59</v>
      </c>
      <c r="P15" s="3"/>
      <c r="Q15" s="3"/>
      <c r="R15" s="3"/>
      <c r="S15" s="4">
        <f t="shared" si="0"/>
        <v>67.333333333333329</v>
      </c>
      <c r="T15" s="3"/>
      <c r="U15" s="44">
        <f t="shared" si="1"/>
        <v>67.333333333333329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67.333333333333329</v>
      </c>
      <c r="AO15" s="5" t="str">
        <f t="shared" si="8"/>
        <v/>
      </c>
      <c r="AP15" s="48">
        <f t="shared" si="9"/>
        <v>67.333333333333329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1</v>
      </c>
      <c r="K16" s="19">
        <v>60</v>
      </c>
      <c r="L16" s="3"/>
      <c r="M16" s="3">
        <v>68</v>
      </c>
      <c r="N16" s="3">
        <v>40</v>
      </c>
      <c r="O16" s="3">
        <v>61</v>
      </c>
      <c r="P16" s="3"/>
      <c r="Q16" s="3"/>
      <c r="R16" s="3"/>
      <c r="S16" s="4">
        <f t="shared" si="0"/>
        <v>56.333333333333336</v>
      </c>
      <c r="T16" s="3"/>
      <c r="U16" s="44">
        <f t="shared" si="1"/>
        <v>56.333333333333336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56.333333333333336</v>
      </c>
      <c r="AO16" s="5" t="str">
        <f t="shared" si="8"/>
        <v/>
      </c>
      <c r="AP16" s="48">
        <f t="shared" si="9"/>
        <v>56.333333333333336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>
        <v>4</v>
      </c>
      <c r="K17" s="19">
        <v>45</v>
      </c>
      <c r="L17" s="3"/>
      <c r="M17" s="3">
        <v>35</v>
      </c>
      <c r="N17" s="3">
        <v>45</v>
      </c>
      <c r="O17" s="3">
        <v>37</v>
      </c>
      <c r="P17" s="3"/>
      <c r="Q17" s="3"/>
      <c r="R17" s="3"/>
      <c r="S17" s="4">
        <f t="shared" si="0"/>
        <v>39</v>
      </c>
      <c r="T17" s="3"/>
      <c r="U17" s="44">
        <f t="shared" si="1"/>
        <v>39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39</v>
      </c>
      <c r="AO17" s="5" t="str">
        <f t="shared" si="8"/>
        <v/>
      </c>
      <c r="AP17" s="48">
        <f t="shared" si="9"/>
        <v>39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7</v>
      </c>
      <c r="K18" s="19">
        <v>54</v>
      </c>
      <c r="L18" s="3"/>
      <c r="M18" s="3">
        <v>50</v>
      </c>
      <c r="N18" s="3">
        <v>50</v>
      </c>
      <c r="O18" s="3">
        <v>0</v>
      </c>
      <c r="P18" s="3"/>
      <c r="Q18" s="3"/>
      <c r="R18" s="3"/>
      <c r="S18" s="4">
        <f t="shared" si="0"/>
        <v>33.333333333333336</v>
      </c>
      <c r="T18" s="3"/>
      <c r="U18" s="44">
        <f t="shared" si="1"/>
        <v>33.333333333333336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33.333333333333336</v>
      </c>
      <c r="AO18" s="5" t="str">
        <f t="shared" si="8"/>
        <v/>
      </c>
      <c r="AP18" s="48">
        <f t="shared" si="9"/>
        <v>33.333333333333336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>
        <v>1</v>
      </c>
      <c r="K19" s="19">
        <v>68</v>
      </c>
      <c r="L19" s="3"/>
      <c r="M19" s="3">
        <v>52</v>
      </c>
      <c r="N19" s="3">
        <v>49</v>
      </c>
      <c r="O19" s="3">
        <v>49</v>
      </c>
      <c r="P19" s="3"/>
      <c r="Q19" s="3"/>
      <c r="R19" s="3"/>
      <c r="S19" s="4">
        <f t="shared" si="0"/>
        <v>50</v>
      </c>
      <c r="T19" s="3"/>
      <c r="U19" s="44">
        <f t="shared" si="1"/>
        <v>50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50</v>
      </c>
      <c r="AO19" s="5" t="str">
        <f t="shared" si="8"/>
        <v/>
      </c>
      <c r="AP19" s="48">
        <f t="shared" si="9"/>
        <v>50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>
        <v>2</v>
      </c>
      <c r="K20" s="19">
        <v>95</v>
      </c>
      <c r="L20" s="3"/>
      <c r="M20" s="3">
        <v>87</v>
      </c>
      <c r="N20" s="3">
        <v>65</v>
      </c>
      <c r="O20" s="3">
        <v>77</v>
      </c>
      <c r="P20" s="3"/>
      <c r="Q20" s="3"/>
      <c r="R20" s="3"/>
      <c r="S20" s="4">
        <f t="shared" si="0"/>
        <v>76.333333333333329</v>
      </c>
      <c r="T20" s="3"/>
      <c r="U20" s="44">
        <f t="shared" si="1"/>
        <v>76.333333333333329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76.333333333333329</v>
      </c>
      <c r="AO20" s="5" t="str">
        <f t="shared" si="8"/>
        <v/>
      </c>
      <c r="AP20" s="48">
        <f t="shared" si="9"/>
        <v>76.333333333333329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>
        <v>88</v>
      </c>
      <c r="L21" s="3"/>
      <c r="M21" s="3">
        <v>67</v>
      </c>
      <c r="N21" s="3">
        <v>62</v>
      </c>
      <c r="O21" s="3">
        <v>67</v>
      </c>
      <c r="P21" s="3"/>
      <c r="Q21" s="3"/>
      <c r="R21" s="3"/>
      <c r="S21" s="4">
        <f t="shared" si="0"/>
        <v>65.333333333333329</v>
      </c>
      <c r="T21" s="3"/>
      <c r="U21" s="44">
        <f t="shared" si="1"/>
        <v>65.333333333333329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65.333333333333329</v>
      </c>
      <c r="AO21" s="5" t="str">
        <f t="shared" si="8"/>
        <v/>
      </c>
      <c r="AP21" s="48">
        <f t="shared" si="9"/>
        <v>65.333333333333329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>
        <v>1</v>
      </c>
      <c r="K22" s="19">
        <v>43</v>
      </c>
      <c r="L22" s="3"/>
      <c r="M22" s="3">
        <v>32</v>
      </c>
      <c r="N22" s="3">
        <v>32</v>
      </c>
      <c r="O22" s="3">
        <v>40</v>
      </c>
      <c r="P22" s="3"/>
      <c r="Q22" s="3"/>
      <c r="R22" s="3"/>
      <c r="S22" s="4">
        <f t="shared" si="0"/>
        <v>34.666666666666664</v>
      </c>
      <c r="T22" s="3"/>
      <c r="U22" s="44">
        <f t="shared" si="1"/>
        <v>34.666666666666664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34.666666666666664</v>
      </c>
      <c r="AO22" s="5" t="str">
        <f t="shared" si="8"/>
        <v/>
      </c>
      <c r="AP22" s="48">
        <f t="shared" si="9"/>
        <v>34.666666666666664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>
        <v>3</v>
      </c>
      <c r="K23" s="19">
        <v>48</v>
      </c>
      <c r="L23" s="3"/>
      <c r="M23" s="3">
        <v>54</v>
      </c>
      <c r="N23" s="3">
        <v>52</v>
      </c>
      <c r="O23" s="3">
        <v>57</v>
      </c>
      <c r="P23" s="3"/>
      <c r="Q23" s="3"/>
      <c r="R23" s="3"/>
      <c r="S23" s="4">
        <f t="shared" si="0"/>
        <v>54.333333333333336</v>
      </c>
      <c r="T23" s="3"/>
      <c r="U23" s="44">
        <f t="shared" si="1"/>
        <v>54.333333333333336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54.333333333333336</v>
      </c>
      <c r="AO23" s="5" t="str">
        <f t="shared" si="8"/>
        <v/>
      </c>
      <c r="AP23" s="48">
        <f t="shared" si="9"/>
        <v>54.333333333333336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>
        <v>85</v>
      </c>
      <c r="L24" s="3"/>
      <c r="M24" s="3">
        <v>35</v>
      </c>
      <c r="N24" s="3">
        <v>35</v>
      </c>
      <c r="O24" s="3">
        <v>60</v>
      </c>
      <c r="P24" s="3"/>
      <c r="Q24" s="3"/>
      <c r="R24" s="3"/>
      <c r="S24" s="4">
        <f t="shared" si="0"/>
        <v>43.333333333333336</v>
      </c>
      <c r="T24" s="3"/>
      <c r="U24" s="44">
        <f t="shared" si="1"/>
        <v>43.333333333333336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43.333333333333336</v>
      </c>
      <c r="AO24" s="5" t="str">
        <f t="shared" si="8"/>
        <v/>
      </c>
      <c r="AP24" s="48">
        <f t="shared" si="9"/>
        <v>43.333333333333336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>
        <v>75</v>
      </c>
      <c r="L25" s="3"/>
      <c r="M25" s="3">
        <v>50</v>
      </c>
      <c r="N25" s="3">
        <v>45</v>
      </c>
      <c r="O25" s="3">
        <v>52</v>
      </c>
      <c r="P25" s="3"/>
      <c r="Q25" s="3"/>
      <c r="R25" s="3"/>
      <c r="S25" s="4">
        <f t="shared" si="0"/>
        <v>49</v>
      </c>
      <c r="T25" s="3"/>
      <c r="U25" s="44">
        <f t="shared" si="1"/>
        <v>49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49</v>
      </c>
      <c r="AO25" s="5" t="str">
        <f t="shared" si="8"/>
        <v/>
      </c>
      <c r="AP25" s="48">
        <f t="shared" si="9"/>
        <v>49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>
        <f t="shared" ref="K56:AQ56" si="10">IFERROR(AVERAGE(K6:K55),"")</f>
        <v>62.5</v>
      </c>
      <c r="L56" s="31" t="str">
        <f t="shared" si="10"/>
        <v/>
      </c>
      <c r="M56" s="31">
        <f t="shared" si="10"/>
        <v>55.25</v>
      </c>
      <c r="N56" s="31">
        <f t="shared" si="10"/>
        <v>47.3</v>
      </c>
      <c r="O56" s="31">
        <f t="shared" si="10"/>
        <v>50.1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50.88333333333334</v>
      </c>
      <c r="T56" s="31" t="str">
        <f t="shared" si="10"/>
        <v/>
      </c>
      <c r="U56" s="31">
        <f t="shared" si="10"/>
        <v>50.88333333333334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50.88333333333334</v>
      </c>
      <c r="AO56" s="31" t="str">
        <f t="shared" si="10"/>
        <v/>
      </c>
      <c r="AP56" s="31">
        <f t="shared" si="10"/>
        <v>50.88333333333334</v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4</v>
      </c>
      <c r="L58" s="57">
        <f t="shared" si="11"/>
        <v>0</v>
      </c>
      <c r="M58" s="57">
        <f t="shared" si="11"/>
        <v>3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4</v>
      </c>
      <c r="L59" s="6">
        <f t="shared" si="12"/>
        <v>0</v>
      </c>
      <c r="M59" s="6">
        <f t="shared" si="12"/>
        <v>6</v>
      </c>
      <c r="N59" s="6">
        <f t="shared" si="12"/>
        <v>3</v>
      </c>
      <c r="O59" s="6">
        <f t="shared" si="12"/>
        <v>5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5</v>
      </c>
      <c r="T59" s="6">
        <f t="shared" si="12"/>
        <v>0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5</v>
      </c>
      <c r="AO59" s="7">
        <f t="shared" si="12"/>
        <v>0</v>
      </c>
      <c r="AP59" s="7">
        <f t="shared" si="12"/>
        <v>5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12</v>
      </c>
      <c r="L60" s="6">
        <f t="shared" si="13"/>
        <v>0</v>
      </c>
      <c r="M60" s="6">
        <f t="shared" si="13"/>
        <v>11</v>
      </c>
      <c r="N60" s="6">
        <f t="shared" si="13"/>
        <v>17</v>
      </c>
      <c r="O60" s="6">
        <f t="shared" si="13"/>
        <v>14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15</v>
      </c>
      <c r="T60" s="6">
        <f t="shared" si="13"/>
        <v>0</v>
      </c>
      <c r="U60" s="8">
        <f t="shared" si="13"/>
        <v>15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0</v>
      </c>
      <c r="AP60" s="7">
        <f t="shared" si="13"/>
        <v>15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1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>
        <f>IFERROR(K58*100/K62,"")</f>
        <v>20</v>
      </c>
      <c r="L63" s="64" t="str">
        <f t="shared" ref="L63:AQ63" si="17">IFERROR(L58*100/L62,"")</f>
        <v/>
      </c>
      <c r="M63" s="64">
        <f t="shared" si="17"/>
        <v>15</v>
      </c>
      <c r="N63" s="64">
        <f t="shared" si="17"/>
        <v>0</v>
      </c>
      <c r="O63" s="64">
        <f t="shared" si="17"/>
        <v>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0</v>
      </c>
      <c r="T63" s="64" t="str">
        <f t="shared" si="17"/>
        <v/>
      </c>
      <c r="U63" s="44">
        <f t="shared" si="17"/>
        <v>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0</v>
      </c>
      <c r="AO63" s="48" t="str">
        <f t="shared" si="17"/>
        <v/>
      </c>
      <c r="AP63" s="48">
        <f t="shared" si="17"/>
        <v>0</v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>
        <f>IFERROR(K59*100/K62,"")</f>
        <v>20</v>
      </c>
      <c r="L64" s="66" t="str">
        <f t="shared" ref="L64:AQ64" si="18">IFERROR(L59*100/L62,"")</f>
        <v/>
      </c>
      <c r="M64" s="66">
        <f t="shared" si="18"/>
        <v>30</v>
      </c>
      <c r="N64" s="66">
        <f t="shared" si="18"/>
        <v>15</v>
      </c>
      <c r="O64" s="66">
        <f t="shared" si="18"/>
        <v>25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25</v>
      </c>
      <c r="T64" s="66" t="str">
        <f t="shared" si="18"/>
        <v/>
      </c>
      <c r="U64" s="4">
        <f t="shared" si="18"/>
        <v>25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25</v>
      </c>
      <c r="AO64" s="5" t="str">
        <f t="shared" si="18"/>
        <v/>
      </c>
      <c r="AP64" s="5">
        <f t="shared" si="18"/>
        <v>25</v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>
        <f>IFERROR(K60*100/K62,"")</f>
        <v>60</v>
      </c>
      <c r="L65" s="66" t="str">
        <f t="shared" ref="L65:AQ65" si="19">IFERROR(L60*100/L62,"")</f>
        <v/>
      </c>
      <c r="M65" s="66">
        <f t="shared" si="19"/>
        <v>55</v>
      </c>
      <c r="N65" s="66">
        <f t="shared" si="19"/>
        <v>85</v>
      </c>
      <c r="O65" s="66">
        <f t="shared" si="19"/>
        <v>70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75</v>
      </c>
      <c r="T65" s="66" t="str">
        <f t="shared" si="19"/>
        <v/>
      </c>
      <c r="U65" s="4">
        <f t="shared" si="19"/>
        <v>75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75</v>
      </c>
      <c r="AO65" s="5" t="str">
        <f t="shared" si="19"/>
        <v/>
      </c>
      <c r="AP65" s="5">
        <f t="shared" si="19"/>
        <v>75</v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>
        <f>IFERROR(K61*100/K62,"")</f>
        <v>0</v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5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Coğrafiya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 t="str">
        <f>AB2</f>
        <v>Məmmədova Sevil Zahid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68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99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Coğrafiya</v>
      </c>
      <c r="E157" s="202" t="str">
        <f>AB2</f>
        <v>Məmmədova Sevil Zahid</v>
      </c>
      <c r="F157" s="202">
        <f>AP2</f>
        <v>68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2.0361990950226243</v>
      </c>
      <c r="L157" s="2">
        <f>(L158*100)/(F157*I157)</f>
        <v>3.7815126050420167</v>
      </c>
      <c r="M157" s="2">
        <f>(M158*100)/(F157*J157)</f>
        <v>2.6470588235294117</v>
      </c>
      <c r="N157" s="2">
        <f>K56</f>
        <v>62.5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50.88333333333334</v>
      </c>
      <c r="S157" s="2" t="str">
        <f>T56</f>
        <v/>
      </c>
      <c r="T157" s="2">
        <f>U56</f>
        <v>50.88333333333334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50.88333333333334</v>
      </c>
      <c r="AD157" s="2" t="str">
        <f t="shared" si="21"/>
        <v/>
      </c>
      <c r="AE157" s="2">
        <f t="shared" si="21"/>
        <v>50.88333333333334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18</v>
      </c>
      <c r="L158" s="202">
        <f>SUMIFS(J6:J55,F6:F55,"q")</f>
        <v>18</v>
      </c>
      <c r="M158" s="202">
        <f>SUM(K158:L158)</f>
        <v>36</v>
      </c>
      <c r="N158" s="2">
        <f>(SUMIFS(K6:K55,F6:F55,"k"))/(COUNTIF(F6:F55,"k"))</f>
        <v>57.92307692307692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46.53846153846154</v>
      </c>
      <c r="S158" s="2">
        <f>(SUMIFS(T6:T55,F6:F55,"k"))/(COUNTIF(F6:F55,"k"))</f>
        <v>0</v>
      </c>
      <c r="T158" s="2">
        <f>(SUMIFS(U6:U55,F6:F55,"k"))/(COUNTIF(F6:F55,"k"))</f>
        <v>46.53846153846154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46.53846153846154</v>
      </c>
      <c r="AD158" s="2">
        <f t="shared" si="22"/>
        <v>0</v>
      </c>
      <c r="AE158" s="2">
        <f t="shared" si="22"/>
        <v>46.53846153846154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71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58.952380952380949</v>
      </c>
      <c r="S159" s="2">
        <f>(SUMIFS(T6:T55,F6:F55,"q"))/(COUNTIF(F6:F55,"q"))</f>
        <v>0</v>
      </c>
      <c r="T159" s="2">
        <f>(SUMIFS(U6:U55,F6:F55,"q"))/(COUNTIF(F6:F55,"q"))</f>
        <v>58.952380952380949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58.952380952380949</v>
      </c>
      <c r="AD159" s="2">
        <f t="shared" ref="AD159:AE159" si="23">(SUMIFS(AO6:AO55,$F$6:$F$55,"q"))/(COUNTIF($F$6:$F$55,"q"))</f>
        <v>0</v>
      </c>
      <c r="AE159" s="2">
        <f t="shared" si="23"/>
        <v>58.952380952380949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>
        <f>K63</f>
        <v>20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0</v>
      </c>
      <c r="S160" s="2" t="str">
        <f>T63</f>
        <v/>
      </c>
      <c r="T160" s="2">
        <f>U63</f>
        <v>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0</v>
      </c>
      <c r="AD160" s="2" t="str">
        <f t="shared" si="24"/>
        <v/>
      </c>
      <c r="AE160" s="2">
        <f t="shared" si="24"/>
        <v>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>
        <f t="shared" ref="N161:O163" si="25">K64</f>
        <v>20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25</v>
      </c>
      <c r="S161" s="2" t="str">
        <f t="shared" si="27"/>
        <v/>
      </c>
      <c r="T161" s="2">
        <f t="shared" si="27"/>
        <v>25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25</v>
      </c>
      <c r="AD161" s="2" t="str">
        <f t="shared" si="24"/>
        <v/>
      </c>
      <c r="AE161" s="2">
        <f t="shared" si="24"/>
        <v>25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>
        <f t="shared" si="25"/>
        <v>60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75</v>
      </c>
      <c r="S162" s="2" t="str">
        <f t="shared" si="27"/>
        <v/>
      </c>
      <c r="T162" s="2">
        <f t="shared" si="27"/>
        <v>75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75</v>
      </c>
      <c r="AD162" s="2" t="str">
        <f t="shared" si="24"/>
        <v/>
      </c>
      <c r="AE162" s="2">
        <f t="shared" si="24"/>
        <v>75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9" zoomScale="98" zoomScaleNormal="98" workbookViewId="0">
      <selection activeCell="K25" sqref="K25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Müəllimlər!C17</f>
        <v>Həyat bilgisi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 t="str">
        <f>Müəllimlər!D17</f>
        <v>Həmidova Məlahət Mənsub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Müəllimlər!E17</f>
        <v>34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95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96" t="s">
        <v>38</v>
      </c>
      <c r="H5" s="196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>
        <v>33</v>
      </c>
      <c r="L6" s="43"/>
      <c r="M6" s="43">
        <v>40</v>
      </c>
      <c r="N6" s="43">
        <v>50</v>
      </c>
      <c r="O6" s="43">
        <v>55</v>
      </c>
      <c r="P6" s="43"/>
      <c r="Q6" s="43"/>
      <c r="R6" s="43"/>
      <c r="S6" s="44">
        <f>IFERROR(AVERAGE(M6:R6),"")</f>
        <v>48.333333333333336</v>
      </c>
      <c r="T6" s="43"/>
      <c r="U6" s="44">
        <f>IF(T6="",S6,IF(S6="",T6,S6*40/100+T6*60/100))</f>
        <v>48.333333333333336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48.333333333333336</v>
      </c>
      <c r="AO6" s="48" t="str">
        <f>IFERROR(AVERAGE(T6,AG6),"")</f>
        <v/>
      </c>
      <c r="AP6" s="48">
        <f>IF(AO6="",AN6,IF(AN6="",AO6,AN6*40/100+AO6*60/100))</f>
        <v>48.333333333333336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>
        <v>43</v>
      </c>
      <c r="L7" s="3"/>
      <c r="M7" s="3">
        <v>35</v>
      </c>
      <c r="N7" s="3">
        <v>37</v>
      </c>
      <c r="O7" s="3">
        <v>35</v>
      </c>
      <c r="P7" s="3"/>
      <c r="Q7" s="3"/>
      <c r="R7" s="3"/>
      <c r="S7" s="4">
        <f t="shared" ref="S7:S55" si="0">IFERROR(AVERAGE(M7:R7),"")</f>
        <v>35.666666666666664</v>
      </c>
      <c r="T7" s="3"/>
      <c r="U7" s="44">
        <f t="shared" ref="U7:U55" si="1">IF(T7="",S7,IF(S7="",T7,S7*40/100+T7*60/100))</f>
        <v>35.666666666666664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35.666666666666664</v>
      </c>
      <c r="AO7" s="5" t="str">
        <f t="shared" si="8"/>
        <v/>
      </c>
      <c r="AP7" s="48">
        <f t="shared" ref="AP7:AP55" si="9">IF(AO7="",AN7,IF(AN7="",AO7,AN7*40/100+AO7*60/100))</f>
        <v>35.666666666666664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>
        <v>48</v>
      </c>
      <c r="L8" s="3"/>
      <c r="M8" s="3">
        <v>32</v>
      </c>
      <c r="N8" s="3">
        <v>67</v>
      </c>
      <c r="O8" s="3">
        <v>55</v>
      </c>
      <c r="P8" s="3"/>
      <c r="Q8" s="3"/>
      <c r="R8" s="3"/>
      <c r="S8" s="4">
        <f t="shared" si="0"/>
        <v>51.333333333333336</v>
      </c>
      <c r="T8" s="3"/>
      <c r="U8" s="44">
        <f t="shared" si="1"/>
        <v>51.333333333333336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51.333333333333336</v>
      </c>
      <c r="AO8" s="5" t="str">
        <f t="shared" si="8"/>
        <v/>
      </c>
      <c r="AP8" s="48">
        <f t="shared" si="9"/>
        <v>51.333333333333336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>
        <v>1</v>
      </c>
      <c r="K9" s="19">
        <v>69</v>
      </c>
      <c r="L9" s="3"/>
      <c r="M9" s="3">
        <v>32</v>
      </c>
      <c r="N9" s="3">
        <v>65</v>
      </c>
      <c r="O9" s="3">
        <v>40</v>
      </c>
      <c r="P9" s="3"/>
      <c r="Q9" s="3"/>
      <c r="R9" s="3"/>
      <c r="S9" s="4">
        <f t="shared" si="0"/>
        <v>45.666666666666664</v>
      </c>
      <c r="T9" s="3"/>
      <c r="U9" s="44">
        <f t="shared" si="1"/>
        <v>45.666666666666664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45.666666666666664</v>
      </c>
      <c r="AO9" s="5" t="str">
        <f t="shared" si="8"/>
        <v/>
      </c>
      <c r="AP9" s="48">
        <f t="shared" si="9"/>
        <v>45.666666666666664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148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>
        <v>51</v>
      </c>
      <c r="L10" s="3"/>
      <c r="M10" s="3">
        <v>65</v>
      </c>
      <c r="N10" s="3">
        <v>70</v>
      </c>
      <c r="O10" s="3">
        <v>62</v>
      </c>
      <c r="P10" s="3"/>
      <c r="Q10" s="3"/>
      <c r="R10" s="3"/>
      <c r="S10" s="4">
        <f t="shared" si="0"/>
        <v>65.666666666666671</v>
      </c>
      <c r="T10" s="3"/>
      <c r="U10" s="44">
        <f t="shared" si="1"/>
        <v>65.666666666666671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65.666666666666671</v>
      </c>
      <c r="AO10" s="5" t="str">
        <f t="shared" si="8"/>
        <v/>
      </c>
      <c r="AP10" s="48">
        <f t="shared" si="9"/>
        <v>65.666666666666671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>
        <v>1</v>
      </c>
      <c r="K11" s="19">
        <v>90</v>
      </c>
      <c r="L11" s="3"/>
      <c r="M11" s="3">
        <v>83</v>
      </c>
      <c r="N11" s="3">
        <v>80</v>
      </c>
      <c r="O11" s="3">
        <v>83</v>
      </c>
      <c r="P11" s="3"/>
      <c r="Q11" s="3"/>
      <c r="R11" s="3"/>
      <c r="S11" s="4">
        <f t="shared" si="0"/>
        <v>82</v>
      </c>
      <c r="T11" s="3"/>
      <c r="U11" s="44">
        <f t="shared" si="1"/>
        <v>82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82</v>
      </c>
      <c r="AO11" s="5" t="str">
        <f t="shared" si="8"/>
        <v/>
      </c>
      <c r="AP11" s="48">
        <f t="shared" si="9"/>
        <v>82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>
        <v>45</v>
      </c>
      <c r="L12" s="3"/>
      <c r="M12" s="3">
        <v>35</v>
      </c>
      <c r="N12" s="3">
        <v>75</v>
      </c>
      <c r="O12" s="3">
        <v>62</v>
      </c>
      <c r="P12" s="3"/>
      <c r="Q12" s="3"/>
      <c r="R12" s="3"/>
      <c r="S12" s="4">
        <f t="shared" si="0"/>
        <v>57.333333333333336</v>
      </c>
      <c r="T12" s="3"/>
      <c r="U12" s="44">
        <f t="shared" si="1"/>
        <v>57.333333333333336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57.333333333333336</v>
      </c>
      <c r="AO12" s="5" t="str">
        <f t="shared" si="8"/>
        <v/>
      </c>
      <c r="AP12" s="48">
        <f t="shared" si="9"/>
        <v>57.333333333333336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>
        <v>34</v>
      </c>
      <c r="L13" s="3"/>
      <c r="M13" s="3">
        <v>31</v>
      </c>
      <c r="N13" s="3">
        <v>32</v>
      </c>
      <c r="O13" s="3">
        <v>35</v>
      </c>
      <c r="P13" s="3"/>
      <c r="Q13" s="3"/>
      <c r="R13" s="3"/>
      <c r="S13" s="4">
        <f t="shared" si="0"/>
        <v>32.666666666666664</v>
      </c>
      <c r="T13" s="3"/>
      <c r="U13" s="44">
        <f t="shared" si="1"/>
        <v>32.666666666666664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32.666666666666664</v>
      </c>
      <c r="AO13" s="5" t="str">
        <f t="shared" si="8"/>
        <v/>
      </c>
      <c r="AP13" s="48">
        <f t="shared" si="9"/>
        <v>32.666666666666664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>
        <v>1</v>
      </c>
      <c r="K14" s="19">
        <v>54</v>
      </c>
      <c r="L14" s="3"/>
      <c r="M14" s="3">
        <v>78</v>
      </c>
      <c r="N14" s="3">
        <v>65</v>
      </c>
      <c r="O14" s="3">
        <v>70</v>
      </c>
      <c r="P14" s="3"/>
      <c r="Q14" s="3"/>
      <c r="R14" s="3"/>
      <c r="S14" s="4">
        <f t="shared" si="0"/>
        <v>71</v>
      </c>
      <c r="T14" s="3"/>
      <c r="U14" s="44">
        <f t="shared" si="1"/>
        <v>71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71</v>
      </c>
      <c r="AO14" s="5" t="str">
        <f t="shared" si="8"/>
        <v/>
      </c>
      <c r="AP14" s="48">
        <f t="shared" si="9"/>
        <v>71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>
        <v>58</v>
      </c>
      <c r="L15" s="3"/>
      <c r="M15" s="3">
        <v>75</v>
      </c>
      <c r="N15" s="3">
        <v>50</v>
      </c>
      <c r="O15" s="3">
        <v>62</v>
      </c>
      <c r="P15" s="3"/>
      <c r="Q15" s="3"/>
      <c r="R15" s="3"/>
      <c r="S15" s="4">
        <f t="shared" si="0"/>
        <v>62.333333333333336</v>
      </c>
      <c r="T15" s="3"/>
      <c r="U15" s="44">
        <f t="shared" si="1"/>
        <v>62.333333333333336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62.333333333333336</v>
      </c>
      <c r="AO15" s="5" t="str">
        <f t="shared" si="8"/>
        <v/>
      </c>
      <c r="AP15" s="48">
        <f t="shared" si="9"/>
        <v>62.333333333333336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>
        <v>1</v>
      </c>
      <c r="K16" s="19">
        <v>54</v>
      </c>
      <c r="L16" s="3"/>
      <c r="M16" s="3">
        <v>50</v>
      </c>
      <c r="N16" s="3">
        <v>62</v>
      </c>
      <c r="O16" s="3">
        <v>65</v>
      </c>
      <c r="P16" s="3"/>
      <c r="Q16" s="3"/>
      <c r="R16" s="3"/>
      <c r="S16" s="4">
        <f t="shared" si="0"/>
        <v>59</v>
      </c>
      <c r="T16" s="3"/>
      <c r="U16" s="44">
        <f t="shared" si="1"/>
        <v>59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59</v>
      </c>
      <c r="AO16" s="5" t="str">
        <f t="shared" si="8"/>
        <v/>
      </c>
      <c r="AP16" s="48">
        <f t="shared" si="9"/>
        <v>59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>
        <v>32</v>
      </c>
      <c r="L17" s="3"/>
      <c r="M17" s="3">
        <v>32</v>
      </c>
      <c r="N17" s="3">
        <v>35</v>
      </c>
      <c r="O17" s="3">
        <v>35</v>
      </c>
      <c r="P17" s="3"/>
      <c r="Q17" s="3"/>
      <c r="R17" s="3"/>
      <c r="S17" s="4">
        <f t="shared" si="0"/>
        <v>34</v>
      </c>
      <c r="T17" s="3"/>
      <c r="U17" s="44">
        <f t="shared" si="1"/>
        <v>34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34</v>
      </c>
      <c r="AO17" s="5" t="str">
        <f t="shared" si="8"/>
        <v/>
      </c>
      <c r="AP17" s="48">
        <f t="shared" si="9"/>
        <v>34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>
        <v>3</v>
      </c>
      <c r="K18" s="19">
        <v>50</v>
      </c>
      <c r="L18" s="3"/>
      <c r="M18" s="3">
        <v>31</v>
      </c>
      <c r="N18" s="3">
        <v>31</v>
      </c>
      <c r="O18" s="3">
        <v>32</v>
      </c>
      <c r="P18" s="3"/>
      <c r="Q18" s="3"/>
      <c r="R18" s="3"/>
      <c r="S18" s="4">
        <f t="shared" si="0"/>
        <v>31.333333333333332</v>
      </c>
      <c r="T18" s="3"/>
      <c r="U18" s="44">
        <f t="shared" si="1"/>
        <v>31.333333333333332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31.333333333333332</v>
      </c>
      <c r="AO18" s="5" t="str">
        <f t="shared" si="8"/>
        <v/>
      </c>
      <c r="AP18" s="48">
        <f t="shared" si="9"/>
        <v>31.333333333333332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>
        <v>64</v>
      </c>
      <c r="L19" s="3"/>
      <c r="M19" s="3">
        <v>65</v>
      </c>
      <c r="N19" s="3">
        <v>62</v>
      </c>
      <c r="O19" s="3">
        <v>65</v>
      </c>
      <c r="P19" s="3"/>
      <c r="Q19" s="3"/>
      <c r="R19" s="3"/>
      <c r="S19" s="4">
        <f t="shared" si="0"/>
        <v>64</v>
      </c>
      <c r="T19" s="3"/>
      <c r="U19" s="44">
        <f t="shared" si="1"/>
        <v>64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64</v>
      </c>
      <c r="AO19" s="5" t="str">
        <f t="shared" si="8"/>
        <v/>
      </c>
      <c r="AP19" s="48">
        <f t="shared" si="9"/>
        <v>64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>
        <v>88</v>
      </c>
      <c r="L20" s="3"/>
      <c r="M20" s="3">
        <v>83</v>
      </c>
      <c r="N20" s="3">
        <v>90</v>
      </c>
      <c r="O20" s="3">
        <v>85</v>
      </c>
      <c r="P20" s="3"/>
      <c r="Q20" s="3"/>
      <c r="R20" s="3"/>
      <c r="S20" s="4">
        <f t="shared" si="0"/>
        <v>86</v>
      </c>
      <c r="T20" s="3"/>
      <c r="U20" s="44">
        <f t="shared" si="1"/>
        <v>86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86</v>
      </c>
      <c r="AO20" s="5" t="str">
        <f t="shared" si="8"/>
        <v/>
      </c>
      <c r="AP20" s="48">
        <f t="shared" si="9"/>
        <v>86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>
        <v>75</v>
      </c>
      <c r="L21" s="3"/>
      <c r="M21" s="3">
        <v>62</v>
      </c>
      <c r="N21" s="3">
        <v>65</v>
      </c>
      <c r="O21" s="3">
        <v>70</v>
      </c>
      <c r="P21" s="3"/>
      <c r="Q21" s="3"/>
      <c r="R21" s="3"/>
      <c r="S21" s="4">
        <f t="shared" si="0"/>
        <v>65.666666666666671</v>
      </c>
      <c r="T21" s="3"/>
      <c r="U21" s="44">
        <f t="shared" si="1"/>
        <v>65.666666666666671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65.666666666666671</v>
      </c>
      <c r="AO21" s="5" t="str">
        <f t="shared" si="8"/>
        <v/>
      </c>
      <c r="AP21" s="48">
        <f t="shared" si="9"/>
        <v>65.666666666666671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>
        <v>32</v>
      </c>
      <c r="L22" s="3"/>
      <c r="M22" s="3">
        <v>40</v>
      </c>
      <c r="N22" s="3">
        <v>32</v>
      </c>
      <c r="O22" s="3">
        <v>35</v>
      </c>
      <c r="P22" s="3"/>
      <c r="Q22" s="3"/>
      <c r="R22" s="3"/>
      <c r="S22" s="4">
        <f t="shared" si="0"/>
        <v>35.666666666666664</v>
      </c>
      <c r="T22" s="3"/>
      <c r="U22" s="44">
        <f t="shared" si="1"/>
        <v>35.666666666666664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35.666666666666664</v>
      </c>
      <c r="AO22" s="5" t="str">
        <f t="shared" si="8"/>
        <v/>
      </c>
      <c r="AP22" s="48">
        <f t="shared" si="9"/>
        <v>35.666666666666664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>
        <v>34</v>
      </c>
      <c r="L23" s="3"/>
      <c r="M23" s="3">
        <v>32</v>
      </c>
      <c r="N23" s="3">
        <v>35</v>
      </c>
      <c r="O23" s="3">
        <v>40</v>
      </c>
      <c r="P23" s="3"/>
      <c r="Q23" s="3"/>
      <c r="R23" s="3"/>
      <c r="S23" s="4">
        <f t="shared" si="0"/>
        <v>35.666666666666664</v>
      </c>
      <c r="T23" s="3"/>
      <c r="U23" s="44">
        <f t="shared" si="1"/>
        <v>35.666666666666664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35.666666666666664</v>
      </c>
      <c r="AO23" s="5" t="str">
        <f t="shared" si="8"/>
        <v/>
      </c>
      <c r="AP23" s="48">
        <f t="shared" si="9"/>
        <v>35.666666666666664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>
        <v>80</v>
      </c>
      <c r="L24" s="3"/>
      <c r="M24" s="3">
        <v>53</v>
      </c>
      <c r="N24" s="3">
        <v>55</v>
      </c>
      <c r="O24" s="3">
        <v>50</v>
      </c>
      <c r="P24" s="3"/>
      <c r="Q24" s="3"/>
      <c r="R24" s="3"/>
      <c r="S24" s="4">
        <f t="shared" si="0"/>
        <v>52.666666666666664</v>
      </c>
      <c r="T24" s="3"/>
      <c r="U24" s="44">
        <f t="shared" si="1"/>
        <v>52.666666666666664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52.666666666666664</v>
      </c>
      <c r="AO24" s="5" t="str">
        <f t="shared" si="8"/>
        <v/>
      </c>
      <c r="AP24" s="48">
        <f t="shared" si="9"/>
        <v>52.666666666666664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>
        <v>92</v>
      </c>
      <c r="L25" s="3"/>
      <c r="M25" s="3">
        <v>67</v>
      </c>
      <c r="N25" s="3">
        <v>54</v>
      </c>
      <c r="O25" s="3">
        <v>65</v>
      </c>
      <c r="P25" s="3"/>
      <c r="Q25" s="3"/>
      <c r="R25" s="3"/>
      <c r="S25" s="4">
        <f t="shared" si="0"/>
        <v>62</v>
      </c>
      <c r="T25" s="3"/>
      <c r="U25" s="44">
        <f t="shared" si="1"/>
        <v>62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62</v>
      </c>
      <c r="AO25" s="5" t="str">
        <f t="shared" si="8"/>
        <v/>
      </c>
      <c r="AP25" s="48">
        <f t="shared" si="9"/>
        <v>62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>
        <f t="shared" ref="K56:AQ56" si="10">IFERROR(AVERAGE(K6:K55),"")</f>
        <v>56.3</v>
      </c>
      <c r="L56" s="31" t="str">
        <f t="shared" si="10"/>
        <v/>
      </c>
      <c r="M56" s="31">
        <f t="shared" si="10"/>
        <v>51.05</v>
      </c>
      <c r="N56" s="31">
        <f t="shared" si="10"/>
        <v>55.6</v>
      </c>
      <c r="O56" s="31">
        <f t="shared" si="10"/>
        <v>55.05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53.9</v>
      </c>
      <c r="T56" s="31" t="str">
        <f t="shared" si="10"/>
        <v/>
      </c>
      <c r="U56" s="31">
        <f t="shared" si="10"/>
        <v>53.9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53.9</v>
      </c>
      <c r="AO56" s="31" t="str">
        <f t="shared" si="10"/>
        <v/>
      </c>
      <c r="AP56" s="31">
        <f t="shared" si="10"/>
        <v>53.9</v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3</v>
      </c>
      <c r="L58" s="57">
        <f t="shared" si="11"/>
        <v>0</v>
      </c>
      <c r="M58" s="57">
        <f t="shared" si="11"/>
        <v>2</v>
      </c>
      <c r="N58" s="57">
        <f t="shared" si="11"/>
        <v>1</v>
      </c>
      <c r="O58" s="57">
        <f t="shared" si="11"/>
        <v>2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2</v>
      </c>
      <c r="T58" s="57">
        <f t="shared" si="11"/>
        <v>0</v>
      </c>
      <c r="U58" s="34">
        <f t="shared" si="11"/>
        <v>2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4</v>
      </c>
      <c r="L59" s="6">
        <f t="shared" si="12"/>
        <v>0</v>
      </c>
      <c r="M59" s="6">
        <f t="shared" si="12"/>
        <v>6</v>
      </c>
      <c r="N59" s="6">
        <f t="shared" si="12"/>
        <v>9</v>
      </c>
      <c r="O59" s="6">
        <f t="shared" si="12"/>
        <v>8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6</v>
      </c>
      <c r="T59" s="6">
        <f t="shared" si="12"/>
        <v>0</v>
      </c>
      <c r="U59" s="8">
        <f t="shared" si="12"/>
        <v>6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6</v>
      </c>
      <c r="AO59" s="7">
        <f t="shared" si="12"/>
        <v>0</v>
      </c>
      <c r="AP59" s="7">
        <f t="shared" si="12"/>
        <v>6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13</v>
      </c>
      <c r="L60" s="6">
        <f t="shared" si="13"/>
        <v>0</v>
      </c>
      <c r="M60" s="6">
        <f t="shared" si="13"/>
        <v>12</v>
      </c>
      <c r="N60" s="6">
        <f t="shared" si="13"/>
        <v>10</v>
      </c>
      <c r="O60" s="6">
        <f t="shared" si="13"/>
        <v>10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12</v>
      </c>
      <c r="T60" s="6">
        <f t="shared" si="13"/>
        <v>0</v>
      </c>
      <c r="U60" s="8">
        <f t="shared" si="13"/>
        <v>12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12</v>
      </c>
      <c r="AO60" s="7">
        <f t="shared" si="13"/>
        <v>0</v>
      </c>
      <c r="AP60" s="7">
        <f t="shared" si="13"/>
        <v>12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>
        <f>IFERROR(K58*100/K62,"")</f>
        <v>15</v>
      </c>
      <c r="L63" s="64" t="str">
        <f t="shared" ref="L63:AQ63" si="17">IFERROR(L58*100/L62,"")</f>
        <v/>
      </c>
      <c r="M63" s="64">
        <f t="shared" si="17"/>
        <v>10</v>
      </c>
      <c r="N63" s="64">
        <f t="shared" si="17"/>
        <v>5</v>
      </c>
      <c r="O63" s="64">
        <f t="shared" si="17"/>
        <v>10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10</v>
      </c>
      <c r="T63" s="64" t="str">
        <f t="shared" si="17"/>
        <v/>
      </c>
      <c r="U63" s="44">
        <f t="shared" si="17"/>
        <v>10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10</v>
      </c>
      <c r="AO63" s="48" t="str">
        <f t="shared" si="17"/>
        <v/>
      </c>
      <c r="AP63" s="48">
        <f t="shared" si="17"/>
        <v>10</v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>
        <f>IFERROR(K59*100/K62,"")</f>
        <v>20</v>
      </c>
      <c r="L64" s="66" t="str">
        <f t="shared" ref="L64:AQ64" si="18">IFERROR(L59*100/L62,"")</f>
        <v/>
      </c>
      <c r="M64" s="66">
        <f t="shared" si="18"/>
        <v>30</v>
      </c>
      <c r="N64" s="66">
        <f t="shared" si="18"/>
        <v>45</v>
      </c>
      <c r="O64" s="66">
        <f t="shared" si="18"/>
        <v>40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30</v>
      </c>
      <c r="T64" s="66" t="str">
        <f t="shared" si="18"/>
        <v/>
      </c>
      <c r="U64" s="4">
        <f t="shared" si="18"/>
        <v>30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30</v>
      </c>
      <c r="AO64" s="5" t="str">
        <f t="shared" si="18"/>
        <v/>
      </c>
      <c r="AP64" s="5">
        <f t="shared" si="18"/>
        <v>30</v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>
        <f>IFERROR(K60*100/K62,"")</f>
        <v>65</v>
      </c>
      <c r="L65" s="66" t="str">
        <f t="shared" ref="L65:AQ65" si="19">IFERROR(L60*100/L62,"")</f>
        <v/>
      </c>
      <c r="M65" s="66">
        <f t="shared" si="19"/>
        <v>60</v>
      </c>
      <c r="N65" s="66">
        <f t="shared" si="19"/>
        <v>50</v>
      </c>
      <c r="O65" s="66">
        <f t="shared" si="19"/>
        <v>50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60</v>
      </c>
      <c r="T65" s="66" t="str">
        <f t="shared" si="19"/>
        <v/>
      </c>
      <c r="U65" s="4">
        <f t="shared" si="19"/>
        <v>60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60</v>
      </c>
      <c r="AO65" s="5" t="str">
        <f t="shared" si="19"/>
        <v/>
      </c>
      <c r="AP65" s="5">
        <f t="shared" si="19"/>
        <v>60</v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>
        <f>IFERROR(K61*100/K62,"")</f>
        <v>0</v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Həyat bilgisi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 t="str">
        <f>AB2</f>
        <v>Həmidova Məlahət Mənsub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34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99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Həyat bilgisi</v>
      </c>
      <c r="E157" s="202" t="str">
        <f>AB2</f>
        <v>Həmidova Məlahət Mənsub</v>
      </c>
      <c r="F157" s="202">
        <f>AP2</f>
        <v>34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0</v>
      </c>
      <c r="L157" s="2">
        <f>(L158*100)/(F157*I157)</f>
        <v>2.9411764705882355</v>
      </c>
      <c r="M157" s="2">
        <f>(M158*100)/(F157*J157)</f>
        <v>1.0294117647058822</v>
      </c>
      <c r="N157" s="2">
        <f>K56</f>
        <v>56.3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53.9</v>
      </c>
      <c r="S157" s="2" t="str">
        <f>T56</f>
        <v/>
      </c>
      <c r="T157" s="2">
        <f>U56</f>
        <v>53.9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53.9</v>
      </c>
      <c r="AD157" s="2" t="str">
        <f t="shared" si="21"/>
        <v/>
      </c>
      <c r="AE157" s="2">
        <f t="shared" si="21"/>
        <v>53.9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0</v>
      </c>
      <c r="L158" s="202">
        <f>SUMIFS(J6:J55,F6:F55,"q")</f>
        <v>7</v>
      </c>
      <c r="M158" s="202">
        <f>SUM(K158:L158)</f>
        <v>7</v>
      </c>
      <c r="N158" s="2">
        <f>(SUMIFS(K6:K55,F6:F55,"k"))/(COUNTIF(F6:F55,"k"))</f>
        <v>51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49.282051282051277</v>
      </c>
      <c r="S158" s="2">
        <f>(SUMIFS(T6:T55,F6:F55,"k"))/(COUNTIF(F6:F55,"k"))</f>
        <v>0</v>
      </c>
      <c r="T158" s="2">
        <f>(SUMIFS(U6:U55,F6:F55,"k"))/(COUNTIF(F6:F55,"k"))</f>
        <v>49.282051282051277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49.282051282051277</v>
      </c>
      <c r="AD158" s="2">
        <f t="shared" si="22"/>
        <v>0</v>
      </c>
      <c r="AE158" s="2">
        <f t="shared" si="22"/>
        <v>49.282051282051277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66.142857142857139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62.476190476190474</v>
      </c>
      <c r="S159" s="2">
        <f>(SUMIFS(T6:T55,F6:F55,"q"))/(COUNTIF(F6:F55,"q"))</f>
        <v>0</v>
      </c>
      <c r="T159" s="2">
        <f>(SUMIFS(U6:U55,F6:F55,"q"))/(COUNTIF(F6:F55,"q"))</f>
        <v>62.476190476190474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62.476190476190474</v>
      </c>
      <c r="AD159" s="2">
        <f t="shared" ref="AD159:AE159" si="23">(SUMIFS(AO6:AO55,$F$6:$F$55,"q"))/(COUNTIF($F$6:$F$55,"q"))</f>
        <v>0</v>
      </c>
      <c r="AE159" s="2">
        <f t="shared" si="23"/>
        <v>62.476190476190474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>
        <f>K63</f>
        <v>15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10</v>
      </c>
      <c r="S160" s="2" t="str">
        <f>T63</f>
        <v/>
      </c>
      <c r="T160" s="2">
        <f>U63</f>
        <v>10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10</v>
      </c>
      <c r="AD160" s="2" t="str">
        <f t="shared" si="24"/>
        <v/>
      </c>
      <c r="AE160" s="2">
        <f t="shared" si="24"/>
        <v>10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>
        <f t="shared" ref="N161:O163" si="25">K64</f>
        <v>20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30</v>
      </c>
      <c r="S161" s="2" t="str">
        <f t="shared" si="27"/>
        <v/>
      </c>
      <c r="T161" s="2">
        <f t="shared" si="27"/>
        <v>30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30</v>
      </c>
      <c r="AD161" s="2" t="str">
        <f t="shared" si="24"/>
        <v/>
      </c>
      <c r="AE161" s="2">
        <f t="shared" si="24"/>
        <v>30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>
        <f t="shared" si="25"/>
        <v>65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60</v>
      </c>
      <c r="S162" s="2" t="str">
        <f t="shared" si="27"/>
        <v/>
      </c>
      <c r="T162" s="2">
        <f t="shared" si="27"/>
        <v>60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60</v>
      </c>
      <c r="AD162" s="2" t="str">
        <f t="shared" si="24"/>
        <v/>
      </c>
      <c r="AE162" s="2">
        <f t="shared" si="24"/>
        <v>60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C6" zoomScale="93" zoomScaleNormal="93" workbookViewId="0">
      <selection activeCell="K25" sqref="K25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Müəllimlər!C18</f>
        <v>Texnologiya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 t="str">
        <f>Müəllimlər!D18</f>
        <v>Atakişiyeva Səadət Hüseyin, Məmmədova Rübabə Rəsul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Müəllimlər!E18</f>
        <v>34.340000000000003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95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96" t="s">
        <v>38</v>
      </c>
      <c r="H5" s="196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>
        <v>46</v>
      </c>
      <c r="L6" s="43"/>
      <c r="M6" s="43">
        <v>70</v>
      </c>
      <c r="N6" s="43">
        <v>65</v>
      </c>
      <c r="O6" s="43">
        <v>65</v>
      </c>
      <c r="P6" s="43"/>
      <c r="Q6" s="43"/>
      <c r="R6" s="43"/>
      <c r="S6" s="44">
        <f>IFERROR(AVERAGE(M6:R6),"")</f>
        <v>66.666666666666671</v>
      </c>
      <c r="T6" s="43"/>
      <c r="U6" s="44">
        <f>IF(T6="",S6,IF(S6="",T6,S6*40/100+T6*60/100))</f>
        <v>66.666666666666671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66.666666666666671</v>
      </c>
      <c r="AO6" s="48" t="str">
        <f>IFERROR(AVERAGE(T6,AG6),"")</f>
        <v/>
      </c>
      <c r="AP6" s="48">
        <f>IF(AO6="",AN6,IF(AN6="",AO6,AN6*40/100+AO6*60/100))</f>
        <v>66.666666666666671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>
        <v>47</v>
      </c>
      <c r="L7" s="3"/>
      <c r="M7" s="3">
        <v>60</v>
      </c>
      <c r="N7" s="3">
        <v>55</v>
      </c>
      <c r="O7" s="3">
        <v>50</v>
      </c>
      <c r="P7" s="3"/>
      <c r="Q7" s="3"/>
      <c r="R7" s="3"/>
      <c r="S7" s="4">
        <f t="shared" ref="S7:S55" si="0">IFERROR(AVERAGE(M7:R7),"")</f>
        <v>55</v>
      </c>
      <c r="T7" s="3"/>
      <c r="U7" s="44">
        <f t="shared" ref="U7:U55" si="1">IF(T7="",S7,IF(S7="",T7,S7*40/100+T7*60/100))</f>
        <v>55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55</v>
      </c>
      <c r="AO7" s="5" t="str">
        <f t="shared" si="8"/>
        <v/>
      </c>
      <c r="AP7" s="48">
        <f t="shared" ref="AP7:AP55" si="9">IF(AO7="",AN7,IF(AN7="",AO7,AN7*40/100+AO7*60/100))</f>
        <v>55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>
        <v>55</v>
      </c>
      <c r="L8" s="3"/>
      <c r="M8" s="3">
        <v>65</v>
      </c>
      <c r="N8" s="3">
        <v>60</v>
      </c>
      <c r="O8" s="3">
        <v>55</v>
      </c>
      <c r="P8" s="3"/>
      <c r="Q8" s="3"/>
      <c r="R8" s="3"/>
      <c r="S8" s="4">
        <f t="shared" si="0"/>
        <v>60</v>
      </c>
      <c r="T8" s="3"/>
      <c r="U8" s="44">
        <f t="shared" si="1"/>
        <v>60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60</v>
      </c>
      <c r="AO8" s="5" t="str">
        <f t="shared" si="8"/>
        <v/>
      </c>
      <c r="AP8" s="48">
        <f t="shared" si="9"/>
        <v>60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>
        <v>71</v>
      </c>
      <c r="L9" s="3"/>
      <c r="M9" s="3">
        <v>70</v>
      </c>
      <c r="N9" s="3">
        <v>65</v>
      </c>
      <c r="O9" s="3">
        <v>75</v>
      </c>
      <c r="P9" s="3"/>
      <c r="Q9" s="3"/>
      <c r="R9" s="3"/>
      <c r="S9" s="4">
        <f t="shared" si="0"/>
        <v>70</v>
      </c>
      <c r="T9" s="3"/>
      <c r="U9" s="44">
        <f t="shared" si="1"/>
        <v>70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70</v>
      </c>
      <c r="AO9" s="5" t="str">
        <f t="shared" si="8"/>
        <v/>
      </c>
      <c r="AP9" s="48">
        <f t="shared" si="9"/>
        <v>70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148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>
        <v>68</v>
      </c>
      <c r="L10" s="3"/>
      <c r="M10" s="3">
        <v>75</v>
      </c>
      <c r="N10" s="3">
        <v>70</v>
      </c>
      <c r="O10" s="3">
        <v>75</v>
      </c>
      <c r="P10" s="3"/>
      <c r="Q10" s="3"/>
      <c r="R10" s="3"/>
      <c r="S10" s="4">
        <f t="shared" si="0"/>
        <v>73.333333333333329</v>
      </c>
      <c r="T10" s="3"/>
      <c r="U10" s="44">
        <f t="shared" si="1"/>
        <v>73.333333333333329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73.333333333333329</v>
      </c>
      <c r="AO10" s="5" t="str">
        <f t="shared" si="8"/>
        <v/>
      </c>
      <c r="AP10" s="48">
        <f t="shared" si="9"/>
        <v>73.333333333333329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>
        <v>95</v>
      </c>
      <c r="L11" s="3"/>
      <c r="M11" s="3">
        <v>90</v>
      </c>
      <c r="N11" s="3">
        <v>85</v>
      </c>
      <c r="O11" s="3">
        <v>95</v>
      </c>
      <c r="P11" s="3"/>
      <c r="Q11" s="3"/>
      <c r="R11" s="3"/>
      <c r="S11" s="4">
        <f t="shared" si="0"/>
        <v>90</v>
      </c>
      <c r="T11" s="3"/>
      <c r="U11" s="44">
        <f t="shared" si="1"/>
        <v>90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90</v>
      </c>
      <c r="AO11" s="5" t="str">
        <f t="shared" si="8"/>
        <v/>
      </c>
      <c r="AP11" s="48">
        <f t="shared" si="9"/>
        <v>90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>
        <v>66</v>
      </c>
      <c r="L12" s="3"/>
      <c r="M12" s="3">
        <v>70</v>
      </c>
      <c r="N12" s="3">
        <v>65</v>
      </c>
      <c r="O12" s="3">
        <v>55</v>
      </c>
      <c r="P12" s="3"/>
      <c r="Q12" s="3"/>
      <c r="R12" s="3"/>
      <c r="S12" s="4">
        <f t="shared" si="0"/>
        <v>63.333333333333336</v>
      </c>
      <c r="T12" s="3"/>
      <c r="U12" s="44">
        <f t="shared" si="1"/>
        <v>63.333333333333336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63.333333333333336</v>
      </c>
      <c r="AO12" s="5" t="str">
        <f t="shared" si="8"/>
        <v/>
      </c>
      <c r="AP12" s="48">
        <f t="shared" si="9"/>
        <v>63.333333333333336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>
        <v>40</v>
      </c>
      <c r="L13" s="3"/>
      <c r="M13" s="3">
        <v>55</v>
      </c>
      <c r="N13" s="3">
        <v>50</v>
      </c>
      <c r="O13" s="3">
        <v>50</v>
      </c>
      <c r="P13" s="3"/>
      <c r="Q13" s="3"/>
      <c r="R13" s="3"/>
      <c r="S13" s="4">
        <f t="shared" si="0"/>
        <v>51.666666666666664</v>
      </c>
      <c r="T13" s="3"/>
      <c r="U13" s="44">
        <f t="shared" si="1"/>
        <v>51.666666666666664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51.666666666666664</v>
      </c>
      <c r="AO13" s="5" t="str">
        <f t="shared" si="8"/>
        <v/>
      </c>
      <c r="AP13" s="48">
        <f t="shared" si="9"/>
        <v>51.666666666666664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>
        <v>59</v>
      </c>
      <c r="L14" s="3"/>
      <c r="M14" s="3">
        <v>85</v>
      </c>
      <c r="N14" s="3">
        <v>80</v>
      </c>
      <c r="O14" s="3">
        <v>85</v>
      </c>
      <c r="P14" s="3"/>
      <c r="Q14" s="3"/>
      <c r="R14" s="3"/>
      <c r="S14" s="4">
        <f t="shared" si="0"/>
        <v>83.333333333333329</v>
      </c>
      <c r="T14" s="3"/>
      <c r="U14" s="44">
        <f t="shared" si="1"/>
        <v>83.333333333333329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83.333333333333329</v>
      </c>
      <c r="AO14" s="5" t="str">
        <f t="shared" si="8"/>
        <v/>
      </c>
      <c r="AP14" s="48">
        <f t="shared" si="9"/>
        <v>83.333333333333329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>
        <v>61</v>
      </c>
      <c r="L15" s="3"/>
      <c r="M15" s="3">
        <v>85</v>
      </c>
      <c r="N15" s="3">
        <v>85</v>
      </c>
      <c r="O15" s="3">
        <v>90</v>
      </c>
      <c r="P15" s="3"/>
      <c r="Q15" s="3"/>
      <c r="R15" s="3"/>
      <c r="S15" s="4">
        <f t="shared" si="0"/>
        <v>86.666666666666671</v>
      </c>
      <c r="T15" s="3"/>
      <c r="U15" s="44">
        <f t="shared" si="1"/>
        <v>86.666666666666671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86.666666666666671</v>
      </c>
      <c r="AO15" s="5" t="str">
        <f t="shared" si="8"/>
        <v/>
      </c>
      <c r="AP15" s="48">
        <f t="shared" si="9"/>
        <v>86.666666666666671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>
        <v>60</v>
      </c>
      <c r="L16" s="3"/>
      <c r="M16" s="3">
        <v>65</v>
      </c>
      <c r="N16" s="3">
        <v>67</v>
      </c>
      <c r="O16" s="3">
        <v>69</v>
      </c>
      <c r="P16" s="3"/>
      <c r="Q16" s="3"/>
      <c r="R16" s="3"/>
      <c r="S16" s="4">
        <f t="shared" si="0"/>
        <v>67</v>
      </c>
      <c r="T16" s="3"/>
      <c r="U16" s="44">
        <f t="shared" si="1"/>
        <v>67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67</v>
      </c>
      <c r="AO16" s="5" t="str">
        <f t="shared" si="8"/>
        <v/>
      </c>
      <c r="AP16" s="48">
        <f t="shared" si="9"/>
        <v>67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>
        <v>38</v>
      </c>
      <c r="L17" s="3"/>
      <c r="M17" s="3">
        <v>50</v>
      </c>
      <c r="N17" s="3">
        <v>54</v>
      </c>
      <c r="O17" s="3">
        <v>62</v>
      </c>
      <c r="P17" s="3"/>
      <c r="Q17" s="3"/>
      <c r="R17" s="3"/>
      <c r="S17" s="4">
        <f t="shared" si="0"/>
        <v>55.333333333333336</v>
      </c>
      <c r="T17" s="3"/>
      <c r="U17" s="44">
        <f t="shared" si="1"/>
        <v>55.333333333333336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55.333333333333336</v>
      </c>
      <c r="AO17" s="5" t="str">
        <f t="shared" si="8"/>
        <v/>
      </c>
      <c r="AP17" s="48">
        <f t="shared" si="9"/>
        <v>55.333333333333336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>
        <v>62</v>
      </c>
      <c r="L18" s="3"/>
      <c r="M18" s="3">
        <v>51</v>
      </c>
      <c r="N18" s="3">
        <v>53</v>
      </c>
      <c r="O18" s="3">
        <v>60</v>
      </c>
      <c r="P18" s="3"/>
      <c r="Q18" s="3"/>
      <c r="R18" s="3"/>
      <c r="S18" s="4">
        <f t="shared" si="0"/>
        <v>54.666666666666664</v>
      </c>
      <c r="T18" s="3"/>
      <c r="U18" s="44">
        <f t="shared" si="1"/>
        <v>54.666666666666664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54.666666666666664</v>
      </c>
      <c r="AO18" s="5" t="str">
        <f t="shared" si="8"/>
        <v/>
      </c>
      <c r="AP18" s="48">
        <f t="shared" si="9"/>
        <v>54.666666666666664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>
        <v>74</v>
      </c>
      <c r="L19" s="3"/>
      <c r="M19" s="3">
        <v>65</v>
      </c>
      <c r="N19" s="3">
        <v>69</v>
      </c>
      <c r="O19" s="3">
        <v>67</v>
      </c>
      <c r="P19" s="3"/>
      <c r="Q19" s="3"/>
      <c r="R19" s="3"/>
      <c r="S19" s="4">
        <f t="shared" si="0"/>
        <v>67</v>
      </c>
      <c r="T19" s="3"/>
      <c r="U19" s="44">
        <f t="shared" si="1"/>
        <v>67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67</v>
      </c>
      <c r="AO19" s="5" t="str">
        <f t="shared" si="8"/>
        <v/>
      </c>
      <c r="AP19" s="48">
        <f t="shared" si="9"/>
        <v>67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>
        <v>100</v>
      </c>
      <c r="L20" s="3"/>
      <c r="M20" s="3">
        <v>92</v>
      </c>
      <c r="N20" s="3">
        <v>90</v>
      </c>
      <c r="O20" s="3">
        <v>92</v>
      </c>
      <c r="P20" s="3"/>
      <c r="Q20" s="3"/>
      <c r="R20" s="3"/>
      <c r="S20" s="4">
        <f t="shared" si="0"/>
        <v>91.333333333333329</v>
      </c>
      <c r="T20" s="3"/>
      <c r="U20" s="44">
        <f t="shared" si="1"/>
        <v>91.333333333333329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91.333333333333329</v>
      </c>
      <c r="AO20" s="5" t="str">
        <f t="shared" si="8"/>
        <v/>
      </c>
      <c r="AP20" s="48">
        <f t="shared" si="9"/>
        <v>91.333333333333329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>
        <v>90</v>
      </c>
      <c r="L21" s="3"/>
      <c r="M21" s="3">
        <v>67</v>
      </c>
      <c r="N21" s="3">
        <v>65</v>
      </c>
      <c r="O21" s="3">
        <v>68</v>
      </c>
      <c r="P21" s="3"/>
      <c r="Q21" s="3"/>
      <c r="R21" s="3"/>
      <c r="S21" s="4">
        <f t="shared" si="0"/>
        <v>66.666666666666671</v>
      </c>
      <c r="T21" s="3"/>
      <c r="U21" s="44">
        <f t="shared" si="1"/>
        <v>66.666666666666671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66.666666666666671</v>
      </c>
      <c r="AO21" s="5" t="str">
        <f t="shared" si="8"/>
        <v/>
      </c>
      <c r="AP21" s="48">
        <f t="shared" si="9"/>
        <v>66.666666666666671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>
        <v>35</v>
      </c>
      <c r="L22" s="3"/>
      <c r="M22" s="3">
        <v>40</v>
      </c>
      <c r="N22" s="3">
        <v>43</v>
      </c>
      <c r="O22" s="3">
        <v>57</v>
      </c>
      <c r="P22" s="3"/>
      <c r="Q22" s="3"/>
      <c r="R22" s="3"/>
      <c r="S22" s="4">
        <f t="shared" si="0"/>
        <v>46.666666666666664</v>
      </c>
      <c r="T22" s="3"/>
      <c r="U22" s="44">
        <f t="shared" si="1"/>
        <v>46.666666666666664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46.666666666666664</v>
      </c>
      <c r="AO22" s="5" t="str">
        <f t="shared" si="8"/>
        <v/>
      </c>
      <c r="AP22" s="48">
        <f t="shared" si="9"/>
        <v>46.666666666666664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>
        <v>33</v>
      </c>
      <c r="L23" s="3"/>
      <c r="M23" s="3">
        <v>35</v>
      </c>
      <c r="N23" s="3">
        <v>40</v>
      </c>
      <c r="O23" s="3">
        <v>50</v>
      </c>
      <c r="P23" s="3"/>
      <c r="Q23" s="3"/>
      <c r="R23" s="3"/>
      <c r="S23" s="4">
        <f t="shared" si="0"/>
        <v>41.666666666666664</v>
      </c>
      <c r="T23" s="3"/>
      <c r="U23" s="44">
        <f t="shared" si="1"/>
        <v>41.666666666666664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41.666666666666664</v>
      </c>
      <c r="AO23" s="5" t="str">
        <f t="shared" si="8"/>
        <v/>
      </c>
      <c r="AP23" s="48">
        <f t="shared" si="9"/>
        <v>41.666666666666664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>
        <v>85</v>
      </c>
      <c r="L24" s="3"/>
      <c r="M24" s="3">
        <v>52</v>
      </c>
      <c r="N24" s="3">
        <v>57</v>
      </c>
      <c r="O24" s="3">
        <v>54</v>
      </c>
      <c r="P24" s="3"/>
      <c r="Q24" s="3"/>
      <c r="R24" s="3"/>
      <c r="S24" s="4">
        <f t="shared" si="0"/>
        <v>54.333333333333336</v>
      </c>
      <c r="T24" s="3"/>
      <c r="U24" s="44">
        <f t="shared" si="1"/>
        <v>54.333333333333336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54.333333333333336</v>
      </c>
      <c r="AO24" s="5" t="str">
        <f t="shared" si="8"/>
        <v/>
      </c>
      <c r="AP24" s="48">
        <f t="shared" si="9"/>
        <v>54.333333333333336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>
        <v>80</v>
      </c>
      <c r="L25" s="3"/>
      <c r="M25" s="3">
        <v>83</v>
      </c>
      <c r="N25" s="3">
        <v>86</v>
      </c>
      <c r="O25" s="3">
        <v>89</v>
      </c>
      <c r="P25" s="3"/>
      <c r="Q25" s="3"/>
      <c r="R25" s="3"/>
      <c r="S25" s="4">
        <f t="shared" si="0"/>
        <v>86</v>
      </c>
      <c r="T25" s="3"/>
      <c r="U25" s="44">
        <f t="shared" si="1"/>
        <v>86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86</v>
      </c>
      <c r="AO25" s="5" t="str">
        <f t="shared" si="8"/>
        <v/>
      </c>
      <c r="AP25" s="48">
        <f t="shared" si="9"/>
        <v>86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>
        <f t="shared" ref="K56:AQ56" si="10">IFERROR(AVERAGE(K6:K55),"")</f>
        <v>63.25</v>
      </c>
      <c r="L56" s="31" t="str">
        <f t="shared" si="10"/>
        <v/>
      </c>
      <c r="M56" s="31">
        <f t="shared" si="10"/>
        <v>66.25</v>
      </c>
      <c r="N56" s="31">
        <f t="shared" si="10"/>
        <v>65.2</v>
      </c>
      <c r="O56" s="31">
        <f t="shared" si="10"/>
        <v>68.150000000000006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66.533333333333331</v>
      </c>
      <c r="T56" s="31" t="str">
        <f t="shared" si="10"/>
        <v/>
      </c>
      <c r="U56" s="31">
        <f t="shared" si="10"/>
        <v>66.533333333333331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66.533333333333331</v>
      </c>
      <c r="AO56" s="31" t="str">
        <f t="shared" si="10"/>
        <v/>
      </c>
      <c r="AP56" s="31">
        <f t="shared" si="10"/>
        <v>66.533333333333331</v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4</v>
      </c>
      <c r="L58" s="57">
        <f t="shared" si="11"/>
        <v>0</v>
      </c>
      <c r="M58" s="57">
        <f t="shared" si="11"/>
        <v>5</v>
      </c>
      <c r="N58" s="57">
        <f t="shared" si="11"/>
        <v>4</v>
      </c>
      <c r="O58" s="57">
        <f t="shared" si="11"/>
        <v>5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5</v>
      </c>
      <c r="T58" s="57">
        <f t="shared" si="11"/>
        <v>0</v>
      </c>
      <c r="U58" s="34">
        <f t="shared" si="11"/>
        <v>5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5</v>
      </c>
      <c r="AO58" s="37">
        <f t="shared" si="11"/>
        <v>0</v>
      </c>
      <c r="AP58" s="37">
        <f t="shared" si="11"/>
        <v>5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7</v>
      </c>
      <c r="L59" s="6">
        <f t="shared" si="12"/>
        <v>0</v>
      </c>
      <c r="M59" s="6">
        <f t="shared" si="12"/>
        <v>8</v>
      </c>
      <c r="N59" s="6">
        <f t="shared" si="12"/>
        <v>8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7</v>
      </c>
      <c r="T59" s="6">
        <f t="shared" si="12"/>
        <v>0</v>
      </c>
      <c r="U59" s="8">
        <f t="shared" si="12"/>
        <v>7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7</v>
      </c>
      <c r="AO59" s="7">
        <f t="shared" si="12"/>
        <v>0</v>
      </c>
      <c r="AP59" s="7">
        <f t="shared" si="12"/>
        <v>7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9</v>
      </c>
      <c r="L60" s="6">
        <f t="shared" si="13"/>
        <v>0</v>
      </c>
      <c r="M60" s="6">
        <f t="shared" si="13"/>
        <v>7</v>
      </c>
      <c r="N60" s="6">
        <f t="shared" si="13"/>
        <v>8</v>
      </c>
      <c r="O60" s="6">
        <f t="shared" si="13"/>
        <v>8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8</v>
      </c>
      <c r="T60" s="6">
        <f t="shared" si="13"/>
        <v>0</v>
      </c>
      <c r="U60" s="8">
        <f t="shared" si="13"/>
        <v>8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8</v>
      </c>
      <c r="AO60" s="7">
        <f t="shared" si="13"/>
        <v>0</v>
      </c>
      <c r="AP60" s="7">
        <f t="shared" si="13"/>
        <v>8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>
        <f>IFERROR(K58*100/K62,"")</f>
        <v>20</v>
      </c>
      <c r="L63" s="64" t="str">
        <f t="shared" ref="L63:AQ63" si="17">IFERROR(L58*100/L62,"")</f>
        <v/>
      </c>
      <c r="M63" s="64">
        <f t="shared" si="17"/>
        <v>25</v>
      </c>
      <c r="N63" s="64">
        <f t="shared" si="17"/>
        <v>20</v>
      </c>
      <c r="O63" s="64">
        <f t="shared" si="17"/>
        <v>25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25</v>
      </c>
      <c r="T63" s="64" t="str">
        <f t="shared" si="17"/>
        <v/>
      </c>
      <c r="U63" s="44">
        <f t="shared" si="17"/>
        <v>25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25</v>
      </c>
      <c r="AO63" s="48" t="str">
        <f t="shared" si="17"/>
        <v/>
      </c>
      <c r="AP63" s="48">
        <f t="shared" si="17"/>
        <v>25</v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>
        <f>IFERROR(K59*100/K62,"")</f>
        <v>35</v>
      </c>
      <c r="L64" s="66" t="str">
        <f t="shared" ref="L64:AQ64" si="18">IFERROR(L59*100/L62,"")</f>
        <v/>
      </c>
      <c r="M64" s="66">
        <f t="shared" si="18"/>
        <v>40</v>
      </c>
      <c r="N64" s="66">
        <f t="shared" si="18"/>
        <v>40</v>
      </c>
      <c r="O64" s="66">
        <f t="shared" si="18"/>
        <v>35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35</v>
      </c>
      <c r="T64" s="66" t="str">
        <f t="shared" si="18"/>
        <v/>
      </c>
      <c r="U64" s="4">
        <f t="shared" si="18"/>
        <v>35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35</v>
      </c>
      <c r="AO64" s="5" t="str">
        <f t="shared" si="18"/>
        <v/>
      </c>
      <c r="AP64" s="5">
        <f t="shared" si="18"/>
        <v>35</v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>
        <f>IFERROR(K60*100/K62,"")</f>
        <v>45</v>
      </c>
      <c r="L65" s="66" t="str">
        <f t="shared" ref="L65:AQ65" si="19">IFERROR(L60*100/L62,"")</f>
        <v/>
      </c>
      <c r="M65" s="66">
        <f t="shared" si="19"/>
        <v>35</v>
      </c>
      <c r="N65" s="66">
        <f t="shared" si="19"/>
        <v>40</v>
      </c>
      <c r="O65" s="66">
        <f t="shared" si="19"/>
        <v>40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40</v>
      </c>
      <c r="T65" s="66" t="str">
        <f t="shared" si="19"/>
        <v/>
      </c>
      <c r="U65" s="4">
        <f t="shared" si="19"/>
        <v>40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40</v>
      </c>
      <c r="AO65" s="5" t="str">
        <f t="shared" si="19"/>
        <v/>
      </c>
      <c r="AP65" s="5">
        <f t="shared" si="19"/>
        <v>40</v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>
        <f>IFERROR(K61*100/K62,"")</f>
        <v>0</v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Texnologiya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 t="str">
        <f>AB2</f>
        <v>Atakişiyeva Səadət Hüseyin, Məmmədova Rübabə Rəsul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34.340000000000003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99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Texnologiya</v>
      </c>
      <c r="E157" s="202" t="str">
        <f>AB2</f>
        <v>Atakişiyeva Səadət Hüseyin, Məmmədova Rübabə Rəsul</v>
      </c>
      <c r="F157" s="202">
        <f>AP2</f>
        <v>34.340000000000003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63.25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66.533333333333331</v>
      </c>
      <c r="S157" s="2" t="str">
        <f>T56</f>
        <v/>
      </c>
      <c r="T157" s="2">
        <f>U56</f>
        <v>66.533333333333331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66.533333333333331</v>
      </c>
      <c r="AD157" s="2" t="str">
        <f t="shared" si="21"/>
        <v/>
      </c>
      <c r="AE157" s="2">
        <f t="shared" si="21"/>
        <v>66.533333333333331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>
        <f>(SUMIFS(K6:K55,F6:F55,"k"))/(COUNTIF(F6:F55,"k"))</f>
        <v>58.230769230769234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60.589743589743584</v>
      </c>
      <c r="S158" s="2">
        <f>(SUMIFS(T6:T55,F6:F55,"k"))/(COUNTIF(F6:F55,"k"))</f>
        <v>0</v>
      </c>
      <c r="T158" s="2">
        <f>(SUMIFS(U6:U55,F6:F55,"k"))/(COUNTIF(F6:F55,"k"))</f>
        <v>60.589743589743584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60.589743589743584</v>
      </c>
      <c r="AD158" s="2">
        <f t="shared" si="22"/>
        <v>0</v>
      </c>
      <c r="AE158" s="2">
        <f t="shared" si="22"/>
        <v>60.589743589743584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72.571428571428569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77.571428571428569</v>
      </c>
      <c r="S159" s="2">
        <f>(SUMIFS(T6:T55,F6:F55,"q"))/(COUNTIF(F6:F55,"q"))</f>
        <v>0</v>
      </c>
      <c r="T159" s="2">
        <f>(SUMIFS(U6:U55,F6:F55,"q"))/(COUNTIF(F6:F55,"q"))</f>
        <v>77.571428571428569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77.571428571428569</v>
      </c>
      <c r="AD159" s="2">
        <f t="shared" ref="AD159:AE159" si="23">(SUMIFS(AO6:AO55,$F$6:$F$55,"q"))/(COUNTIF($F$6:$F$55,"q"))</f>
        <v>0</v>
      </c>
      <c r="AE159" s="2">
        <f t="shared" si="23"/>
        <v>77.571428571428569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>
        <f>K63</f>
        <v>20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25</v>
      </c>
      <c r="S160" s="2" t="str">
        <f>T63</f>
        <v/>
      </c>
      <c r="T160" s="2">
        <f>U63</f>
        <v>25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25</v>
      </c>
      <c r="AD160" s="2" t="str">
        <f t="shared" si="24"/>
        <v/>
      </c>
      <c r="AE160" s="2">
        <f t="shared" si="24"/>
        <v>25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>
        <f t="shared" ref="N161:O163" si="25">K64</f>
        <v>35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35</v>
      </c>
      <c r="S161" s="2" t="str">
        <f t="shared" si="27"/>
        <v/>
      </c>
      <c r="T161" s="2">
        <f t="shared" si="27"/>
        <v>35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35</v>
      </c>
      <c r="AD161" s="2" t="str">
        <f t="shared" si="24"/>
        <v/>
      </c>
      <c r="AE161" s="2">
        <f t="shared" si="24"/>
        <v>35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>
        <f t="shared" si="25"/>
        <v>45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40</v>
      </c>
      <c r="S162" s="2" t="str">
        <f t="shared" si="27"/>
        <v/>
      </c>
      <c r="T162" s="2">
        <f t="shared" si="27"/>
        <v>40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40</v>
      </c>
      <c r="AD162" s="2" t="str">
        <f t="shared" si="24"/>
        <v/>
      </c>
      <c r="AE162" s="2">
        <f t="shared" si="24"/>
        <v>40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6" zoomScale="93" zoomScaleNormal="93" workbookViewId="0">
      <selection activeCell="K25" sqref="K25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Müəllimlər!C19</f>
        <v>Fiziki tərbiyə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 t="str">
        <f>Müəllimlər!D19</f>
        <v>Xəlilova Bahar Xəlil, İsgəndərova İrina Qasım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Müəllimlər!E19</f>
        <v>68.680000000000007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95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96" t="s">
        <v>38</v>
      </c>
      <c r="H5" s="196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>
        <v>82</v>
      </c>
      <c r="L6" s="43"/>
      <c r="M6" s="43">
        <v>60</v>
      </c>
      <c r="N6" s="43">
        <v>60</v>
      </c>
      <c r="O6" s="43">
        <v>75</v>
      </c>
      <c r="P6" s="43"/>
      <c r="Q6" s="43"/>
      <c r="R6" s="43"/>
      <c r="S6" s="44">
        <f>IFERROR(AVERAGE(M6:R6),"")</f>
        <v>65</v>
      </c>
      <c r="T6" s="43"/>
      <c r="U6" s="44">
        <f>IF(T6="",S6,IF(S6="",T6,S6*40/100+T6*60/100))</f>
        <v>65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65</v>
      </c>
      <c r="AO6" s="48" t="str">
        <f>IFERROR(AVERAGE(T6,AG6),"")</f>
        <v/>
      </c>
      <c r="AP6" s="48">
        <f>IF(AO6="",AN6,IF(AN6="",AO6,AN6*40/100+AO6*60/100))</f>
        <v>65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>
        <v>85</v>
      </c>
      <c r="L7" s="3"/>
      <c r="M7" s="3">
        <v>60</v>
      </c>
      <c r="N7" s="3">
        <v>60</v>
      </c>
      <c r="O7" s="3">
        <v>60</v>
      </c>
      <c r="P7" s="3"/>
      <c r="Q7" s="3"/>
      <c r="R7" s="3"/>
      <c r="S7" s="4">
        <f t="shared" ref="S7:S55" si="0">IFERROR(AVERAGE(M7:R7),"")</f>
        <v>60</v>
      </c>
      <c r="T7" s="3"/>
      <c r="U7" s="44">
        <f t="shared" ref="U7:U55" si="1">IF(T7="",S7,IF(S7="",T7,S7*40/100+T7*60/100))</f>
        <v>60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60</v>
      </c>
      <c r="AO7" s="5" t="str">
        <f t="shared" si="8"/>
        <v/>
      </c>
      <c r="AP7" s="48">
        <f t="shared" ref="AP7:AP55" si="9">IF(AO7="",AN7,IF(AN7="",AO7,AN7*40/100+AO7*60/100))</f>
        <v>60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>
        <v>85</v>
      </c>
      <c r="L8" s="3"/>
      <c r="M8" s="3">
        <v>56</v>
      </c>
      <c r="N8" s="3">
        <v>65</v>
      </c>
      <c r="O8" s="3">
        <v>67</v>
      </c>
      <c r="P8" s="3"/>
      <c r="Q8" s="3"/>
      <c r="R8" s="3"/>
      <c r="S8" s="4">
        <f t="shared" si="0"/>
        <v>62.666666666666664</v>
      </c>
      <c r="T8" s="3"/>
      <c r="U8" s="44">
        <f t="shared" si="1"/>
        <v>62.666666666666664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62.666666666666664</v>
      </c>
      <c r="AO8" s="5" t="str">
        <f t="shared" si="8"/>
        <v/>
      </c>
      <c r="AP8" s="48">
        <f t="shared" si="9"/>
        <v>62.666666666666664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>
        <v>90</v>
      </c>
      <c r="L9" s="3"/>
      <c r="M9" s="3">
        <v>75</v>
      </c>
      <c r="N9" s="3">
        <v>76</v>
      </c>
      <c r="O9" s="3">
        <v>80</v>
      </c>
      <c r="P9" s="3"/>
      <c r="Q9" s="3"/>
      <c r="R9" s="3"/>
      <c r="S9" s="4">
        <f t="shared" si="0"/>
        <v>77</v>
      </c>
      <c r="T9" s="3"/>
      <c r="U9" s="44">
        <f t="shared" si="1"/>
        <v>77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77</v>
      </c>
      <c r="AO9" s="5" t="str">
        <f t="shared" si="8"/>
        <v/>
      </c>
      <c r="AP9" s="48">
        <f t="shared" si="9"/>
        <v>77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148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>
        <v>75</v>
      </c>
      <c r="L10" s="3"/>
      <c r="M10" s="3">
        <v>75</v>
      </c>
      <c r="N10" s="3">
        <v>75</v>
      </c>
      <c r="O10" s="3">
        <v>70</v>
      </c>
      <c r="P10" s="3"/>
      <c r="Q10" s="3"/>
      <c r="R10" s="3"/>
      <c r="S10" s="4">
        <f t="shared" si="0"/>
        <v>73.333333333333329</v>
      </c>
      <c r="T10" s="3"/>
      <c r="U10" s="44">
        <f t="shared" si="1"/>
        <v>73.333333333333329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73.333333333333329</v>
      </c>
      <c r="AO10" s="5" t="str">
        <f t="shared" si="8"/>
        <v/>
      </c>
      <c r="AP10" s="48">
        <f t="shared" si="9"/>
        <v>73.333333333333329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>
        <v>93</v>
      </c>
      <c r="L11" s="3"/>
      <c r="M11" s="3">
        <v>60</v>
      </c>
      <c r="N11" s="3">
        <v>73</v>
      </c>
      <c r="O11" s="3">
        <v>75</v>
      </c>
      <c r="P11" s="3"/>
      <c r="Q11" s="3"/>
      <c r="R11" s="3"/>
      <c r="S11" s="4">
        <f t="shared" si="0"/>
        <v>69.333333333333329</v>
      </c>
      <c r="T11" s="3"/>
      <c r="U11" s="44">
        <f t="shared" si="1"/>
        <v>69.333333333333329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69.333333333333329</v>
      </c>
      <c r="AO11" s="5" t="str">
        <f t="shared" si="8"/>
        <v/>
      </c>
      <c r="AP11" s="48">
        <f t="shared" si="9"/>
        <v>69.333333333333329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>
        <v>83</v>
      </c>
      <c r="L12" s="3"/>
      <c r="M12" s="3">
        <v>77</v>
      </c>
      <c r="N12" s="3">
        <v>78</v>
      </c>
      <c r="O12" s="3">
        <v>85</v>
      </c>
      <c r="P12" s="3"/>
      <c r="Q12" s="3"/>
      <c r="R12" s="3"/>
      <c r="S12" s="4">
        <f t="shared" si="0"/>
        <v>80</v>
      </c>
      <c r="T12" s="3"/>
      <c r="U12" s="44">
        <f t="shared" si="1"/>
        <v>80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80</v>
      </c>
      <c r="AO12" s="5" t="str">
        <f t="shared" si="8"/>
        <v/>
      </c>
      <c r="AP12" s="48">
        <f t="shared" si="9"/>
        <v>80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>
        <v>75</v>
      </c>
      <c r="L13" s="3"/>
      <c r="M13" s="3">
        <v>55</v>
      </c>
      <c r="N13" s="3">
        <v>57</v>
      </c>
      <c r="O13" s="3">
        <v>60</v>
      </c>
      <c r="P13" s="3"/>
      <c r="Q13" s="3"/>
      <c r="R13" s="3"/>
      <c r="S13" s="4">
        <f t="shared" si="0"/>
        <v>57.333333333333336</v>
      </c>
      <c r="T13" s="3"/>
      <c r="U13" s="44">
        <f t="shared" si="1"/>
        <v>57.333333333333336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57.333333333333336</v>
      </c>
      <c r="AO13" s="5" t="str">
        <f t="shared" si="8"/>
        <v/>
      </c>
      <c r="AP13" s="48">
        <f t="shared" si="9"/>
        <v>57.333333333333336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>
        <v>85</v>
      </c>
      <c r="L14" s="3"/>
      <c r="M14" s="3">
        <v>85</v>
      </c>
      <c r="N14" s="3">
        <v>86</v>
      </c>
      <c r="O14" s="3">
        <v>88</v>
      </c>
      <c r="P14" s="3"/>
      <c r="Q14" s="3"/>
      <c r="R14" s="3"/>
      <c r="S14" s="4">
        <f t="shared" si="0"/>
        <v>86.333333333333329</v>
      </c>
      <c r="T14" s="3"/>
      <c r="U14" s="44">
        <f t="shared" si="1"/>
        <v>86.333333333333329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86.333333333333329</v>
      </c>
      <c r="AO14" s="5" t="str">
        <f t="shared" si="8"/>
        <v/>
      </c>
      <c r="AP14" s="48">
        <f t="shared" si="9"/>
        <v>86.333333333333329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>
        <v>85</v>
      </c>
      <c r="L15" s="3"/>
      <c r="M15" s="3">
        <v>85</v>
      </c>
      <c r="N15" s="3">
        <v>87</v>
      </c>
      <c r="O15" s="3">
        <v>89</v>
      </c>
      <c r="P15" s="3"/>
      <c r="Q15" s="3"/>
      <c r="R15" s="3"/>
      <c r="S15" s="4">
        <f t="shared" si="0"/>
        <v>87</v>
      </c>
      <c r="T15" s="3"/>
      <c r="U15" s="44">
        <f t="shared" si="1"/>
        <v>87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87</v>
      </c>
      <c r="AO15" s="5" t="str">
        <f t="shared" si="8"/>
        <v/>
      </c>
      <c r="AP15" s="48">
        <f t="shared" si="9"/>
        <v>87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>
        <v>75</v>
      </c>
      <c r="L16" s="3"/>
      <c r="M16" s="3">
        <v>80</v>
      </c>
      <c r="N16" s="3">
        <v>80</v>
      </c>
      <c r="O16" s="3">
        <v>80</v>
      </c>
      <c r="P16" s="3"/>
      <c r="Q16" s="3"/>
      <c r="R16" s="3"/>
      <c r="S16" s="4">
        <f t="shared" si="0"/>
        <v>80</v>
      </c>
      <c r="T16" s="3"/>
      <c r="U16" s="44">
        <f t="shared" si="1"/>
        <v>80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80</v>
      </c>
      <c r="AO16" s="5" t="str">
        <f t="shared" si="8"/>
        <v/>
      </c>
      <c r="AP16" s="48">
        <f t="shared" si="9"/>
        <v>80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>
        <v>68</v>
      </c>
      <c r="L17" s="3"/>
      <c r="M17" s="3">
        <v>55</v>
      </c>
      <c r="N17" s="3">
        <v>65</v>
      </c>
      <c r="O17" s="3">
        <v>65</v>
      </c>
      <c r="P17" s="3"/>
      <c r="Q17" s="3"/>
      <c r="R17" s="3"/>
      <c r="S17" s="4">
        <f t="shared" si="0"/>
        <v>61.666666666666664</v>
      </c>
      <c r="T17" s="3"/>
      <c r="U17" s="44">
        <f t="shared" si="1"/>
        <v>61.666666666666664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61.666666666666664</v>
      </c>
      <c r="AO17" s="5" t="str">
        <f t="shared" si="8"/>
        <v/>
      </c>
      <c r="AP17" s="48">
        <f t="shared" si="9"/>
        <v>61.666666666666664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>
        <v>66</v>
      </c>
      <c r="L18" s="3"/>
      <c r="M18" s="3">
        <v>55</v>
      </c>
      <c r="N18" s="3">
        <v>61</v>
      </c>
      <c r="O18" s="3">
        <v>62</v>
      </c>
      <c r="P18" s="3"/>
      <c r="Q18" s="3"/>
      <c r="R18" s="3"/>
      <c r="S18" s="4">
        <f t="shared" si="0"/>
        <v>59.333333333333336</v>
      </c>
      <c r="T18" s="3"/>
      <c r="U18" s="44">
        <f t="shared" si="1"/>
        <v>59.333333333333336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59.333333333333336</v>
      </c>
      <c r="AO18" s="5" t="str">
        <f t="shared" si="8"/>
        <v/>
      </c>
      <c r="AP18" s="48">
        <f t="shared" si="9"/>
        <v>59.333333333333336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>
        <v>83</v>
      </c>
      <c r="L19" s="3"/>
      <c r="M19" s="3">
        <v>80</v>
      </c>
      <c r="N19" s="3">
        <v>80</v>
      </c>
      <c r="O19" s="3">
        <v>80</v>
      </c>
      <c r="P19" s="3"/>
      <c r="Q19" s="3"/>
      <c r="R19" s="3"/>
      <c r="S19" s="4">
        <f t="shared" si="0"/>
        <v>80</v>
      </c>
      <c r="T19" s="3"/>
      <c r="U19" s="44">
        <f t="shared" si="1"/>
        <v>80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80</v>
      </c>
      <c r="AO19" s="5" t="str">
        <f t="shared" si="8"/>
        <v/>
      </c>
      <c r="AP19" s="48">
        <f t="shared" si="9"/>
        <v>80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>
        <v>100</v>
      </c>
      <c r="L20" s="3"/>
      <c r="M20" s="3">
        <v>80</v>
      </c>
      <c r="N20" s="3">
        <v>80</v>
      </c>
      <c r="O20" s="3">
        <v>80</v>
      </c>
      <c r="P20" s="3"/>
      <c r="Q20" s="3"/>
      <c r="R20" s="3"/>
      <c r="S20" s="4">
        <f t="shared" si="0"/>
        <v>80</v>
      </c>
      <c r="T20" s="3"/>
      <c r="U20" s="44">
        <f t="shared" si="1"/>
        <v>80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80</v>
      </c>
      <c r="AO20" s="5" t="str">
        <f t="shared" si="8"/>
        <v/>
      </c>
      <c r="AP20" s="48">
        <f t="shared" si="9"/>
        <v>80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>
        <v>99</v>
      </c>
      <c r="L21" s="3"/>
      <c r="M21" s="3">
        <v>80</v>
      </c>
      <c r="N21" s="3">
        <v>85</v>
      </c>
      <c r="O21" s="3">
        <v>85</v>
      </c>
      <c r="P21" s="3"/>
      <c r="Q21" s="3"/>
      <c r="R21" s="3"/>
      <c r="S21" s="4">
        <f t="shared" si="0"/>
        <v>83.333333333333329</v>
      </c>
      <c r="T21" s="3"/>
      <c r="U21" s="44">
        <f t="shared" si="1"/>
        <v>83.333333333333329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83.333333333333329</v>
      </c>
      <c r="AO21" s="5" t="str">
        <f t="shared" si="8"/>
        <v/>
      </c>
      <c r="AP21" s="48">
        <f t="shared" si="9"/>
        <v>83.333333333333329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>
        <v>65</v>
      </c>
      <c r="L22" s="3"/>
      <c r="M22" s="3">
        <v>60</v>
      </c>
      <c r="N22" s="3">
        <v>70</v>
      </c>
      <c r="O22" s="3">
        <v>70</v>
      </c>
      <c r="P22" s="3"/>
      <c r="Q22" s="3"/>
      <c r="R22" s="3"/>
      <c r="S22" s="4">
        <f t="shared" si="0"/>
        <v>66.666666666666671</v>
      </c>
      <c r="T22" s="3"/>
      <c r="U22" s="44">
        <f t="shared" si="1"/>
        <v>66.666666666666671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66.666666666666671</v>
      </c>
      <c r="AO22" s="5" t="str">
        <f t="shared" si="8"/>
        <v/>
      </c>
      <c r="AP22" s="48">
        <f t="shared" si="9"/>
        <v>66.666666666666671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>
        <v>62</v>
      </c>
      <c r="L23" s="3"/>
      <c r="M23" s="3">
        <v>57</v>
      </c>
      <c r="N23" s="3">
        <v>70</v>
      </c>
      <c r="O23" s="3">
        <v>70</v>
      </c>
      <c r="P23" s="3"/>
      <c r="Q23" s="3"/>
      <c r="R23" s="3"/>
      <c r="S23" s="4">
        <f t="shared" si="0"/>
        <v>65.666666666666671</v>
      </c>
      <c r="T23" s="3"/>
      <c r="U23" s="44">
        <f t="shared" si="1"/>
        <v>65.666666666666671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65.666666666666671</v>
      </c>
      <c r="AO23" s="5" t="str">
        <f t="shared" si="8"/>
        <v/>
      </c>
      <c r="AP23" s="48">
        <f t="shared" si="9"/>
        <v>65.666666666666671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>
        <v>85</v>
      </c>
      <c r="L24" s="3"/>
      <c r="M24" s="3">
        <v>65</v>
      </c>
      <c r="N24" s="3">
        <v>70</v>
      </c>
      <c r="O24" s="3">
        <v>70</v>
      </c>
      <c r="P24" s="3"/>
      <c r="Q24" s="3"/>
      <c r="R24" s="3"/>
      <c r="S24" s="4">
        <f t="shared" si="0"/>
        <v>68.333333333333329</v>
      </c>
      <c r="T24" s="3"/>
      <c r="U24" s="44">
        <f t="shared" si="1"/>
        <v>68.333333333333329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68.333333333333329</v>
      </c>
      <c r="AO24" s="5" t="str">
        <f t="shared" si="8"/>
        <v/>
      </c>
      <c r="AP24" s="48">
        <f t="shared" si="9"/>
        <v>68.333333333333329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>
        <v>87</v>
      </c>
      <c r="L25" s="3"/>
      <c r="M25" s="3">
        <v>73</v>
      </c>
      <c r="N25" s="3">
        <v>80</v>
      </c>
      <c r="O25" s="3">
        <v>80</v>
      </c>
      <c r="P25" s="3"/>
      <c r="Q25" s="3"/>
      <c r="R25" s="3"/>
      <c r="S25" s="4">
        <f t="shared" si="0"/>
        <v>77.666666666666671</v>
      </c>
      <c r="T25" s="3"/>
      <c r="U25" s="44">
        <f t="shared" si="1"/>
        <v>77.666666666666671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77.666666666666671</v>
      </c>
      <c r="AO25" s="5" t="str">
        <f t="shared" si="8"/>
        <v/>
      </c>
      <c r="AP25" s="48">
        <f t="shared" si="9"/>
        <v>77.666666666666671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>
        <f t="shared" ref="K56:AQ56" si="10">IFERROR(AVERAGE(K6:K55),"")</f>
        <v>81.400000000000006</v>
      </c>
      <c r="L56" s="31" t="str">
        <f t="shared" si="10"/>
        <v/>
      </c>
      <c r="M56" s="31">
        <f t="shared" si="10"/>
        <v>68.650000000000006</v>
      </c>
      <c r="N56" s="31">
        <f t="shared" si="10"/>
        <v>72.900000000000006</v>
      </c>
      <c r="O56" s="31">
        <f t="shared" si="10"/>
        <v>74.55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72.033333333333331</v>
      </c>
      <c r="T56" s="31" t="str">
        <f t="shared" si="10"/>
        <v/>
      </c>
      <c r="U56" s="31">
        <f t="shared" si="10"/>
        <v>72.033333333333331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72.033333333333331</v>
      </c>
      <c r="AO56" s="31" t="str">
        <f t="shared" si="10"/>
        <v/>
      </c>
      <c r="AP56" s="31">
        <f t="shared" si="10"/>
        <v>72.033333333333331</v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13</v>
      </c>
      <c r="L58" s="57">
        <f t="shared" si="11"/>
        <v>0</v>
      </c>
      <c r="M58" s="57">
        <f t="shared" si="11"/>
        <v>2</v>
      </c>
      <c r="N58" s="57">
        <f t="shared" si="11"/>
        <v>3</v>
      </c>
      <c r="O58" s="57">
        <f t="shared" si="11"/>
        <v>4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3</v>
      </c>
      <c r="T58" s="57">
        <f t="shared" si="11"/>
        <v>0</v>
      </c>
      <c r="U58" s="34">
        <f t="shared" si="11"/>
        <v>3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3</v>
      </c>
      <c r="AO58" s="37">
        <f t="shared" si="11"/>
        <v>0</v>
      </c>
      <c r="AP58" s="37">
        <f t="shared" si="11"/>
        <v>3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7</v>
      </c>
      <c r="L59" s="6">
        <f t="shared" si="12"/>
        <v>0</v>
      </c>
      <c r="M59" s="6">
        <f t="shared" si="12"/>
        <v>9</v>
      </c>
      <c r="N59" s="6">
        <f t="shared" si="12"/>
        <v>14</v>
      </c>
      <c r="O59" s="6">
        <f t="shared" si="12"/>
        <v>14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14</v>
      </c>
      <c r="T59" s="6">
        <f t="shared" si="12"/>
        <v>0</v>
      </c>
      <c r="U59" s="8">
        <f t="shared" si="12"/>
        <v>14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14</v>
      </c>
      <c r="AO59" s="7">
        <f t="shared" si="12"/>
        <v>0</v>
      </c>
      <c r="AP59" s="7">
        <f t="shared" si="12"/>
        <v>14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9</v>
      </c>
      <c r="N60" s="6">
        <f t="shared" si="13"/>
        <v>3</v>
      </c>
      <c r="O60" s="6">
        <f t="shared" si="13"/>
        <v>2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3</v>
      </c>
      <c r="T60" s="6">
        <f t="shared" si="13"/>
        <v>0</v>
      </c>
      <c r="U60" s="8">
        <f t="shared" si="13"/>
        <v>3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3</v>
      </c>
      <c r="AO60" s="7">
        <f t="shared" si="13"/>
        <v>0</v>
      </c>
      <c r="AP60" s="7">
        <f t="shared" si="13"/>
        <v>3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>
        <f>IFERROR(K58*100/K62,"")</f>
        <v>65</v>
      </c>
      <c r="L63" s="64" t="str">
        <f t="shared" ref="L63:AQ63" si="17">IFERROR(L58*100/L62,"")</f>
        <v/>
      </c>
      <c r="M63" s="64">
        <f t="shared" si="17"/>
        <v>10</v>
      </c>
      <c r="N63" s="64">
        <f t="shared" si="17"/>
        <v>15</v>
      </c>
      <c r="O63" s="64">
        <f t="shared" si="17"/>
        <v>20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15</v>
      </c>
      <c r="T63" s="64" t="str">
        <f t="shared" si="17"/>
        <v/>
      </c>
      <c r="U63" s="44">
        <f t="shared" si="17"/>
        <v>15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15</v>
      </c>
      <c r="AO63" s="48" t="str">
        <f t="shared" si="17"/>
        <v/>
      </c>
      <c r="AP63" s="48">
        <f t="shared" si="17"/>
        <v>15</v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>
        <f>IFERROR(K59*100/K62,"")</f>
        <v>35</v>
      </c>
      <c r="L64" s="66" t="str">
        <f t="shared" ref="L64:AQ64" si="18">IFERROR(L59*100/L62,"")</f>
        <v/>
      </c>
      <c r="M64" s="66">
        <f t="shared" si="18"/>
        <v>45</v>
      </c>
      <c r="N64" s="66">
        <f t="shared" si="18"/>
        <v>70</v>
      </c>
      <c r="O64" s="66">
        <f t="shared" si="18"/>
        <v>70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70</v>
      </c>
      <c r="T64" s="66" t="str">
        <f t="shared" si="18"/>
        <v/>
      </c>
      <c r="U64" s="4">
        <f t="shared" si="18"/>
        <v>70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70</v>
      </c>
      <c r="AO64" s="5" t="str">
        <f t="shared" si="18"/>
        <v/>
      </c>
      <c r="AP64" s="5">
        <f t="shared" si="18"/>
        <v>70</v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>
        <f>IFERROR(K60*100/K62,"")</f>
        <v>0</v>
      </c>
      <c r="L65" s="66" t="str">
        <f t="shared" ref="L65:AQ65" si="19">IFERROR(L60*100/L62,"")</f>
        <v/>
      </c>
      <c r="M65" s="66">
        <f t="shared" si="19"/>
        <v>45</v>
      </c>
      <c r="N65" s="66">
        <f t="shared" si="19"/>
        <v>15</v>
      </c>
      <c r="O65" s="66">
        <f t="shared" si="19"/>
        <v>10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15</v>
      </c>
      <c r="T65" s="66" t="str">
        <f t="shared" si="19"/>
        <v/>
      </c>
      <c r="U65" s="4">
        <f t="shared" si="19"/>
        <v>15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15</v>
      </c>
      <c r="AO65" s="5" t="str">
        <f t="shared" si="19"/>
        <v/>
      </c>
      <c r="AP65" s="5">
        <f t="shared" si="19"/>
        <v>15</v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>
        <f>IFERROR(K61*100/K62,"")</f>
        <v>0</v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Fiziki tərbiyə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 t="str">
        <f>AB2</f>
        <v>Xəlilova Bahar Xəlil, İsgəndərova İrina Qasım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68.680000000000007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99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Fiziki tərbiyə</v>
      </c>
      <c r="E157" s="202" t="str">
        <f>AB2</f>
        <v>Xəlilova Bahar Xəlil, İsgəndərova İrina Qasım</v>
      </c>
      <c r="F157" s="202">
        <f>AP2</f>
        <v>68.680000000000007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81.400000000000006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72.033333333333331</v>
      </c>
      <c r="S157" s="2" t="str">
        <f>T56</f>
        <v/>
      </c>
      <c r="T157" s="2">
        <f>U56</f>
        <v>72.033333333333331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72.033333333333331</v>
      </c>
      <c r="AD157" s="2" t="str">
        <f t="shared" si="21"/>
        <v/>
      </c>
      <c r="AE157" s="2">
        <f t="shared" si="21"/>
        <v>72.033333333333331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>
        <f>(SUMIFS(K6:K55,F6:F55,"k"))/(COUNTIF(F6:F55,"k"))</f>
        <v>79.538461538461533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69.358974358974351</v>
      </c>
      <c r="S158" s="2">
        <f>(SUMIFS(T6:T55,F6:F55,"k"))/(COUNTIF(F6:F55,"k"))</f>
        <v>0</v>
      </c>
      <c r="T158" s="2">
        <f>(SUMIFS(U6:U55,F6:F55,"k"))/(COUNTIF(F6:F55,"k"))</f>
        <v>69.358974358974351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69.358974358974351</v>
      </c>
      <c r="AD158" s="2">
        <f t="shared" si="22"/>
        <v>0</v>
      </c>
      <c r="AE158" s="2">
        <f t="shared" si="22"/>
        <v>69.358974358974351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84.857142857142861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77</v>
      </c>
      <c r="S159" s="2">
        <f>(SUMIFS(T6:T55,F6:F55,"q"))/(COUNTIF(F6:F55,"q"))</f>
        <v>0</v>
      </c>
      <c r="T159" s="2">
        <f>(SUMIFS(U6:U55,F6:F55,"q"))/(COUNTIF(F6:F55,"q"))</f>
        <v>77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77</v>
      </c>
      <c r="AD159" s="2">
        <f t="shared" ref="AD159:AE159" si="23">(SUMIFS(AO6:AO55,$F$6:$F$55,"q"))/(COUNTIF($F$6:$F$55,"q"))</f>
        <v>0</v>
      </c>
      <c r="AE159" s="2">
        <f t="shared" si="23"/>
        <v>77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>
        <f>K63</f>
        <v>65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15</v>
      </c>
      <c r="S160" s="2" t="str">
        <f>T63</f>
        <v/>
      </c>
      <c r="T160" s="2">
        <f>U63</f>
        <v>15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15</v>
      </c>
      <c r="AD160" s="2" t="str">
        <f t="shared" si="24"/>
        <v/>
      </c>
      <c r="AE160" s="2">
        <f t="shared" si="24"/>
        <v>15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>
        <f t="shared" ref="N161:O163" si="25">K64</f>
        <v>35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70</v>
      </c>
      <c r="S161" s="2" t="str">
        <f t="shared" si="27"/>
        <v/>
      </c>
      <c r="T161" s="2">
        <f t="shared" si="27"/>
        <v>70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70</v>
      </c>
      <c r="AD161" s="2" t="str">
        <f t="shared" si="24"/>
        <v/>
      </c>
      <c r="AE161" s="2">
        <f t="shared" si="24"/>
        <v>70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>
        <f t="shared" si="25"/>
        <v>0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15</v>
      </c>
      <c r="S162" s="2" t="str">
        <f t="shared" si="27"/>
        <v/>
      </c>
      <c r="T162" s="2">
        <f t="shared" si="27"/>
        <v>15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15</v>
      </c>
      <c r="AD162" s="2" t="str">
        <f t="shared" si="24"/>
        <v/>
      </c>
      <c r="AE162" s="2">
        <f t="shared" si="24"/>
        <v>15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6" zoomScale="93" zoomScaleNormal="93" workbookViewId="0">
      <selection activeCell="K24" sqref="K24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Müəllimlər!C20</f>
        <v>Musiqi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 t="str">
        <f>Müəllimlər!D20</f>
        <v>Həşimova Fəridə Həşim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Müəllimlər!E20</f>
        <v>34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95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96" t="s">
        <v>38</v>
      </c>
      <c r="H5" s="196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>
        <v>46</v>
      </c>
      <c r="L6" s="43"/>
      <c r="M6" s="43">
        <v>59</v>
      </c>
      <c r="N6" s="43">
        <v>35</v>
      </c>
      <c r="O6" s="43">
        <v>35</v>
      </c>
      <c r="P6" s="43"/>
      <c r="Q6" s="43"/>
      <c r="R6" s="43"/>
      <c r="S6" s="44">
        <f>IFERROR(AVERAGE(M6:R6),"")</f>
        <v>43</v>
      </c>
      <c r="T6" s="43"/>
      <c r="U6" s="44">
        <f>IF(T6="",S6,IF(S6="",T6,S6*40/100+T6*60/100))</f>
        <v>43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43</v>
      </c>
      <c r="AO6" s="48" t="str">
        <f>IFERROR(AVERAGE(T6,AG6),"")</f>
        <v/>
      </c>
      <c r="AP6" s="48">
        <f>IF(AO6="",AN6,IF(AN6="",AO6,AN6*40/100+AO6*60/100))</f>
        <v>43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>
        <v>52</v>
      </c>
      <c r="L7" s="3"/>
      <c r="M7" s="3">
        <v>53</v>
      </c>
      <c r="N7" s="3">
        <v>35</v>
      </c>
      <c r="O7" s="3">
        <v>52</v>
      </c>
      <c r="P7" s="3"/>
      <c r="Q7" s="3"/>
      <c r="R7" s="3"/>
      <c r="S7" s="4">
        <f t="shared" ref="S7:S55" si="0">IFERROR(AVERAGE(M7:R7),"")</f>
        <v>46.666666666666664</v>
      </c>
      <c r="T7" s="3"/>
      <c r="U7" s="44">
        <f t="shared" ref="U7:U55" si="1">IF(T7="",S7,IF(S7="",T7,S7*40/100+T7*60/100))</f>
        <v>46.666666666666664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46.666666666666664</v>
      </c>
      <c r="AO7" s="5" t="str">
        <f t="shared" si="8"/>
        <v/>
      </c>
      <c r="AP7" s="48">
        <f t="shared" ref="AP7:AP55" si="9">IF(AO7="",AN7,IF(AN7="",AO7,AN7*40/100+AO7*60/100))</f>
        <v>46.666666666666664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>
        <v>56</v>
      </c>
      <c r="L8" s="3"/>
      <c r="M8" s="3">
        <v>58</v>
      </c>
      <c r="N8" s="3">
        <v>40</v>
      </c>
      <c r="O8" s="3">
        <v>40</v>
      </c>
      <c r="P8" s="3"/>
      <c r="Q8" s="3"/>
      <c r="R8" s="3"/>
      <c r="S8" s="4">
        <f t="shared" si="0"/>
        <v>46</v>
      </c>
      <c r="T8" s="3"/>
      <c r="U8" s="44">
        <f t="shared" si="1"/>
        <v>46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46</v>
      </c>
      <c r="AO8" s="5" t="str">
        <f t="shared" si="8"/>
        <v/>
      </c>
      <c r="AP8" s="48">
        <f t="shared" si="9"/>
        <v>46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>
        <v>64</v>
      </c>
      <c r="L9" s="3"/>
      <c r="M9" s="3">
        <v>60</v>
      </c>
      <c r="N9" s="3">
        <v>50</v>
      </c>
      <c r="O9" s="3">
        <v>49</v>
      </c>
      <c r="P9" s="3"/>
      <c r="Q9" s="3"/>
      <c r="R9" s="3"/>
      <c r="S9" s="4">
        <f t="shared" si="0"/>
        <v>53</v>
      </c>
      <c r="T9" s="3"/>
      <c r="U9" s="44">
        <f t="shared" si="1"/>
        <v>53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53</v>
      </c>
      <c r="AO9" s="5" t="str">
        <f t="shared" si="8"/>
        <v/>
      </c>
      <c r="AP9" s="48">
        <f t="shared" si="9"/>
        <v>53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148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>
        <v>78</v>
      </c>
      <c r="L10" s="3"/>
      <c r="M10" s="3">
        <v>61</v>
      </c>
      <c r="N10" s="3">
        <v>62</v>
      </c>
      <c r="O10" s="3">
        <v>65</v>
      </c>
      <c r="P10" s="3"/>
      <c r="Q10" s="3"/>
      <c r="R10" s="3"/>
      <c r="S10" s="4">
        <f t="shared" si="0"/>
        <v>62.666666666666664</v>
      </c>
      <c r="T10" s="3"/>
      <c r="U10" s="44">
        <f t="shared" si="1"/>
        <v>62.666666666666664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62.666666666666664</v>
      </c>
      <c r="AO10" s="5" t="str">
        <f t="shared" si="8"/>
        <v/>
      </c>
      <c r="AP10" s="48">
        <f t="shared" si="9"/>
        <v>62.666666666666664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>
        <v>100</v>
      </c>
      <c r="L11" s="3"/>
      <c r="M11" s="3">
        <v>89</v>
      </c>
      <c r="N11" s="3">
        <v>85</v>
      </c>
      <c r="O11" s="3">
        <v>95</v>
      </c>
      <c r="P11" s="3"/>
      <c r="Q11" s="3"/>
      <c r="R11" s="3"/>
      <c r="S11" s="4">
        <f t="shared" si="0"/>
        <v>89.666666666666671</v>
      </c>
      <c r="T11" s="3"/>
      <c r="U11" s="44">
        <f t="shared" si="1"/>
        <v>89.666666666666671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89.666666666666671</v>
      </c>
      <c r="AO11" s="5" t="str">
        <f t="shared" si="8"/>
        <v/>
      </c>
      <c r="AP11" s="48">
        <f t="shared" si="9"/>
        <v>89.666666666666671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>
        <v>57</v>
      </c>
      <c r="L12" s="3"/>
      <c r="M12" s="3">
        <v>52</v>
      </c>
      <c r="N12" s="3">
        <v>65</v>
      </c>
      <c r="O12" s="3">
        <v>70</v>
      </c>
      <c r="P12" s="3"/>
      <c r="Q12" s="3"/>
      <c r="R12" s="3"/>
      <c r="S12" s="4">
        <f t="shared" si="0"/>
        <v>62.333333333333336</v>
      </c>
      <c r="T12" s="3"/>
      <c r="U12" s="44">
        <f t="shared" si="1"/>
        <v>62.333333333333336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62.333333333333336</v>
      </c>
      <c r="AO12" s="5" t="str">
        <f t="shared" si="8"/>
        <v/>
      </c>
      <c r="AP12" s="48">
        <f t="shared" si="9"/>
        <v>62.333333333333336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>
        <v>35</v>
      </c>
      <c r="L13" s="3"/>
      <c r="M13" s="3">
        <v>51</v>
      </c>
      <c r="N13" s="3">
        <v>35</v>
      </c>
      <c r="O13" s="3">
        <v>33</v>
      </c>
      <c r="P13" s="3"/>
      <c r="Q13" s="3"/>
      <c r="R13" s="3"/>
      <c r="S13" s="4">
        <f t="shared" si="0"/>
        <v>39.666666666666664</v>
      </c>
      <c r="T13" s="3"/>
      <c r="U13" s="44">
        <f t="shared" si="1"/>
        <v>39.666666666666664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39.666666666666664</v>
      </c>
      <c r="AO13" s="5" t="str">
        <f t="shared" si="8"/>
        <v/>
      </c>
      <c r="AP13" s="48">
        <f t="shared" si="9"/>
        <v>39.666666666666664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>
        <v>63</v>
      </c>
      <c r="L14" s="3"/>
      <c r="M14" s="3">
        <v>84</v>
      </c>
      <c r="N14" s="3">
        <v>81</v>
      </c>
      <c r="O14" s="3">
        <v>75</v>
      </c>
      <c r="P14" s="3"/>
      <c r="Q14" s="3"/>
      <c r="R14" s="3"/>
      <c r="S14" s="4">
        <f t="shared" si="0"/>
        <v>80</v>
      </c>
      <c r="T14" s="3"/>
      <c r="U14" s="44">
        <f t="shared" si="1"/>
        <v>80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80</v>
      </c>
      <c r="AO14" s="5" t="str">
        <f t="shared" si="8"/>
        <v/>
      </c>
      <c r="AP14" s="48">
        <f t="shared" si="9"/>
        <v>80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>
        <v>56</v>
      </c>
      <c r="L15" s="3"/>
      <c r="M15" s="3">
        <v>81</v>
      </c>
      <c r="N15" s="3">
        <v>61</v>
      </c>
      <c r="O15" s="3">
        <v>76</v>
      </c>
      <c r="P15" s="3"/>
      <c r="Q15" s="3"/>
      <c r="R15" s="3"/>
      <c r="S15" s="4">
        <f t="shared" si="0"/>
        <v>72.666666666666671</v>
      </c>
      <c r="T15" s="3"/>
      <c r="U15" s="44">
        <f t="shared" si="1"/>
        <v>72.666666666666671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72.666666666666671</v>
      </c>
      <c r="AO15" s="5" t="str">
        <f t="shared" si="8"/>
        <v/>
      </c>
      <c r="AP15" s="48">
        <f t="shared" si="9"/>
        <v>72.666666666666671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>
        <v>51</v>
      </c>
      <c r="L16" s="3"/>
      <c r="M16" s="3">
        <v>79</v>
      </c>
      <c r="N16" s="3">
        <v>90</v>
      </c>
      <c r="O16" s="3">
        <v>75</v>
      </c>
      <c r="P16" s="3"/>
      <c r="Q16" s="3"/>
      <c r="R16" s="3"/>
      <c r="S16" s="4">
        <f t="shared" si="0"/>
        <v>81.333333333333329</v>
      </c>
      <c r="T16" s="3"/>
      <c r="U16" s="44">
        <f t="shared" si="1"/>
        <v>81.333333333333329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81.333333333333329</v>
      </c>
      <c r="AO16" s="5" t="str">
        <f t="shared" si="8"/>
        <v/>
      </c>
      <c r="AP16" s="48">
        <f t="shared" si="9"/>
        <v>81.333333333333329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>
        <v>38</v>
      </c>
      <c r="L17" s="3"/>
      <c r="M17" s="3">
        <v>52</v>
      </c>
      <c r="N17" s="3">
        <v>35</v>
      </c>
      <c r="O17" s="3">
        <v>36</v>
      </c>
      <c r="P17" s="3"/>
      <c r="Q17" s="3"/>
      <c r="R17" s="3"/>
      <c r="S17" s="4">
        <f t="shared" si="0"/>
        <v>41</v>
      </c>
      <c r="T17" s="3"/>
      <c r="U17" s="44">
        <f t="shared" si="1"/>
        <v>41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41</v>
      </c>
      <c r="AO17" s="5" t="str">
        <f t="shared" si="8"/>
        <v/>
      </c>
      <c r="AP17" s="48">
        <f t="shared" si="9"/>
        <v>41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>
        <v>67</v>
      </c>
      <c r="L18" s="3"/>
      <c r="M18" s="3">
        <v>50</v>
      </c>
      <c r="N18" s="3">
        <v>45</v>
      </c>
      <c r="O18" s="3">
        <v>53</v>
      </c>
      <c r="P18" s="3"/>
      <c r="Q18" s="3"/>
      <c r="R18" s="3"/>
      <c r="S18" s="4">
        <f t="shared" si="0"/>
        <v>49.333333333333336</v>
      </c>
      <c r="T18" s="3"/>
      <c r="U18" s="44">
        <f t="shared" si="1"/>
        <v>49.333333333333336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49.333333333333336</v>
      </c>
      <c r="AO18" s="5" t="str">
        <f t="shared" si="8"/>
        <v/>
      </c>
      <c r="AP18" s="48">
        <f t="shared" si="9"/>
        <v>49.333333333333336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>
        <v>71</v>
      </c>
      <c r="L19" s="3"/>
      <c r="M19" s="3">
        <v>58</v>
      </c>
      <c r="N19" s="3">
        <v>62</v>
      </c>
      <c r="O19" s="3">
        <v>67</v>
      </c>
      <c r="P19" s="3"/>
      <c r="Q19" s="3"/>
      <c r="R19" s="3"/>
      <c r="S19" s="4">
        <f t="shared" si="0"/>
        <v>62.333333333333336</v>
      </c>
      <c r="T19" s="3"/>
      <c r="U19" s="44">
        <f t="shared" si="1"/>
        <v>62.333333333333336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62.333333333333336</v>
      </c>
      <c r="AO19" s="5" t="str">
        <f t="shared" si="8"/>
        <v/>
      </c>
      <c r="AP19" s="48">
        <f t="shared" si="9"/>
        <v>62.333333333333336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>
        <v>100</v>
      </c>
      <c r="L20" s="3"/>
      <c r="M20" s="3">
        <v>95</v>
      </c>
      <c r="N20" s="3">
        <v>95</v>
      </c>
      <c r="O20" s="3">
        <v>94</v>
      </c>
      <c r="P20" s="3"/>
      <c r="Q20" s="3"/>
      <c r="R20" s="3"/>
      <c r="S20" s="4">
        <f t="shared" si="0"/>
        <v>94.666666666666671</v>
      </c>
      <c r="T20" s="3"/>
      <c r="U20" s="44">
        <f t="shared" si="1"/>
        <v>94.666666666666671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94.666666666666671</v>
      </c>
      <c r="AO20" s="5" t="str">
        <f t="shared" si="8"/>
        <v/>
      </c>
      <c r="AP20" s="48">
        <f t="shared" si="9"/>
        <v>94.666666666666671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>
        <v>88</v>
      </c>
      <c r="L21" s="3"/>
      <c r="M21" s="3">
        <v>53</v>
      </c>
      <c r="N21" s="3">
        <v>55</v>
      </c>
      <c r="O21" s="3">
        <v>86</v>
      </c>
      <c r="P21" s="3"/>
      <c r="Q21" s="3"/>
      <c r="R21" s="3"/>
      <c r="S21" s="4">
        <f t="shared" si="0"/>
        <v>64.666666666666671</v>
      </c>
      <c r="T21" s="3"/>
      <c r="U21" s="44">
        <f t="shared" si="1"/>
        <v>64.666666666666671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64.666666666666671</v>
      </c>
      <c r="AO21" s="5" t="str">
        <f t="shared" si="8"/>
        <v/>
      </c>
      <c r="AP21" s="48">
        <f t="shared" si="9"/>
        <v>64.666666666666671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>
        <v>38</v>
      </c>
      <c r="L22" s="3"/>
      <c r="M22" s="3">
        <v>50</v>
      </c>
      <c r="N22" s="3">
        <v>45</v>
      </c>
      <c r="O22" s="3">
        <v>34</v>
      </c>
      <c r="P22" s="3"/>
      <c r="Q22" s="3"/>
      <c r="R22" s="3"/>
      <c r="S22" s="4">
        <f t="shared" si="0"/>
        <v>43</v>
      </c>
      <c r="T22" s="3"/>
      <c r="U22" s="44">
        <f t="shared" si="1"/>
        <v>43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43</v>
      </c>
      <c r="AO22" s="5" t="str">
        <f t="shared" si="8"/>
        <v/>
      </c>
      <c r="AP22" s="48">
        <f t="shared" si="9"/>
        <v>43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>
        <v>33</v>
      </c>
      <c r="L23" s="3"/>
      <c r="M23" s="3">
        <v>51</v>
      </c>
      <c r="N23" s="3">
        <v>57</v>
      </c>
      <c r="O23" s="3">
        <v>34</v>
      </c>
      <c r="P23" s="3"/>
      <c r="Q23" s="3"/>
      <c r="R23" s="3"/>
      <c r="S23" s="4">
        <f t="shared" si="0"/>
        <v>47.333333333333336</v>
      </c>
      <c r="T23" s="3"/>
      <c r="U23" s="44">
        <f t="shared" si="1"/>
        <v>47.333333333333336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47.333333333333336</v>
      </c>
      <c r="AO23" s="5" t="str">
        <f t="shared" si="8"/>
        <v/>
      </c>
      <c r="AP23" s="48">
        <f t="shared" si="9"/>
        <v>47.333333333333336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>
        <v>75</v>
      </c>
      <c r="L24" s="3"/>
      <c r="M24" s="3">
        <v>68</v>
      </c>
      <c r="N24" s="3">
        <v>70</v>
      </c>
      <c r="O24" s="3">
        <v>37</v>
      </c>
      <c r="P24" s="3"/>
      <c r="Q24" s="3"/>
      <c r="R24" s="3"/>
      <c r="S24" s="4">
        <f t="shared" si="0"/>
        <v>58.333333333333336</v>
      </c>
      <c r="T24" s="3"/>
      <c r="U24" s="44">
        <f t="shared" si="1"/>
        <v>58.333333333333336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58.333333333333336</v>
      </c>
      <c r="AO24" s="5" t="str">
        <f t="shared" si="8"/>
        <v/>
      </c>
      <c r="AP24" s="48">
        <f t="shared" si="9"/>
        <v>58.333333333333336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>
        <v>90</v>
      </c>
      <c r="L25" s="3"/>
      <c r="M25" s="3">
        <v>90</v>
      </c>
      <c r="N25" s="3">
        <v>90</v>
      </c>
      <c r="O25" s="3">
        <v>85</v>
      </c>
      <c r="P25" s="3"/>
      <c r="Q25" s="3"/>
      <c r="R25" s="3"/>
      <c r="S25" s="4">
        <f t="shared" si="0"/>
        <v>88.333333333333329</v>
      </c>
      <c r="T25" s="3"/>
      <c r="U25" s="44">
        <f t="shared" si="1"/>
        <v>88.333333333333329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88.333333333333329</v>
      </c>
      <c r="AO25" s="5" t="str">
        <f t="shared" si="8"/>
        <v/>
      </c>
      <c r="AP25" s="48">
        <f t="shared" si="9"/>
        <v>88.333333333333329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>
        <f t="shared" ref="K56:AQ56" si="10">IFERROR(AVERAGE(K6:K55),"")</f>
        <v>62.9</v>
      </c>
      <c r="L56" s="31" t="str">
        <f t="shared" si="10"/>
        <v/>
      </c>
      <c r="M56" s="31">
        <f t="shared" si="10"/>
        <v>64.7</v>
      </c>
      <c r="N56" s="31">
        <f t="shared" si="10"/>
        <v>59.65</v>
      </c>
      <c r="O56" s="31">
        <f t="shared" si="10"/>
        <v>59.55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61.29999999999999</v>
      </c>
      <c r="T56" s="31" t="str">
        <f t="shared" si="10"/>
        <v/>
      </c>
      <c r="U56" s="31">
        <f t="shared" si="10"/>
        <v>61.29999999999999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61.29999999999999</v>
      </c>
      <c r="AO56" s="31" t="str">
        <f t="shared" si="10"/>
        <v/>
      </c>
      <c r="AP56" s="31">
        <f t="shared" si="10"/>
        <v>61.29999999999999</v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4</v>
      </c>
      <c r="L58" s="57">
        <f t="shared" si="11"/>
        <v>0</v>
      </c>
      <c r="M58" s="57">
        <f t="shared" si="11"/>
        <v>5</v>
      </c>
      <c r="N58" s="57">
        <f t="shared" si="11"/>
        <v>5</v>
      </c>
      <c r="O58" s="57">
        <f t="shared" si="11"/>
        <v>4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4</v>
      </c>
      <c r="T58" s="57">
        <f t="shared" si="11"/>
        <v>0</v>
      </c>
      <c r="U58" s="34">
        <f t="shared" si="11"/>
        <v>4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4</v>
      </c>
      <c r="AO58" s="37">
        <f t="shared" si="11"/>
        <v>0</v>
      </c>
      <c r="AP58" s="37">
        <f t="shared" si="11"/>
        <v>4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6</v>
      </c>
      <c r="L59" s="6">
        <f t="shared" si="12"/>
        <v>0</v>
      </c>
      <c r="M59" s="6">
        <f t="shared" si="12"/>
        <v>3</v>
      </c>
      <c r="N59" s="6">
        <f t="shared" si="12"/>
        <v>5</v>
      </c>
      <c r="O59" s="6">
        <f t="shared" si="12"/>
        <v>6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6</v>
      </c>
      <c r="T59" s="6">
        <f t="shared" si="12"/>
        <v>0</v>
      </c>
      <c r="U59" s="8">
        <f t="shared" si="12"/>
        <v>6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6</v>
      </c>
      <c r="AO59" s="7">
        <f t="shared" si="12"/>
        <v>0</v>
      </c>
      <c r="AP59" s="7">
        <f t="shared" si="12"/>
        <v>6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10</v>
      </c>
      <c r="L60" s="6">
        <f t="shared" si="13"/>
        <v>0</v>
      </c>
      <c r="M60" s="6">
        <f t="shared" si="13"/>
        <v>12</v>
      </c>
      <c r="N60" s="6">
        <f t="shared" si="13"/>
        <v>10</v>
      </c>
      <c r="O60" s="6">
        <f t="shared" si="13"/>
        <v>10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10</v>
      </c>
      <c r="T60" s="6">
        <f t="shared" si="13"/>
        <v>0</v>
      </c>
      <c r="U60" s="8">
        <f t="shared" si="13"/>
        <v>10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10</v>
      </c>
      <c r="AO60" s="7">
        <f t="shared" si="13"/>
        <v>0</v>
      </c>
      <c r="AP60" s="7">
        <f t="shared" si="13"/>
        <v>10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>
        <f>IFERROR(K58*100/K62,"")</f>
        <v>20</v>
      </c>
      <c r="L63" s="64" t="str">
        <f t="shared" ref="L63:AQ63" si="17">IFERROR(L58*100/L62,"")</f>
        <v/>
      </c>
      <c r="M63" s="64">
        <f t="shared" si="17"/>
        <v>25</v>
      </c>
      <c r="N63" s="64">
        <f t="shared" si="17"/>
        <v>25</v>
      </c>
      <c r="O63" s="64">
        <f t="shared" si="17"/>
        <v>20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20</v>
      </c>
      <c r="T63" s="64" t="str">
        <f t="shared" si="17"/>
        <v/>
      </c>
      <c r="U63" s="44">
        <f t="shared" si="17"/>
        <v>20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20</v>
      </c>
      <c r="AO63" s="48" t="str">
        <f t="shared" si="17"/>
        <v/>
      </c>
      <c r="AP63" s="48">
        <f t="shared" si="17"/>
        <v>20</v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>
        <f>IFERROR(K59*100/K62,"")</f>
        <v>30</v>
      </c>
      <c r="L64" s="66" t="str">
        <f t="shared" ref="L64:AQ64" si="18">IFERROR(L59*100/L62,"")</f>
        <v/>
      </c>
      <c r="M64" s="66">
        <f t="shared" si="18"/>
        <v>15</v>
      </c>
      <c r="N64" s="66">
        <f t="shared" si="18"/>
        <v>25</v>
      </c>
      <c r="O64" s="66">
        <f t="shared" si="18"/>
        <v>30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30</v>
      </c>
      <c r="T64" s="66" t="str">
        <f t="shared" si="18"/>
        <v/>
      </c>
      <c r="U64" s="4">
        <f t="shared" si="18"/>
        <v>30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30</v>
      </c>
      <c r="AO64" s="5" t="str">
        <f t="shared" si="18"/>
        <v/>
      </c>
      <c r="AP64" s="5">
        <f t="shared" si="18"/>
        <v>30</v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>
        <f>IFERROR(K60*100/K62,"")</f>
        <v>50</v>
      </c>
      <c r="L65" s="66" t="str">
        <f t="shared" ref="L65:AQ65" si="19">IFERROR(L60*100/L62,"")</f>
        <v/>
      </c>
      <c r="M65" s="66">
        <f t="shared" si="19"/>
        <v>60</v>
      </c>
      <c r="N65" s="66">
        <f t="shared" si="19"/>
        <v>50</v>
      </c>
      <c r="O65" s="66">
        <f t="shared" si="19"/>
        <v>50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50</v>
      </c>
      <c r="T65" s="66" t="str">
        <f t="shared" si="19"/>
        <v/>
      </c>
      <c r="U65" s="4">
        <f t="shared" si="19"/>
        <v>50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50</v>
      </c>
      <c r="AO65" s="5" t="str">
        <f t="shared" si="19"/>
        <v/>
      </c>
      <c r="AP65" s="5">
        <f t="shared" si="19"/>
        <v>50</v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>
        <f>IFERROR(K61*100/K62,"")</f>
        <v>0</v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Musiqi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 t="str">
        <f>AB2</f>
        <v>Həşimova Fəridə Həşim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34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99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Musiqi</v>
      </c>
      <c r="E157" s="202" t="str">
        <f>AB2</f>
        <v>Həşimova Fəridə Həşim</v>
      </c>
      <c r="F157" s="202">
        <f>AP2</f>
        <v>34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62.9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61.29999999999999</v>
      </c>
      <c r="S157" s="2" t="str">
        <f>T56</f>
        <v/>
      </c>
      <c r="T157" s="2">
        <f>U56</f>
        <v>61.29999999999999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61.29999999999999</v>
      </c>
      <c r="AD157" s="2" t="str">
        <f t="shared" si="21"/>
        <v/>
      </c>
      <c r="AE157" s="2">
        <f t="shared" si="21"/>
        <v>61.29999999999999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>
        <f>(SUMIFS(K6:K55,F6:F55,"k"))/(COUNTIF(F6:F55,"k"))</f>
        <v>58.230769230769234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54.256410256410263</v>
      </c>
      <c r="S158" s="2">
        <f>(SUMIFS(T6:T55,F6:F55,"k"))/(COUNTIF(F6:F55,"k"))</f>
        <v>0</v>
      </c>
      <c r="T158" s="2">
        <f>(SUMIFS(U6:U55,F6:F55,"k"))/(COUNTIF(F6:F55,"k"))</f>
        <v>54.256410256410263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54.256410256410263</v>
      </c>
      <c r="AD158" s="2">
        <f t="shared" si="22"/>
        <v>0</v>
      </c>
      <c r="AE158" s="2">
        <f t="shared" si="22"/>
        <v>54.256410256410263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71.571428571428569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74.38095238095238</v>
      </c>
      <c r="S159" s="2">
        <f>(SUMIFS(T6:T55,F6:F55,"q"))/(COUNTIF(F6:F55,"q"))</f>
        <v>0</v>
      </c>
      <c r="T159" s="2">
        <f>(SUMIFS(U6:U55,F6:F55,"q"))/(COUNTIF(F6:F55,"q"))</f>
        <v>74.38095238095238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74.38095238095238</v>
      </c>
      <c r="AD159" s="2">
        <f t="shared" ref="AD159:AE159" si="23">(SUMIFS(AO6:AO55,$F$6:$F$55,"q"))/(COUNTIF($F$6:$F$55,"q"))</f>
        <v>0</v>
      </c>
      <c r="AE159" s="2">
        <f t="shared" si="23"/>
        <v>74.38095238095238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>
        <f>K63</f>
        <v>20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20</v>
      </c>
      <c r="S160" s="2" t="str">
        <f>T63</f>
        <v/>
      </c>
      <c r="T160" s="2">
        <f>U63</f>
        <v>20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20</v>
      </c>
      <c r="AD160" s="2" t="str">
        <f t="shared" si="24"/>
        <v/>
      </c>
      <c r="AE160" s="2">
        <f t="shared" si="24"/>
        <v>20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>
        <f t="shared" ref="N161:O163" si="25">K64</f>
        <v>30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30</v>
      </c>
      <c r="S161" s="2" t="str">
        <f t="shared" si="27"/>
        <v/>
      </c>
      <c r="T161" s="2">
        <f t="shared" si="27"/>
        <v>30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30</v>
      </c>
      <c r="AD161" s="2" t="str">
        <f t="shared" si="24"/>
        <v/>
      </c>
      <c r="AE161" s="2">
        <f t="shared" si="24"/>
        <v>30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>
        <f t="shared" si="25"/>
        <v>50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50</v>
      </c>
      <c r="S162" s="2" t="str">
        <f t="shared" si="27"/>
        <v/>
      </c>
      <c r="T162" s="2">
        <f t="shared" si="27"/>
        <v>50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50</v>
      </c>
      <c r="AD162" s="2" t="str">
        <f t="shared" si="24"/>
        <v/>
      </c>
      <c r="AE162" s="2">
        <f t="shared" si="24"/>
        <v>50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4" zoomScale="89" zoomScaleNormal="89" workbookViewId="0">
      <selection activeCell="K25" sqref="K25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Müəllimlər!C21</f>
        <v>Təsviri incəsənət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 t="str">
        <f>Müəllimlər!D21</f>
        <v>Quliyeva Təranə Xanlar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Müəllimlər!E21</f>
        <v>34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95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96" t="s">
        <v>38</v>
      </c>
      <c r="H5" s="196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>
        <v>62</v>
      </c>
      <c r="L6" s="43"/>
      <c r="M6" s="43">
        <v>52</v>
      </c>
      <c r="N6" s="43">
        <v>54</v>
      </c>
      <c r="O6" s="43">
        <v>55</v>
      </c>
      <c r="P6" s="43"/>
      <c r="Q6" s="43"/>
      <c r="R6" s="43"/>
      <c r="S6" s="44">
        <f>IFERROR(AVERAGE(M6:R6),"")</f>
        <v>53.666666666666664</v>
      </c>
      <c r="T6" s="43"/>
      <c r="U6" s="44">
        <f>IF(T6="",S6,IF(S6="",T6,S6*40/100+T6*60/100))</f>
        <v>53.666666666666664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53.666666666666664</v>
      </c>
      <c r="AO6" s="48" t="str">
        <f>IFERROR(AVERAGE(T6,AG6),"")</f>
        <v/>
      </c>
      <c r="AP6" s="48">
        <f>IF(AO6="",AN6,IF(AN6="",AO6,AN6*40/100+AO6*60/100))</f>
        <v>53.666666666666664</v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>
        <v>61</v>
      </c>
      <c r="L7" s="3"/>
      <c r="M7" s="3">
        <v>55</v>
      </c>
      <c r="N7" s="3">
        <v>51</v>
      </c>
      <c r="O7" s="3">
        <v>35</v>
      </c>
      <c r="P7" s="3"/>
      <c r="Q7" s="3"/>
      <c r="R7" s="3"/>
      <c r="S7" s="4">
        <f t="shared" ref="S7:S55" si="0">IFERROR(AVERAGE(M7:R7),"")</f>
        <v>47</v>
      </c>
      <c r="T7" s="3"/>
      <c r="U7" s="44">
        <f t="shared" ref="U7:U55" si="1">IF(T7="",S7,IF(S7="",T7,S7*40/100+T7*60/100))</f>
        <v>47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47</v>
      </c>
      <c r="AO7" s="5" t="str">
        <f t="shared" si="8"/>
        <v/>
      </c>
      <c r="AP7" s="48">
        <f t="shared" ref="AP7:AP55" si="9">IF(AO7="",AN7,IF(AN7="",AO7,AN7*40/100+AO7*60/100))</f>
        <v>47</v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>
        <v>63</v>
      </c>
      <c r="L8" s="3"/>
      <c r="M8" s="3">
        <v>72</v>
      </c>
      <c r="N8" s="3">
        <v>77</v>
      </c>
      <c r="O8" s="3">
        <v>56</v>
      </c>
      <c r="P8" s="3"/>
      <c r="Q8" s="3"/>
      <c r="R8" s="3"/>
      <c r="S8" s="4">
        <f t="shared" si="0"/>
        <v>68.333333333333329</v>
      </c>
      <c r="T8" s="3"/>
      <c r="U8" s="44">
        <f t="shared" si="1"/>
        <v>68.333333333333329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68.333333333333329</v>
      </c>
      <c r="AO8" s="5" t="str">
        <f t="shared" si="8"/>
        <v/>
      </c>
      <c r="AP8" s="48">
        <f t="shared" si="9"/>
        <v>68.333333333333329</v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>
        <v>66</v>
      </c>
      <c r="L9" s="3"/>
      <c r="M9" s="3">
        <v>77</v>
      </c>
      <c r="N9" s="3">
        <v>81</v>
      </c>
      <c r="O9" s="3">
        <v>65</v>
      </c>
      <c r="P9" s="3"/>
      <c r="Q9" s="3"/>
      <c r="R9" s="3"/>
      <c r="S9" s="4">
        <f t="shared" si="0"/>
        <v>74.333333333333329</v>
      </c>
      <c r="T9" s="3"/>
      <c r="U9" s="44">
        <f t="shared" si="1"/>
        <v>74.333333333333329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74.333333333333329</v>
      </c>
      <c r="AO9" s="5" t="str">
        <f t="shared" si="8"/>
        <v/>
      </c>
      <c r="AP9" s="48">
        <f t="shared" si="9"/>
        <v>74.333333333333329</v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">
        <v>148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>
        <v>62</v>
      </c>
      <c r="L10" s="3"/>
      <c r="M10" s="3">
        <v>55</v>
      </c>
      <c r="N10" s="3">
        <v>52</v>
      </c>
      <c r="O10" s="3">
        <v>53</v>
      </c>
      <c r="P10" s="3"/>
      <c r="Q10" s="3"/>
      <c r="R10" s="3"/>
      <c r="S10" s="4">
        <f t="shared" si="0"/>
        <v>53.333333333333336</v>
      </c>
      <c r="T10" s="3"/>
      <c r="U10" s="44">
        <f t="shared" si="1"/>
        <v>53.333333333333336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53.333333333333336</v>
      </c>
      <c r="AO10" s="5" t="str">
        <f t="shared" si="8"/>
        <v/>
      </c>
      <c r="AP10" s="48">
        <f t="shared" si="9"/>
        <v>53.333333333333336</v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>
        <v>95</v>
      </c>
      <c r="L11" s="3"/>
      <c r="M11" s="3">
        <v>85</v>
      </c>
      <c r="N11" s="3">
        <v>86</v>
      </c>
      <c r="O11" s="3">
        <v>95</v>
      </c>
      <c r="P11" s="3"/>
      <c r="Q11" s="3"/>
      <c r="R11" s="3"/>
      <c r="S11" s="4">
        <f t="shared" si="0"/>
        <v>88.666666666666671</v>
      </c>
      <c r="T11" s="3"/>
      <c r="U11" s="44">
        <f t="shared" si="1"/>
        <v>88.666666666666671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88.666666666666671</v>
      </c>
      <c r="AO11" s="5" t="str">
        <f t="shared" si="8"/>
        <v/>
      </c>
      <c r="AP11" s="48">
        <f t="shared" si="9"/>
        <v>88.666666666666671</v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>
        <v>59</v>
      </c>
      <c r="L12" s="3"/>
      <c r="M12" s="3">
        <v>53</v>
      </c>
      <c r="N12" s="3">
        <v>54</v>
      </c>
      <c r="O12" s="3">
        <v>57</v>
      </c>
      <c r="P12" s="3"/>
      <c r="Q12" s="3"/>
      <c r="R12" s="3"/>
      <c r="S12" s="4">
        <f t="shared" si="0"/>
        <v>54.666666666666664</v>
      </c>
      <c r="T12" s="3"/>
      <c r="U12" s="44">
        <f t="shared" si="1"/>
        <v>54.666666666666664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54.666666666666664</v>
      </c>
      <c r="AO12" s="5" t="str">
        <f t="shared" si="8"/>
        <v/>
      </c>
      <c r="AP12" s="48">
        <f t="shared" si="9"/>
        <v>54.666666666666664</v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>
        <v>45</v>
      </c>
      <c r="L13" s="3"/>
      <c r="M13" s="3">
        <v>52</v>
      </c>
      <c r="N13" s="3">
        <v>50</v>
      </c>
      <c r="O13" s="3">
        <v>35</v>
      </c>
      <c r="P13" s="3"/>
      <c r="Q13" s="3"/>
      <c r="R13" s="3"/>
      <c r="S13" s="4">
        <f t="shared" si="0"/>
        <v>45.666666666666664</v>
      </c>
      <c r="T13" s="3"/>
      <c r="U13" s="44">
        <f t="shared" si="1"/>
        <v>45.666666666666664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45.666666666666664</v>
      </c>
      <c r="AO13" s="5" t="str">
        <f t="shared" si="8"/>
        <v/>
      </c>
      <c r="AP13" s="48">
        <f t="shared" si="9"/>
        <v>45.666666666666664</v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>
        <v>75</v>
      </c>
      <c r="L14" s="3"/>
      <c r="M14" s="3">
        <v>74</v>
      </c>
      <c r="N14" s="3">
        <v>78</v>
      </c>
      <c r="O14" s="3">
        <v>85</v>
      </c>
      <c r="P14" s="3"/>
      <c r="Q14" s="3"/>
      <c r="R14" s="3"/>
      <c r="S14" s="4">
        <f t="shared" si="0"/>
        <v>79</v>
      </c>
      <c r="T14" s="3"/>
      <c r="U14" s="44">
        <f t="shared" si="1"/>
        <v>79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79</v>
      </c>
      <c r="AO14" s="5" t="str">
        <f t="shared" si="8"/>
        <v/>
      </c>
      <c r="AP14" s="48">
        <f t="shared" si="9"/>
        <v>79</v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>
        <v>69</v>
      </c>
      <c r="L15" s="3"/>
      <c r="M15" s="3">
        <v>81</v>
      </c>
      <c r="N15" s="3">
        <v>77</v>
      </c>
      <c r="O15" s="3">
        <v>75</v>
      </c>
      <c r="P15" s="3"/>
      <c r="Q15" s="3"/>
      <c r="R15" s="3"/>
      <c r="S15" s="4">
        <f t="shared" si="0"/>
        <v>77.666666666666671</v>
      </c>
      <c r="T15" s="3"/>
      <c r="U15" s="44">
        <f t="shared" si="1"/>
        <v>77.666666666666671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77.666666666666671</v>
      </c>
      <c r="AO15" s="5" t="str">
        <f t="shared" si="8"/>
        <v/>
      </c>
      <c r="AP15" s="48">
        <f t="shared" si="9"/>
        <v>77.666666666666671</v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>
        <v>63</v>
      </c>
      <c r="L16" s="3"/>
      <c r="M16" s="3">
        <v>81</v>
      </c>
      <c r="N16" s="3">
        <v>77</v>
      </c>
      <c r="O16" s="3">
        <v>81</v>
      </c>
      <c r="P16" s="3"/>
      <c r="Q16" s="3"/>
      <c r="R16" s="3"/>
      <c r="S16" s="4">
        <f t="shared" si="0"/>
        <v>79.666666666666671</v>
      </c>
      <c r="T16" s="3"/>
      <c r="U16" s="44">
        <f t="shared" si="1"/>
        <v>79.666666666666671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79.666666666666671</v>
      </c>
      <c r="AO16" s="5" t="str">
        <f t="shared" si="8"/>
        <v/>
      </c>
      <c r="AP16" s="48">
        <f t="shared" si="9"/>
        <v>79.666666666666671</v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>
        <v>44</v>
      </c>
      <c r="L17" s="3"/>
      <c r="M17" s="3">
        <v>51</v>
      </c>
      <c r="N17" s="3">
        <v>52</v>
      </c>
      <c r="O17" s="3">
        <v>53</v>
      </c>
      <c r="P17" s="3"/>
      <c r="Q17" s="3"/>
      <c r="R17" s="3"/>
      <c r="S17" s="4">
        <f t="shared" si="0"/>
        <v>52</v>
      </c>
      <c r="T17" s="3"/>
      <c r="U17" s="44">
        <f t="shared" si="1"/>
        <v>52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52</v>
      </c>
      <c r="AO17" s="5" t="str">
        <f t="shared" si="8"/>
        <v/>
      </c>
      <c r="AP17" s="48">
        <f t="shared" si="9"/>
        <v>52</v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>
        <v>75</v>
      </c>
      <c r="L18" s="3"/>
      <c r="M18" s="3">
        <v>53</v>
      </c>
      <c r="N18" s="3">
        <v>54</v>
      </c>
      <c r="O18" s="3">
        <v>53</v>
      </c>
      <c r="P18" s="3"/>
      <c r="Q18" s="3"/>
      <c r="R18" s="3"/>
      <c r="S18" s="4">
        <f t="shared" si="0"/>
        <v>53.333333333333336</v>
      </c>
      <c r="T18" s="3"/>
      <c r="U18" s="44">
        <f t="shared" si="1"/>
        <v>53.333333333333336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53.333333333333336</v>
      </c>
      <c r="AO18" s="5" t="str">
        <f t="shared" si="8"/>
        <v/>
      </c>
      <c r="AP18" s="48">
        <f t="shared" si="9"/>
        <v>53.333333333333336</v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>
        <v>71</v>
      </c>
      <c r="L19" s="3"/>
      <c r="M19" s="3">
        <v>55</v>
      </c>
      <c r="N19" s="3">
        <v>56</v>
      </c>
      <c r="O19" s="3">
        <v>48</v>
      </c>
      <c r="P19" s="3"/>
      <c r="Q19" s="3"/>
      <c r="R19" s="3"/>
      <c r="S19" s="4">
        <f t="shared" si="0"/>
        <v>53</v>
      </c>
      <c r="T19" s="3"/>
      <c r="U19" s="44">
        <f t="shared" si="1"/>
        <v>53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53</v>
      </c>
      <c r="AO19" s="5" t="str">
        <f t="shared" si="8"/>
        <v/>
      </c>
      <c r="AP19" s="48">
        <f t="shared" si="9"/>
        <v>53</v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>
        <v>96</v>
      </c>
      <c r="L20" s="3"/>
      <c r="M20" s="3">
        <v>92</v>
      </c>
      <c r="N20" s="3">
        <v>83</v>
      </c>
      <c r="O20" s="3">
        <v>95</v>
      </c>
      <c r="P20" s="3"/>
      <c r="Q20" s="3"/>
      <c r="R20" s="3"/>
      <c r="S20" s="4">
        <f t="shared" si="0"/>
        <v>90</v>
      </c>
      <c r="T20" s="3"/>
      <c r="U20" s="44">
        <f t="shared" si="1"/>
        <v>90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90</v>
      </c>
      <c r="AO20" s="5" t="str">
        <f t="shared" si="8"/>
        <v/>
      </c>
      <c r="AP20" s="48">
        <f t="shared" si="9"/>
        <v>90</v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>
        <v>90</v>
      </c>
      <c r="L21" s="3"/>
      <c r="M21" s="3">
        <v>81</v>
      </c>
      <c r="N21" s="3">
        <v>79</v>
      </c>
      <c r="O21" s="3">
        <v>77</v>
      </c>
      <c r="P21" s="3"/>
      <c r="Q21" s="3"/>
      <c r="R21" s="3"/>
      <c r="S21" s="4">
        <f t="shared" si="0"/>
        <v>79</v>
      </c>
      <c r="T21" s="3"/>
      <c r="U21" s="44">
        <f t="shared" si="1"/>
        <v>79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79</v>
      </c>
      <c r="AO21" s="5" t="str">
        <f t="shared" si="8"/>
        <v/>
      </c>
      <c r="AP21" s="48">
        <f t="shared" si="9"/>
        <v>79</v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>
        <v>46</v>
      </c>
      <c r="L22" s="3"/>
      <c r="M22" s="3">
        <v>53</v>
      </c>
      <c r="N22" s="3">
        <v>52</v>
      </c>
      <c r="O22" s="3">
        <v>47</v>
      </c>
      <c r="P22" s="3"/>
      <c r="Q22" s="3"/>
      <c r="R22" s="3"/>
      <c r="S22" s="4">
        <f t="shared" si="0"/>
        <v>50.666666666666664</v>
      </c>
      <c r="T22" s="3"/>
      <c r="U22" s="44">
        <f t="shared" si="1"/>
        <v>50.666666666666664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50.666666666666664</v>
      </c>
      <c r="AO22" s="5" t="str">
        <f t="shared" si="8"/>
        <v/>
      </c>
      <c r="AP22" s="48">
        <f t="shared" si="9"/>
        <v>50.666666666666664</v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>
        <v>43</v>
      </c>
      <c r="L23" s="3"/>
      <c r="M23" s="3">
        <v>56</v>
      </c>
      <c r="N23" s="3">
        <v>55</v>
      </c>
      <c r="O23" s="3">
        <v>56</v>
      </c>
      <c r="P23" s="3"/>
      <c r="Q23" s="3"/>
      <c r="R23" s="3"/>
      <c r="S23" s="4">
        <f t="shared" si="0"/>
        <v>55.666666666666664</v>
      </c>
      <c r="T23" s="3"/>
      <c r="U23" s="44">
        <f t="shared" si="1"/>
        <v>55.666666666666664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55.666666666666664</v>
      </c>
      <c r="AO23" s="5" t="str">
        <f t="shared" si="8"/>
        <v/>
      </c>
      <c r="AP23" s="48">
        <f t="shared" si="9"/>
        <v>55.666666666666664</v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>
        <v>90</v>
      </c>
      <c r="L24" s="3"/>
      <c r="M24" s="3">
        <v>50</v>
      </c>
      <c r="N24" s="3">
        <v>55</v>
      </c>
      <c r="O24" s="3">
        <v>53</v>
      </c>
      <c r="P24" s="3"/>
      <c r="Q24" s="3"/>
      <c r="R24" s="3"/>
      <c r="S24" s="4">
        <f t="shared" si="0"/>
        <v>52.666666666666664</v>
      </c>
      <c r="T24" s="3"/>
      <c r="U24" s="44">
        <f t="shared" si="1"/>
        <v>52.666666666666664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52.666666666666664</v>
      </c>
      <c r="AO24" s="5" t="str">
        <f t="shared" si="8"/>
        <v/>
      </c>
      <c r="AP24" s="48">
        <f t="shared" si="9"/>
        <v>52.666666666666664</v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>
        <v>98</v>
      </c>
      <c r="L25" s="3"/>
      <c r="M25" s="3">
        <v>60</v>
      </c>
      <c r="N25" s="3">
        <v>45</v>
      </c>
      <c r="O25" s="3">
        <v>52</v>
      </c>
      <c r="P25" s="3"/>
      <c r="Q25" s="3"/>
      <c r="R25" s="3"/>
      <c r="S25" s="4">
        <f t="shared" si="0"/>
        <v>52.333333333333336</v>
      </c>
      <c r="T25" s="3"/>
      <c r="U25" s="44">
        <f t="shared" si="1"/>
        <v>52.333333333333336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52.333333333333336</v>
      </c>
      <c r="AO25" s="5" t="str">
        <f t="shared" si="8"/>
        <v/>
      </c>
      <c r="AP25" s="48">
        <f t="shared" si="9"/>
        <v>52.333333333333336</v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>
        <f t="shared" ref="K56:AQ56" si="10">IFERROR(AVERAGE(K6:K55),"")</f>
        <v>68.650000000000006</v>
      </c>
      <c r="L56" s="31" t="str">
        <f t="shared" si="10"/>
        <v/>
      </c>
      <c r="M56" s="31">
        <f t="shared" si="10"/>
        <v>64.400000000000006</v>
      </c>
      <c r="N56" s="31">
        <f t="shared" si="10"/>
        <v>63.4</v>
      </c>
      <c r="O56" s="31">
        <f t="shared" si="10"/>
        <v>61.3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63.033333333333346</v>
      </c>
      <c r="T56" s="31" t="str">
        <f t="shared" si="10"/>
        <v/>
      </c>
      <c r="U56" s="31">
        <f t="shared" si="10"/>
        <v>63.033333333333346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63.033333333333346</v>
      </c>
      <c r="AO56" s="31" t="str">
        <f t="shared" si="10"/>
        <v/>
      </c>
      <c r="AP56" s="31">
        <f t="shared" si="10"/>
        <v>63.033333333333346</v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5</v>
      </c>
      <c r="L58" s="57">
        <f t="shared" si="11"/>
        <v>0</v>
      </c>
      <c r="M58" s="57">
        <f t="shared" si="11"/>
        <v>5</v>
      </c>
      <c r="N58" s="57">
        <f t="shared" si="11"/>
        <v>3</v>
      </c>
      <c r="O58" s="57">
        <f t="shared" si="11"/>
        <v>4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2</v>
      </c>
      <c r="T58" s="57">
        <f t="shared" si="11"/>
        <v>0</v>
      </c>
      <c r="U58" s="34">
        <f t="shared" si="11"/>
        <v>2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10</v>
      </c>
      <c r="L59" s="6">
        <f t="shared" si="12"/>
        <v>0</v>
      </c>
      <c r="M59" s="6">
        <f t="shared" si="12"/>
        <v>3</v>
      </c>
      <c r="N59" s="6">
        <f t="shared" si="12"/>
        <v>5</v>
      </c>
      <c r="O59" s="6">
        <f t="shared" si="12"/>
        <v>3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6</v>
      </c>
      <c r="T59" s="6">
        <f t="shared" si="12"/>
        <v>0</v>
      </c>
      <c r="U59" s="8">
        <f t="shared" si="12"/>
        <v>6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6</v>
      </c>
      <c r="AO59" s="7">
        <f t="shared" si="12"/>
        <v>0</v>
      </c>
      <c r="AP59" s="7">
        <f t="shared" si="12"/>
        <v>6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5</v>
      </c>
      <c r="L60" s="6">
        <f t="shared" si="13"/>
        <v>0</v>
      </c>
      <c r="M60" s="6">
        <f t="shared" si="13"/>
        <v>12</v>
      </c>
      <c r="N60" s="6">
        <f t="shared" si="13"/>
        <v>12</v>
      </c>
      <c r="O60" s="6">
        <f t="shared" si="13"/>
        <v>13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12</v>
      </c>
      <c r="T60" s="6">
        <f t="shared" si="13"/>
        <v>0</v>
      </c>
      <c r="U60" s="8">
        <f t="shared" si="13"/>
        <v>12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12</v>
      </c>
      <c r="AO60" s="7">
        <f t="shared" si="13"/>
        <v>0</v>
      </c>
      <c r="AP60" s="7">
        <f t="shared" si="13"/>
        <v>12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20</v>
      </c>
      <c r="L62" s="38">
        <f t="shared" ref="L62:AQ62" si="15">SUM(L58:L61)</f>
        <v>0</v>
      </c>
      <c r="M62" s="38">
        <f t="shared" si="15"/>
        <v>20</v>
      </c>
      <c r="N62" s="38">
        <f t="shared" si="15"/>
        <v>20</v>
      </c>
      <c r="O62" s="38">
        <f t="shared" si="15"/>
        <v>20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20</v>
      </c>
      <c r="T62" s="38">
        <f t="shared" si="15"/>
        <v>0</v>
      </c>
      <c r="U62" s="38">
        <f t="shared" si="15"/>
        <v>20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20</v>
      </c>
      <c r="AO62" s="38">
        <f t="shared" si="15"/>
        <v>0</v>
      </c>
      <c r="AP62" s="38">
        <f t="shared" si="15"/>
        <v>20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>
        <f>IFERROR(K58*100/K62,"")</f>
        <v>25</v>
      </c>
      <c r="L63" s="64" t="str">
        <f t="shared" ref="L63:AQ63" si="17">IFERROR(L58*100/L62,"")</f>
        <v/>
      </c>
      <c r="M63" s="64">
        <f t="shared" si="17"/>
        <v>25</v>
      </c>
      <c r="N63" s="64">
        <f t="shared" si="17"/>
        <v>15</v>
      </c>
      <c r="O63" s="64">
        <f t="shared" si="17"/>
        <v>20</v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>
        <f t="shared" si="17"/>
        <v>10</v>
      </c>
      <c r="T63" s="64" t="str">
        <f t="shared" si="17"/>
        <v/>
      </c>
      <c r="U63" s="44">
        <f t="shared" si="17"/>
        <v>10</v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>
        <f t="shared" si="17"/>
        <v>10</v>
      </c>
      <c r="AO63" s="48" t="str">
        <f t="shared" si="17"/>
        <v/>
      </c>
      <c r="AP63" s="48">
        <f t="shared" si="17"/>
        <v>10</v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>
        <f>IFERROR(K59*100/K62,"")</f>
        <v>50</v>
      </c>
      <c r="L64" s="66" t="str">
        <f t="shared" ref="L64:AQ64" si="18">IFERROR(L59*100/L62,"")</f>
        <v/>
      </c>
      <c r="M64" s="66">
        <f t="shared" si="18"/>
        <v>15</v>
      </c>
      <c r="N64" s="66">
        <f t="shared" si="18"/>
        <v>25</v>
      </c>
      <c r="O64" s="66">
        <f t="shared" si="18"/>
        <v>15</v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>
        <f t="shared" si="18"/>
        <v>30</v>
      </c>
      <c r="T64" s="66" t="str">
        <f t="shared" si="18"/>
        <v/>
      </c>
      <c r="U64" s="4">
        <f t="shared" si="18"/>
        <v>30</v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>
        <f t="shared" si="18"/>
        <v>30</v>
      </c>
      <c r="AO64" s="5" t="str">
        <f t="shared" si="18"/>
        <v/>
      </c>
      <c r="AP64" s="5">
        <f t="shared" si="18"/>
        <v>30</v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>
        <f>IFERROR(K60*100/K62,"")</f>
        <v>25</v>
      </c>
      <c r="L65" s="66" t="str">
        <f t="shared" ref="L65:AQ65" si="19">IFERROR(L60*100/L62,"")</f>
        <v/>
      </c>
      <c r="M65" s="66">
        <f t="shared" si="19"/>
        <v>60</v>
      </c>
      <c r="N65" s="66">
        <f t="shared" si="19"/>
        <v>60</v>
      </c>
      <c r="O65" s="66">
        <f t="shared" si="19"/>
        <v>65</v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>
        <f t="shared" si="19"/>
        <v>60</v>
      </c>
      <c r="T65" s="66" t="str">
        <f t="shared" si="19"/>
        <v/>
      </c>
      <c r="U65" s="4">
        <f t="shared" si="19"/>
        <v>60</v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>
        <f t="shared" si="19"/>
        <v>60</v>
      </c>
      <c r="AO65" s="5" t="str">
        <f t="shared" si="19"/>
        <v/>
      </c>
      <c r="AP65" s="5">
        <f t="shared" si="19"/>
        <v>60</v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>
        <f>IFERROR(K61*100/K62,"")</f>
        <v>0</v>
      </c>
      <c r="L66" s="68" t="str">
        <f t="shared" ref="L66:AQ66" si="20">IFERROR(L61*100/L62,"")</f>
        <v/>
      </c>
      <c r="M66" s="68">
        <f t="shared" si="20"/>
        <v>0</v>
      </c>
      <c r="N66" s="68">
        <f t="shared" si="20"/>
        <v>0</v>
      </c>
      <c r="O66" s="68">
        <f t="shared" si="20"/>
        <v>0</v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>
        <f t="shared" si="20"/>
        <v>0</v>
      </c>
      <c r="T66" s="68" t="str">
        <f t="shared" si="20"/>
        <v/>
      </c>
      <c r="U66" s="69">
        <f t="shared" si="20"/>
        <v>0</v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>
        <f t="shared" si="20"/>
        <v>0</v>
      </c>
      <c r="AO66" s="73" t="str">
        <f t="shared" si="20"/>
        <v/>
      </c>
      <c r="AP66" s="73">
        <f t="shared" si="20"/>
        <v>0</v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Təsviri incəsənət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 t="str">
        <f>AB2</f>
        <v>Quliyeva Təranə Xanlar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34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99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Təsviri incəsənət</v>
      </c>
      <c r="E157" s="202" t="str">
        <f>AB2</f>
        <v>Quliyeva Təranə Xanlar</v>
      </c>
      <c r="F157" s="202">
        <f>AP2</f>
        <v>34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68.650000000000006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63.033333333333346</v>
      </c>
      <c r="S157" s="2" t="str">
        <f>T56</f>
        <v/>
      </c>
      <c r="T157" s="2">
        <f>U56</f>
        <v>63.033333333333346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>
        <f t="shared" si="21"/>
        <v>63.033333333333346</v>
      </c>
      <c r="AD157" s="2" t="str">
        <f t="shared" si="21"/>
        <v/>
      </c>
      <c r="AE157" s="2">
        <f t="shared" si="21"/>
        <v>63.033333333333346</v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>
        <f>(SUMIFS(K6:K55,F6:F55,"k"))/(COUNTIF(F6:F55,"k"))</f>
        <v>64.15384615384616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55.230769230769234</v>
      </c>
      <c r="S158" s="2">
        <f>(SUMIFS(T6:T55,F6:F55,"k"))/(COUNTIF(F6:F55,"k"))</f>
        <v>0</v>
      </c>
      <c r="T158" s="2">
        <f>(SUMIFS(U6:U55,F6:F55,"k"))/(COUNTIF(F6:F55,"k"))</f>
        <v>55.230769230769234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55.230769230769234</v>
      </c>
      <c r="AD158" s="2">
        <f t="shared" si="22"/>
        <v>0</v>
      </c>
      <c r="AE158" s="2">
        <f t="shared" si="22"/>
        <v>55.230769230769234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77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77.523809523809533</v>
      </c>
      <c r="S159" s="2">
        <f>(SUMIFS(T6:T55,F6:F55,"q"))/(COUNTIF(F6:F55,"q"))</f>
        <v>0</v>
      </c>
      <c r="T159" s="2">
        <f>(SUMIFS(U6:U55,F6:F55,"q"))/(COUNTIF(F6:F55,"q"))</f>
        <v>77.523809523809533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77.523809523809533</v>
      </c>
      <c r="AD159" s="2">
        <f t="shared" ref="AD159:AE159" si="23">(SUMIFS(AO6:AO55,$F$6:$F$55,"q"))/(COUNTIF($F$6:$F$55,"q"))</f>
        <v>0</v>
      </c>
      <c r="AE159" s="2">
        <f t="shared" si="23"/>
        <v>77.523809523809533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>
        <f>K63</f>
        <v>25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10</v>
      </c>
      <c r="S160" s="2" t="str">
        <f>T63</f>
        <v/>
      </c>
      <c r="T160" s="2">
        <f>U63</f>
        <v>10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>
        <f t="shared" si="24"/>
        <v>10</v>
      </c>
      <c r="AD160" s="2" t="str">
        <f t="shared" si="24"/>
        <v/>
      </c>
      <c r="AE160" s="2">
        <f t="shared" si="24"/>
        <v>10</v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>
        <f t="shared" ref="N161:O163" si="25">K64</f>
        <v>50</v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>
        <f t="shared" ref="R161:T163" si="27">S64</f>
        <v>30</v>
      </c>
      <c r="S161" s="2" t="str">
        <f t="shared" si="27"/>
        <v/>
      </c>
      <c r="T161" s="2">
        <f t="shared" si="27"/>
        <v>30</v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>
        <f t="shared" si="24"/>
        <v>30</v>
      </c>
      <c r="AD161" s="2" t="str">
        <f t="shared" si="24"/>
        <v/>
      </c>
      <c r="AE161" s="2">
        <f t="shared" si="24"/>
        <v>30</v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>
        <f t="shared" si="25"/>
        <v>25</v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>
        <f t="shared" si="27"/>
        <v>60</v>
      </c>
      <c r="S162" s="2" t="str">
        <f t="shared" si="27"/>
        <v/>
      </c>
      <c r="T162" s="2">
        <f t="shared" si="27"/>
        <v>60</v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>
        <f t="shared" si="24"/>
        <v>60</v>
      </c>
      <c r="AD162" s="2" t="str">
        <f t="shared" si="24"/>
        <v/>
      </c>
      <c r="AE162" s="2">
        <f t="shared" si="24"/>
        <v>60</v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>
        <f t="shared" si="25"/>
        <v>0</v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>
        <f>S66</f>
        <v>0</v>
      </c>
      <c r="S163" s="2" t="str">
        <f t="shared" si="27"/>
        <v/>
      </c>
      <c r="T163" s="2">
        <f t="shared" si="27"/>
        <v>0</v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>
        <f t="shared" si="24"/>
        <v>0</v>
      </c>
      <c r="AD163" s="2" t="str">
        <f t="shared" si="24"/>
        <v/>
      </c>
      <c r="AE163" s="2">
        <f t="shared" si="24"/>
        <v>0</v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Müəllimlər!C22</f>
        <v>Çağırışaqədərki hazırlıq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>
        <f>Müəllimlər!D22</f>
        <v>0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Müəllimlər!E22</f>
        <v>0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95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96" t="s">
        <v>38</v>
      </c>
      <c r="H5" s="196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tr">
        <f>IF(Şagirdlər!E9="","",Şagirdlər!E9)</f>
        <v>İlhan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Çağırışaqədərki hazırlıq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>
        <f>AB2</f>
        <v>0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0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99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Çağırışaqədərki hazırlıq</v>
      </c>
      <c r="E157" s="202">
        <f>AB2</f>
        <v>0</v>
      </c>
      <c r="F157" s="202">
        <f>AP2</f>
        <v>0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48" t="s">
        <v>18</v>
      </c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</row>
    <row r="2" spans="1:43" ht="28.15" customHeight="1" thickBot="1" x14ac:dyDescent="0.3">
      <c r="B2" s="200" t="s">
        <v>29</v>
      </c>
      <c r="C2" s="198">
        <f>Şagirdlər!D2</f>
        <v>8</v>
      </c>
      <c r="D2" s="200" t="s">
        <v>41</v>
      </c>
      <c r="E2" s="201" t="str">
        <f>Şagirdlər!F2</f>
        <v>e</v>
      </c>
      <c r="F2" s="246" t="s">
        <v>63</v>
      </c>
      <c r="G2" s="247"/>
      <c r="H2" s="310" t="str">
        <f>Şagirdlər!I2</f>
        <v>Azərbaycan</v>
      </c>
      <c r="I2" s="311"/>
      <c r="J2" s="312"/>
      <c r="K2" s="282" t="s">
        <v>30</v>
      </c>
      <c r="L2" s="283"/>
      <c r="M2" s="284"/>
      <c r="N2" s="299" t="str">
        <f>Müəllimlər!C23</f>
        <v>Əlavə</v>
      </c>
      <c r="O2" s="300"/>
      <c r="P2" s="300"/>
      <c r="Q2" s="300"/>
      <c r="R2" s="301"/>
      <c r="S2" s="282" t="s">
        <v>37</v>
      </c>
      <c r="T2" s="283"/>
      <c r="U2" s="283"/>
      <c r="V2" s="283"/>
      <c r="W2" s="283"/>
      <c r="X2" s="283"/>
      <c r="Y2" s="283"/>
      <c r="Z2" s="283"/>
      <c r="AA2" s="284"/>
      <c r="AB2" s="302">
        <f>Müəllimlər!D23</f>
        <v>0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2" t="s">
        <v>65</v>
      </c>
      <c r="AM2" s="283"/>
      <c r="AN2" s="283"/>
      <c r="AO2" s="284"/>
      <c r="AP2" s="285">
        <f>Müəllimlər!E23</f>
        <v>0</v>
      </c>
      <c r="AQ2" s="285"/>
    </row>
    <row r="3" spans="1:43" ht="18.600000000000001" customHeight="1" thickTop="1" x14ac:dyDescent="0.25">
      <c r="B3" s="332" t="s">
        <v>99</v>
      </c>
      <c r="C3" s="290" t="s">
        <v>1</v>
      </c>
      <c r="D3" s="290"/>
      <c r="E3" s="290"/>
      <c r="F3" s="294" t="s">
        <v>3</v>
      </c>
      <c r="G3" s="290" t="s">
        <v>34</v>
      </c>
      <c r="H3" s="290"/>
      <c r="I3" s="305"/>
      <c r="J3" s="307" t="s">
        <v>33</v>
      </c>
      <c r="K3" s="292" t="s">
        <v>27</v>
      </c>
      <c r="L3" s="323" t="s">
        <v>19</v>
      </c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4"/>
      <c r="Y3" s="325" t="s">
        <v>20</v>
      </c>
      <c r="Z3" s="323"/>
      <c r="AA3" s="323"/>
      <c r="AB3" s="323"/>
      <c r="AC3" s="323"/>
      <c r="AD3" s="323"/>
      <c r="AE3" s="323"/>
      <c r="AF3" s="323"/>
      <c r="AG3" s="323"/>
      <c r="AH3" s="323"/>
      <c r="AI3" s="323"/>
      <c r="AJ3" s="323"/>
      <c r="AK3" s="324"/>
      <c r="AL3" s="326" t="s">
        <v>17</v>
      </c>
      <c r="AM3" s="327"/>
      <c r="AN3" s="327"/>
      <c r="AO3" s="327"/>
      <c r="AP3" s="327"/>
      <c r="AQ3" s="328"/>
    </row>
    <row r="4" spans="1:43" ht="14.45" customHeight="1" x14ac:dyDescent="0.25">
      <c r="B4" s="333"/>
      <c r="C4" s="291"/>
      <c r="D4" s="291"/>
      <c r="E4" s="291"/>
      <c r="F4" s="295"/>
      <c r="G4" s="291"/>
      <c r="H4" s="291"/>
      <c r="I4" s="306"/>
      <c r="J4" s="308"/>
      <c r="K4" s="293"/>
      <c r="L4" s="195" t="s">
        <v>26</v>
      </c>
      <c r="M4" s="288" t="s">
        <v>12</v>
      </c>
      <c r="N4" s="288"/>
      <c r="O4" s="288"/>
      <c r="P4" s="288"/>
      <c r="Q4" s="288"/>
      <c r="R4" s="288"/>
      <c r="S4" s="288"/>
      <c r="T4" s="288"/>
      <c r="U4" s="288"/>
      <c r="V4" s="288" t="s">
        <v>11</v>
      </c>
      <c r="W4" s="288"/>
      <c r="X4" s="289"/>
      <c r="Y4" s="16" t="s">
        <v>26</v>
      </c>
      <c r="Z4" s="288" t="s">
        <v>12</v>
      </c>
      <c r="AA4" s="288"/>
      <c r="AB4" s="288"/>
      <c r="AC4" s="288"/>
      <c r="AD4" s="288"/>
      <c r="AE4" s="288"/>
      <c r="AF4" s="288"/>
      <c r="AG4" s="288"/>
      <c r="AH4" s="288"/>
      <c r="AI4" s="288" t="s">
        <v>11</v>
      </c>
      <c r="AJ4" s="288"/>
      <c r="AK4" s="289"/>
      <c r="AL4" s="329" t="s">
        <v>15</v>
      </c>
      <c r="AM4" s="330"/>
      <c r="AN4" s="330"/>
      <c r="AO4" s="330"/>
      <c r="AP4" s="330"/>
      <c r="AQ4" s="331"/>
    </row>
    <row r="5" spans="1:43" ht="108" customHeight="1" thickBot="1" x14ac:dyDescent="0.3">
      <c r="A5" s="62"/>
      <c r="B5" s="334"/>
      <c r="C5" s="162" t="s">
        <v>4</v>
      </c>
      <c r="D5" s="162" t="s">
        <v>5</v>
      </c>
      <c r="E5" s="162" t="s">
        <v>2</v>
      </c>
      <c r="F5" s="296"/>
      <c r="G5" s="196" t="s">
        <v>38</v>
      </c>
      <c r="H5" s="196" t="s">
        <v>39</v>
      </c>
      <c r="I5" s="164" t="s">
        <v>40</v>
      </c>
      <c r="J5" s="309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1356498</v>
      </c>
      <c r="C6" s="161" t="str">
        <f>IF(Şagirdlər!D5="","",Şagirdlər!D5)</f>
        <v>Atayev</v>
      </c>
      <c r="D6" s="161" t="str">
        <f>IF(Şagirdlər!E5="","",Şagirdlər!E5)</f>
        <v>Ayxan</v>
      </c>
      <c r="E6" s="161" t="str">
        <f>IF(Şagirdlər!F5="","",Şagirdlər!F5)</f>
        <v>Zöhrab</v>
      </c>
      <c r="F6" s="161" t="str">
        <f>IF(Şagirdlər!G5="","",Şagirdlər!G5)</f>
        <v>k</v>
      </c>
      <c r="G6" s="161">
        <f>IF(Şagirdlər!H5="","",Şagirdlər!H5)</f>
        <v>19</v>
      </c>
      <c r="H6" s="161">
        <f>IF(Şagirdlər!I5="","",Şagirdlər!I5)</f>
        <v>9</v>
      </c>
      <c r="I6" s="161">
        <f>IF(Şagirdlər!J5="","",Şagirdlər!J5)</f>
        <v>2007</v>
      </c>
      <c r="J6" s="121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1356404</v>
      </c>
      <c r="C7" s="161" t="str">
        <f>IF(Şagirdlər!D6="","",Şagirdlər!D6)</f>
        <v>Bayramlı</v>
      </c>
      <c r="D7" s="161" t="str">
        <f>IF(Şagirdlər!E6="","",Şagirdlər!E6)</f>
        <v>Məhəmməd</v>
      </c>
      <c r="E7" s="161" t="str">
        <f>IF(Şagirdlər!F6="","",Şagirdlər!F6)</f>
        <v>Rafiq</v>
      </c>
      <c r="F7" s="161" t="str">
        <f>IF(Şagirdlər!G6="","",Şagirdlər!G6)</f>
        <v>k</v>
      </c>
      <c r="G7" s="161">
        <f>IF(Şagirdlər!H6="","",Şagirdlər!H6)</f>
        <v>22</v>
      </c>
      <c r="H7" s="161">
        <f>IF(Şagirdlər!I6="","",Şagirdlər!I6)</f>
        <v>7</v>
      </c>
      <c r="I7" s="161">
        <f>IF(Şagirdlər!J6="","",Şagirdlər!J6)</f>
        <v>2008</v>
      </c>
      <c r="J7" s="122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1356298</v>
      </c>
      <c r="C8" s="161" t="str">
        <f>IF(Şagirdlər!D7="","",Şagirdlər!D7)</f>
        <v>Əhmədov</v>
      </c>
      <c r="D8" s="161" t="str">
        <f>IF(Şagirdlər!E7="","",Şagirdlər!E7)</f>
        <v>Məhəmməd</v>
      </c>
      <c r="E8" s="161" t="str">
        <f>IF(Şagirdlər!F7="","",Şagirdlər!F7)</f>
        <v>Şahin</v>
      </c>
      <c r="F8" s="161" t="str">
        <f>IF(Şagirdlər!G7="","",Şagirdlər!G7)</f>
        <v>k</v>
      </c>
      <c r="G8" s="161">
        <f>IF(Şagirdlər!H7="","",Şagirdlər!H7)</f>
        <v>2</v>
      </c>
      <c r="H8" s="161">
        <f>IF(Şagirdlər!I7="","",Şagirdlər!I7)</f>
        <v>2</v>
      </c>
      <c r="I8" s="161">
        <f>IF(Şagirdlər!J7="","",Şagirdlər!J7)</f>
        <v>2008</v>
      </c>
      <c r="J8" s="122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1356179</v>
      </c>
      <c r="C9" s="161" t="str">
        <f>IF(Şagirdlər!D8="","",Şagirdlər!D8)</f>
        <v>Əhmədova</v>
      </c>
      <c r="D9" s="161" t="str">
        <f>IF(Şagirdlər!E8="","",Şagirdlər!E8)</f>
        <v>Məleykə</v>
      </c>
      <c r="E9" s="161" t="str">
        <f>IF(Şagirdlər!F8="","",Şagirdlər!F8)</f>
        <v>Şahin</v>
      </c>
      <c r="F9" s="161" t="str">
        <f>IF(Şagirdlər!G8="","",Şagirdlər!G8)</f>
        <v>q</v>
      </c>
      <c r="G9" s="161">
        <f>IF(Şagirdlər!H8="","",Şagirdlər!H8)</f>
        <v>17</v>
      </c>
      <c r="H9" s="161">
        <f>IF(Şagirdlər!I8="","",Şagirdlər!I8)</f>
        <v>2</v>
      </c>
      <c r="I9" s="161">
        <f>IF(Şagirdlər!J8="","",Şagirdlər!J8)</f>
        <v>2007</v>
      </c>
      <c r="J9" s="122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1253147</v>
      </c>
      <c r="C10" s="161" t="str">
        <f>IF(Şagirdlər!D9="","",Şagirdlər!D9)</f>
        <v>Əsədov</v>
      </c>
      <c r="D10" s="161" t="str">
        <f>IF(Şagirdlər!E9="","",Şagirdlər!E9)</f>
        <v>İlhan</v>
      </c>
      <c r="E10" s="161" t="str">
        <f>IF(Şagirdlər!F9="","",Şagirdlər!F9)</f>
        <v>Şükür</v>
      </c>
      <c r="F10" s="161" t="str">
        <f>IF(Şagirdlər!G9="","",Şagirdlər!G9)</f>
        <v>k</v>
      </c>
      <c r="G10" s="161">
        <f>IF(Şagirdlər!H9="","",Şagirdlər!H9)</f>
        <v>9</v>
      </c>
      <c r="H10" s="161">
        <f>IF(Şagirdlər!I9="","",Şagirdlər!I9)</f>
        <v>3</v>
      </c>
      <c r="I10" s="161">
        <f>IF(Şagirdlər!J9="","",Şagirdlər!J9)</f>
        <v>2008</v>
      </c>
      <c r="J10" s="122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1031550</v>
      </c>
      <c r="C11" s="161" t="str">
        <f>IF(Şagirdlər!D10="","",Şagirdlər!D10)</f>
        <v>Hacızadə</v>
      </c>
      <c r="D11" s="161" t="str">
        <f>IF(Şagirdlər!E10="","",Şagirdlər!E10)</f>
        <v>Nurcan</v>
      </c>
      <c r="E11" s="161" t="str">
        <f>IF(Şagirdlər!F10="","",Şagirdlər!F10)</f>
        <v>Üzeyir</v>
      </c>
      <c r="F11" s="161" t="str">
        <f>IF(Şagirdlər!G10="","",Şagirdlər!G10)</f>
        <v>q</v>
      </c>
      <c r="G11" s="161">
        <f>IF(Şagirdlər!H10="","",Şagirdlər!H10)</f>
        <v>11</v>
      </c>
      <c r="H11" s="161">
        <f>IF(Şagirdlər!I10="","",Şagirdlər!I10)</f>
        <v>3</v>
      </c>
      <c r="I11" s="161">
        <f>IF(Şagirdlər!J10="","",Şagirdlər!J10)</f>
        <v>2008</v>
      </c>
      <c r="J11" s="122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1357286</v>
      </c>
      <c r="C12" s="161" t="str">
        <f>IF(Şagirdlər!D11="","",Şagirdlər!D11)</f>
        <v>Həsənov</v>
      </c>
      <c r="D12" s="161" t="str">
        <f>IF(Şagirdlər!E11="","",Şagirdlər!E11)</f>
        <v>Mansur</v>
      </c>
      <c r="E12" s="161" t="str">
        <f>IF(Şagirdlər!F11="","",Şagirdlər!F11)</f>
        <v>Elnur</v>
      </c>
      <c r="F12" s="161" t="str">
        <f>IF(Şagirdlər!G11="","",Şagirdlər!G11)</f>
        <v>k</v>
      </c>
      <c r="G12" s="161">
        <f>IF(Şagirdlər!H11="","",Şagirdlər!H11)</f>
        <v>23</v>
      </c>
      <c r="H12" s="161">
        <f>IF(Şagirdlər!I11="","",Şagirdlər!I11)</f>
        <v>10</v>
      </c>
      <c r="I12" s="161">
        <f>IF(Şagirdlər!J11="","",Şagirdlər!J11)</f>
        <v>2007</v>
      </c>
      <c r="J12" s="122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2428416</v>
      </c>
      <c r="C13" s="161" t="str">
        <f>IF(Şagirdlər!D12="","",Şagirdlər!D12)</f>
        <v>Hüseynli</v>
      </c>
      <c r="D13" s="161" t="str">
        <f>IF(Şagirdlər!E12="","",Şagirdlər!E12)</f>
        <v>Hüseyn</v>
      </c>
      <c r="E13" s="161" t="str">
        <f>IF(Şagirdlər!F12="","",Şagirdlər!F12)</f>
        <v>Vahid</v>
      </c>
      <c r="F13" s="161" t="str">
        <f>IF(Şagirdlər!G12="","",Şagirdlər!G12)</f>
        <v>k</v>
      </c>
      <c r="G13" s="161">
        <f>IF(Şagirdlər!H12="","",Şagirdlər!H12)</f>
        <v>26</v>
      </c>
      <c r="H13" s="161">
        <f>IF(Şagirdlər!I12="","",Şagirdlər!I12)</f>
        <v>12</v>
      </c>
      <c r="I13" s="161">
        <f>IF(Şagirdlər!J12="","",Şagirdlər!J12)</f>
        <v>2007</v>
      </c>
      <c r="J13" s="122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1356063</v>
      </c>
      <c r="C14" s="161" t="str">
        <f>IF(Şagirdlər!D13="","",Şagirdlər!D13)</f>
        <v>Hüseynova</v>
      </c>
      <c r="D14" s="161" t="str">
        <f>IF(Şagirdlər!E13="","",Şagirdlər!E13)</f>
        <v>Şəhanə</v>
      </c>
      <c r="E14" s="161" t="str">
        <f>IF(Şagirdlər!F13="","",Şagirdlər!F13)</f>
        <v>Teymur</v>
      </c>
      <c r="F14" s="161" t="str">
        <f>IF(Şagirdlər!G13="","",Şagirdlər!G13)</f>
        <v>q</v>
      </c>
      <c r="G14" s="161">
        <f>IF(Şagirdlər!H13="","",Şagirdlər!H13)</f>
        <v>25</v>
      </c>
      <c r="H14" s="161">
        <f>IF(Şagirdlər!I13="","",Şagirdlər!I13)</f>
        <v>8</v>
      </c>
      <c r="I14" s="161">
        <f>IF(Şagirdlər!J13="","",Şagirdlər!J13)</f>
        <v>2008</v>
      </c>
      <c r="J14" s="122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1355916</v>
      </c>
      <c r="C15" s="161" t="str">
        <f>IF(Şagirdlər!D14="","",Şagirdlər!D14)</f>
        <v>Xəlilzadə</v>
      </c>
      <c r="D15" s="161" t="str">
        <f>IF(Şagirdlər!E14="","",Şagirdlər!E14)</f>
        <v>Fatimə</v>
      </c>
      <c r="E15" s="161" t="str">
        <f>IF(Şagirdlər!F14="","",Şagirdlər!F14)</f>
        <v>Əziz</v>
      </c>
      <c r="F15" s="161" t="str">
        <f>IF(Şagirdlər!G14="","",Şagirdlər!G14)</f>
        <v>q</v>
      </c>
      <c r="G15" s="161">
        <f>IF(Şagirdlər!H14="","",Şagirdlər!H14)</f>
        <v>27</v>
      </c>
      <c r="H15" s="161">
        <f>IF(Şagirdlər!I14="","",Şagirdlər!I14)</f>
        <v>11</v>
      </c>
      <c r="I15" s="161">
        <f>IF(Şagirdlər!J14="","",Şagirdlər!J14)</f>
        <v>2006</v>
      </c>
      <c r="J15" s="122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1355576</v>
      </c>
      <c r="C16" s="161" t="str">
        <f>IF(Şagirdlər!D15="","",Şagirdlər!D15)</f>
        <v>İsayeva</v>
      </c>
      <c r="D16" s="161" t="str">
        <f>IF(Şagirdlər!E15="","",Şagirdlər!E15)</f>
        <v>Rəbiyə</v>
      </c>
      <c r="E16" s="161" t="str">
        <f>IF(Şagirdlər!F15="","",Şagirdlər!F15)</f>
        <v>Şəhavat</v>
      </c>
      <c r="F16" s="161" t="str">
        <f>IF(Şagirdlər!G15="","",Şagirdlər!G15)</f>
        <v>q</v>
      </c>
      <c r="G16" s="161">
        <f>IF(Şagirdlər!H15="","",Şagirdlər!H15)</f>
        <v>29</v>
      </c>
      <c r="H16" s="161">
        <f>IF(Şagirdlər!I15="","",Şagirdlər!I15)</f>
        <v>9</v>
      </c>
      <c r="I16" s="161">
        <f>IF(Şagirdlər!J15="","",Şagirdlər!J15)</f>
        <v>2007</v>
      </c>
      <c r="J16" s="122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1674572</v>
      </c>
      <c r="C17" s="161" t="str">
        <f>IF(Şagirdlər!D16="","",Şagirdlər!D16)</f>
        <v>Qasımov</v>
      </c>
      <c r="D17" s="161" t="str">
        <f>IF(Şagirdlər!E16="","",Şagirdlər!E16)</f>
        <v>Şamil</v>
      </c>
      <c r="E17" s="161" t="str">
        <f>IF(Şagirdlər!F16="","",Şagirdlər!F16)</f>
        <v>Ramin</v>
      </c>
      <c r="F17" s="161" t="str">
        <f>IF(Şagirdlər!G16="","",Şagirdlər!G16)</f>
        <v>k</v>
      </c>
      <c r="G17" s="161">
        <f>IF(Şagirdlər!H16="","",Şagirdlər!H16)</f>
        <v>14</v>
      </c>
      <c r="H17" s="161">
        <f>IF(Şagirdlər!I16="","",Şagirdlər!I16)</f>
        <v>6</v>
      </c>
      <c r="I17" s="161">
        <f>IF(Şagirdlər!J16="","",Şagirdlər!J16)</f>
        <v>2006</v>
      </c>
      <c r="J17" s="122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2002217</v>
      </c>
      <c r="C18" s="161" t="str">
        <f>IF(Şagirdlər!D17="","",Şagirdlər!D17)</f>
        <v>Qocayeva</v>
      </c>
      <c r="D18" s="161" t="str">
        <f>IF(Şagirdlər!E17="","",Şagirdlər!E17)</f>
        <v>Fatimə</v>
      </c>
      <c r="E18" s="161" t="str">
        <f>IF(Şagirdlər!F17="","",Şagirdlər!F17)</f>
        <v>Qüdrət</v>
      </c>
      <c r="F18" s="161" t="str">
        <f>IF(Şagirdlər!G17="","",Şagirdlər!G17)</f>
        <v>q</v>
      </c>
      <c r="G18" s="161">
        <f>IF(Şagirdlər!H17="","",Şagirdlər!H17)</f>
        <v>16</v>
      </c>
      <c r="H18" s="161">
        <f>IF(Şagirdlər!I17="","",Şagirdlər!I17)</f>
        <v>6</v>
      </c>
      <c r="I18" s="161">
        <f>IF(Şagirdlər!J17="","",Şagirdlər!J17)</f>
        <v>2008</v>
      </c>
      <c r="J18" s="122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1356289</v>
      </c>
      <c r="C19" s="161" t="str">
        <f>IF(Şagirdlər!D18="","",Şagirdlər!D18)</f>
        <v>Mehdiyev</v>
      </c>
      <c r="D19" s="161" t="str">
        <f>IF(Şagirdlər!E18="","",Şagirdlər!E18)</f>
        <v>Mərhəmət</v>
      </c>
      <c r="E19" s="161" t="str">
        <f>IF(Şagirdlər!F18="","",Şagirdlər!F18)</f>
        <v>Elsevər</v>
      </c>
      <c r="F19" s="161" t="str">
        <f>IF(Şagirdlər!G18="","",Şagirdlər!G18)</f>
        <v>k</v>
      </c>
      <c r="G19" s="161">
        <f>IF(Şagirdlər!H18="","",Şagirdlər!H18)</f>
        <v>4</v>
      </c>
      <c r="H19" s="161">
        <f>IF(Şagirdlər!I18="","",Şagirdlər!I18)</f>
        <v>11</v>
      </c>
      <c r="I19" s="161">
        <f>IF(Şagirdlər!J18="","",Şagirdlər!J18)</f>
        <v>2006</v>
      </c>
      <c r="J19" s="122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1354929</v>
      </c>
      <c r="C20" s="161" t="str">
        <f>IF(Şagirdlər!D19="","",Şagirdlər!D19)</f>
        <v>Musayeva</v>
      </c>
      <c r="D20" s="161" t="str">
        <f>IF(Şagirdlər!E19="","",Şagirdlər!E19)</f>
        <v>Selcan</v>
      </c>
      <c r="E20" s="161" t="str">
        <f>IF(Şagirdlər!F19="","",Şagirdlər!F19)</f>
        <v>Emil</v>
      </c>
      <c r="F20" s="161" t="str">
        <f>IF(Şagirdlər!G19="","",Şagirdlər!G19)</f>
        <v>q</v>
      </c>
      <c r="G20" s="161">
        <f>IF(Şagirdlər!H19="","",Şagirdlər!H19)</f>
        <v>16</v>
      </c>
      <c r="H20" s="161">
        <f>IF(Şagirdlər!I19="","",Şagirdlər!I19)</f>
        <v>5</v>
      </c>
      <c r="I20" s="161">
        <f>IF(Şagirdlər!J19="","",Şagirdlər!J19)</f>
        <v>2008</v>
      </c>
      <c r="J20" s="122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1829373</v>
      </c>
      <c r="C21" s="161" t="str">
        <f>IF(Şagirdlər!D20="","",Şagirdlər!D20)</f>
        <v>Nəsirov</v>
      </c>
      <c r="D21" s="161" t="str">
        <f>IF(Şagirdlər!E20="","",Şagirdlər!E20)</f>
        <v>Əli</v>
      </c>
      <c r="E21" s="161" t="str">
        <f>IF(Şagirdlər!F20="","",Şagirdlər!F20)</f>
        <v>Azər</v>
      </c>
      <c r="F21" s="161" t="str">
        <f>IF(Şagirdlər!G20="","",Şagirdlər!G20)</f>
        <v>k</v>
      </c>
      <c r="G21" s="161">
        <f>IF(Şagirdlər!H20="","",Şagirdlər!H20)</f>
        <v>3</v>
      </c>
      <c r="H21" s="161">
        <f>IF(Şagirdlər!I20="","",Şagirdlər!I20)</f>
        <v>8</v>
      </c>
      <c r="I21" s="161">
        <f>IF(Şagirdlər!J20="","",Şagirdlər!J20)</f>
        <v>2008</v>
      </c>
      <c r="J21" s="122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1350788</v>
      </c>
      <c r="C22" s="161" t="str">
        <f>IF(Şagirdlər!D21="","",Şagirdlər!D21)</f>
        <v>Sarı</v>
      </c>
      <c r="D22" s="161" t="str">
        <f>IF(Şagirdlər!E21="","",Şagirdlər!E21)</f>
        <v>Xəlil</v>
      </c>
      <c r="E22" s="161" t="str">
        <f>IF(Şagirdlər!F21="","",Şagirdlər!F21)</f>
        <v>Ruslan</v>
      </c>
      <c r="F22" s="161" t="str">
        <f>IF(Şagirdlər!G21="","",Şagirdlər!G21)</f>
        <v>k</v>
      </c>
      <c r="G22" s="161">
        <f>IF(Şagirdlər!H21="","",Şagirdlər!H21)</f>
        <v>22</v>
      </c>
      <c r="H22" s="161">
        <f>IF(Şagirdlər!I21="","",Şagirdlər!I21)</f>
        <v>7</v>
      </c>
      <c r="I22" s="161">
        <f>IF(Şagirdlər!J21="","",Şagirdlər!J21)</f>
        <v>2008</v>
      </c>
      <c r="J22" s="122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1350643</v>
      </c>
      <c r="C23" s="161" t="str">
        <f>IF(Şagirdlər!D22="","",Şagirdlər!D22)</f>
        <v>Şirinov</v>
      </c>
      <c r="D23" s="161" t="str">
        <f>IF(Şagirdlər!E22="","",Şagirdlər!E22)</f>
        <v>Elxan</v>
      </c>
      <c r="E23" s="161" t="str">
        <f>IF(Şagirdlər!F22="","",Şagirdlər!F22)</f>
        <v>Samir</v>
      </c>
      <c r="F23" s="161" t="str">
        <f>IF(Şagirdlər!G22="","",Şagirdlər!G22)</f>
        <v>k</v>
      </c>
      <c r="G23" s="161">
        <f>IF(Şagirdlər!H22="","",Şagirdlər!H22)</f>
        <v>19</v>
      </c>
      <c r="H23" s="161">
        <f>IF(Şagirdlər!I22="","",Şagirdlər!I22)</f>
        <v>3</v>
      </c>
      <c r="I23" s="161">
        <f>IF(Şagirdlər!J22="","",Şagirdlər!J22)</f>
        <v>2008</v>
      </c>
      <c r="J23" s="122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2188973</v>
      </c>
      <c r="C24" s="161" t="str">
        <f>IF(Şagirdlər!D23="","",Şagirdlər!D23)</f>
        <v>Ağayev</v>
      </c>
      <c r="D24" s="161" t="str">
        <f>IF(Şagirdlər!E23="","",Şagirdlər!E23)</f>
        <v>Nahid</v>
      </c>
      <c r="E24" s="161" t="str">
        <f>IF(Şagirdlər!F23="","",Şagirdlər!F23)</f>
        <v>Vahid</v>
      </c>
      <c r="F24" s="161" t="str">
        <f>IF(Şagirdlər!G23="","",Şagirdlər!G23)</f>
        <v>k</v>
      </c>
      <c r="G24" s="161">
        <f>IF(Şagirdlər!H23="","",Şagirdlər!H23)</f>
        <v>15</v>
      </c>
      <c r="H24" s="161">
        <f>IF(Şagirdlər!I23="","",Şagirdlər!I23)</f>
        <v>2</v>
      </c>
      <c r="I24" s="161">
        <f>IF(Şagirdlər!J23="","",Şagirdlər!J23)</f>
        <v>2008</v>
      </c>
      <c r="J24" s="122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1402855</v>
      </c>
      <c r="C25" s="161" t="str">
        <f>IF(Şagirdlər!D24="","",Şagirdlər!D24)</f>
        <v>Məmmədov</v>
      </c>
      <c r="D25" s="161" t="str">
        <f>IF(Şagirdlər!E24="","",Şagirdlər!E24)</f>
        <v>Raul</v>
      </c>
      <c r="E25" s="161" t="str">
        <f>IF(Şagirdlər!F24="","",Şagirdlər!F24)</f>
        <v>Vügar</v>
      </c>
      <c r="F25" s="161" t="str">
        <f>IF(Şagirdlər!G24="","",Şagirdlər!G24)</f>
        <v>k</v>
      </c>
      <c r="G25" s="161">
        <f>IF(Şagirdlər!H24="","",Şagirdlər!H24)</f>
        <v>9</v>
      </c>
      <c r="H25" s="161">
        <f>IF(Şagirdlər!I24="","",Şagirdlər!I24)</f>
        <v>4</v>
      </c>
      <c r="I25" s="161">
        <f>IF(Şagirdlər!J24="","",Şagirdlər!J24)</f>
        <v>2008</v>
      </c>
      <c r="J25" s="122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 t="str">
        <f>IF(Şagirdlər!C25="","",Şagirdlər!C25)</f>
        <v/>
      </c>
      <c r="C26" s="161" t="str">
        <f>IF(Şagirdlər!D25="","",Şagirdlər!D25)</f>
        <v/>
      </c>
      <c r="D26" s="161" t="str">
        <f>IF(Şagirdlər!E25="","",Şagirdlər!E25)</f>
        <v/>
      </c>
      <c r="E26" s="161" t="str">
        <f>IF(Şagirdlər!F25="","",Şagirdlər!F25)</f>
        <v/>
      </c>
      <c r="F26" s="161" t="str">
        <f>IF(Şagirdlər!G25="","",Şagirdlər!G25)</f>
        <v/>
      </c>
      <c r="G26" s="161" t="str">
        <f>IF(Şagirdlər!H25="","",Şagirdlər!H25)</f>
        <v/>
      </c>
      <c r="H26" s="161" t="str">
        <f>IF(Şagirdlər!I25="","",Şagirdlər!I25)</f>
        <v/>
      </c>
      <c r="I26" s="161" t="str">
        <f>IF(Şagirdlər!J25="","",Şagirdlər!J25)</f>
        <v/>
      </c>
      <c r="J26" s="122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 t="str">
        <f>IF(Şagirdlər!C26="","",Şagirdlər!C26)</f>
        <v/>
      </c>
      <c r="C27" s="161" t="str">
        <f>IF(Şagirdlər!D26="","",Şagirdlər!D26)</f>
        <v/>
      </c>
      <c r="D27" s="161" t="str">
        <f>IF(Şagirdlər!E26="","",Şagirdlər!E26)</f>
        <v/>
      </c>
      <c r="E27" s="161" t="str">
        <f>IF(Şagirdlər!F26="","",Şagirdlər!F26)</f>
        <v/>
      </c>
      <c r="F27" s="161" t="str">
        <f>IF(Şagirdlər!G26="","",Şagirdlər!G26)</f>
        <v/>
      </c>
      <c r="G27" s="161" t="str">
        <f>IF(Şagirdlər!H26="","",Şagirdlər!H26)</f>
        <v/>
      </c>
      <c r="H27" s="161" t="str">
        <f>IF(Şagirdlər!I26="","",Şagirdlər!I26)</f>
        <v/>
      </c>
      <c r="I27" s="161" t="str">
        <f>IF(Şagirdlər!J26="","",Şagirdlər!J26)</f>
        <v/>
      </c>
      <c r="J27" s="122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/>
      </c>
      <c r="D28" s="161" t="str">
        <f>IF(Şagirdlər!E27="","",Şagirdlər!E27)</f>
        <v/>
      </c>
      <c r="E28" s="161" t="str">
        <f>IF(Şagirdlər!F27="","",Şagirdlər!F27)</f>
        <v/>
      </c>
      <c r="F28" s="161" t="str">
        <f>IF(Şagirdlər!G27="","",Şagirdlər!G27)</f>
        <v/>
      </c>
      <c r="G28" s="161" t="str">
        <f>IF(Şagirdlər!H27="","",Şagirdlər!H27)</f>
        <v/>
      </c>
      <c r="H28" s="161" t="str">
        <f>IF(Şagirdlər!I27="","",Şagirdlər!I27)</f>
        <v/>
      </c>
      <c r="I28" s="161" t="str">
        <f>IF(Şagirdlər!J27="","",Şagirdlər!J27)</f>
        <v/>
      </c>
      <c r="J28" s="122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2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2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2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2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2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2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2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2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2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2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2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2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2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2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2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2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2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2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2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2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2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2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2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2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2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2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3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8</v>
      </c>
      <c r="D56" s="212" t="str">
        <f>E2</f>
        <v>e</v>
      </c>
      <c r="E56" s="212" t="str">
        <f>H2</f>
        <v>Azərbaycan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322"/>
      <c r="C57" s="322"/>
      <c r="D57" s="322"/>
      <c r="E57" s="322"/>
      <c r="F57" s="322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  <c r="AB57" s="322"/>
      <c r="AC57" s="322"/>
      <c r="AD57" s="322"/>
      <c r="AE57" s="322"/>
      <c r="AF57" s="322"/>
      <c r="AG57" s="322"/>
      <c r="AH57" s="322"/>
      <c r="AI57" s="322"/>
      <c r="AJ57" s="322"/>
      <c r="AK57" s="322"/>
      <c r="AL57" s="322"/>
      <c r="AM57" s="322"/>
      <c r="AN57" s="322"/>
      <c r="AO57" s="322"/>
      <c r="AP57" s="322"/>
      <c r="AQ57" s="322"/>
    </row>
    <row r="58" spans="1:43" ht="18.2" customHeight="1" thickTop="1" x14ac:dyDescent="0.25">
      <c r="B58" s="313" t="s">
        <v>35</v>
      </c>
      <c r="C58" s="314"/>
      <c r="D58" s="314"/>
      <c r="E58" s="314"/>
      <c r="F58" s="314"/>
      <c r="G58" s="314"/>
      <c r="H58" s="314"/>
      <c r="I58" s="315"/>
      <c r="J58" s="176" t="s">
        <v>22</v>
      </c>
      <c r="K58" s="138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316"/>
      <c r="C59" s="317"/>
      <c r="D59" s="317"/>
      <c r="E59" s="317"/>
      <c r="F59" s="317"/>
      <c r="G59" s="317"/>
      <c r="H59" s="317"/>
      <c r="I59" s="318"/>
      <c r="J59" s="178" t="s">
        <v>21</v>
      </c>
      <c r="K59" s="139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316"/>
      <c r="C60" s="317"/>
      <c r="D60" s="317"/>
      <c r="E60" s="317"/>
      <c r="F60" s="317"/>
      <c r="G60" s="317"/>
      <c r="H60" s="317"/>
      <c r="I60" s="318"/>
      <c r="J60" s="140" t="s">
        <v>60</v>
      </c>
      <c r="K60" s="139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316"/>
      <c r="C61" s="317"/>
      <c r="D61" s="317"/>
      <c r="E61" s="317"/>
      <c r="F61" s="317"/>
      <c r="G61" s="317"/>
      <c r="H61" s="317"/>
      <c r="I61" s="318"/>
      <c r="J61" s="142" t="s">
        <v>59</v>
      </c>
      <c r="K61" s="139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319"/>
      <c r="C62" s="320"/>
      <c r="D62" s="320"/>
      <c r="E62" s="320"/>
      <c r="F62" s="320"/>
      <c r="G62" s="320"/>
      <c r="H62" s="320"/>
      <c r="I62" s="321"/>
      <c r="J62" s="141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313" t="s">
        <v>28</v>
      </c>
      <c r="C63" s="314"/>
      <c r="D63" s="314"/>
      <c r="E63" s="314"/>
      <c r="F63" s="314"/>
      <c r="G63" s="314"/>
      <c r="H63" s="314"/>
      <c r="I63" s="315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316"/>
      <c r="C64" s="317"/>
      <c r="D64" s="317"/>
      <c r="E64" s="317"/>
      <c r="F64" s="317"/>
      <c r="G64" s="317"/>
      <c r="H64" s="317"/>
      <c r="I64" s="318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316"/>
      <c r="C65" s="317"/>
      <c r="D65" s="317"/>
      <c r="E65" s="317"/>
      <c r="F65" s="317"/>
      <c r="G65" s="317"/>
      <c r="H65" s="317"/>
      <c r="I65" s="318"/>
      <c r="J65" s="140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319"/>
      <c r="C66" s="320"/>
      <c r="D66" s="320"/>
      <c r="E66" s="320"/>
      <c r="F66" s="320"/>
      <c r="G66" s="320"/>
      <c r="H66" s="320"/>
      <c r="I66" s="321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48" t="s">
        <v>67</v>
      </c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  <c r="AE68" s="248"/>
      <c r="AF68" s="248"/>
      <c r="AG68" s="248"/>
      <c r="AH68" s="248"/>
      <c r="AI68" s="248"/>
      <c r="AJ68" s="248"/>
      <c r="AK68" s="248"/>
      <c r="AL68" s="248"/>
      <c r="AM68" s="248"/>
      <c r="AN68" s="248"/>
      <c r="AO68" s="248"/>
      <c r="AP68" s="248"/>
      <c r="AQ68" s="248"/>
    </row>
    <row r="69" spans="2:43" ht="28.15" customHeight="1" x14ac:dyDescent="0.25">
      <c r="B69" s="200" t="s">
        <v>29</v>
      </c>
      <c r="C69" s="198">
        <f>C2</f>
        <v>8</v>
      </c>
      <c r="D69" s="200" t="s">
        <v>41</v>
      </c>
      <c r="E69" s="201" t="str">
        <f>E2</f>
        <v>e</v>
      </c>
      <c r="F69" s="297" t="s">
        <v>63</v>
      </c>
      <c r="G69" s="297"/>
      <c r="H69" s="298" t="str">
        <f>H2</f>
        <v>Azərbaycan</v>
      </c>
      <c r="I69" s="298"/>
      <c r="J69" s="298"/>
      <c r="K69" s="282" t="s">
        <v>30</v>
      </c>
      <c r="L69" s="283"/>
      <c r="M69" s="284"/>
      <c r="N69" s="299" t="str">
        <f>N2</f>
        <v>Əlavə</v>
      </c>
      <c r="O69" s="300"/>
      <c r="P69" s="300"/>
      <c r="Q69" s="300"/>
      <c r="R69" s="301"/>
      <c r="S69" s="282" t="s">
        <v>37</v>
      </c>
      <c r="T69" s="283"/>
      <c r="U69" s="283"/>
      <c r="V69" s="283"/>
      <c r="W69" s="283"/>
      <c r="X69" s="283"/>
      <c r="Y69" s="283"/>
      <c r="Z69" s="283"/>
      <c r="AA69" s="284"/>
      <c r="AB69" s="302">
        <f>AB2</f>
        <v>0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2" t="s">
        <v>65</v>
      </c>
      <c r="AM69" s="283"/>
      <c r="AN69" s="283"/>
      <c r="AO69" s="284"/>
      <c r="AP69" s="285">
        <f>AP2</f>
        <v>0</v>
      </c>
      <c r="AQ69" s="28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286"/>
      <c r="C155" s="286"/>
      <c r="D155" s="286"/>
      <c r="E155" s="286"/>
      <c r="F155" s="286"/>
      <c r="G155" s="286"/>
      <c r="H155" s="287" t="s">
        <v>36</v>
      </c>
      <c r="I155" s="287"/>
      <c r="J155" s="287"/>
      <c r="K155" s="287" t="s">
        <v>44</v>
      </c>
      <c r="L155" s="287"/>
      <c r="M155" s="287"/>
      <c r="N155" s="199"/>
      <c r="O155" s="287" t="s">
        <v>56</v>
      </c>
      <c r="P155" s="287"/>
      <c r="Q155" s="287"/>
      <c r="R155" s="287"/>
      <c r="S155" s="287"/>
      <c r="T155" s="287"/>
      <c r="U155" s="287" t="s">
        <v>57</v>
      </c>
      <c r="V155" s="287"/>
      <c r="W155" s="287"/>
      <c r="X155" s="287"/>
      <c r="Y155" s="287"/>
      <c r="Z155" s="287"/>
      <c r="AA155" s="287" t="s">
        <v>58</v>
      </c>
      <c r="AB155" s="287"/>
      <c r="AC155" s="287"/>
      <c r="AD155" s="287"/>
      <c r="AE155" s="287"/>
      <c r="AF155" s="287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8</v>
      </c>
      <c r="C157" s="202" t="str">
        <f>E2</f>
        <v>e</v>
      </c>
      <c r="D157" s="202" t="str">
        <f>N2</f>
        <v>Əlavə</v>
      </c>
      <c r="E157" s="202">
        <f>AB2</f>
        <v>0</v>
      </c>
      <c r="F157" s="202">
        <f>AP2</f>
        <v>0</v>
      </c>
      <c r="G157" s="202" t="str">
        <f>H2</f>
        <v>Azərbaycan</v>
      </c>
      <c r="H157" s="202">
        <f>COUNTIF(F6:F55,"k")</f>
        <v>13</v>
      </c>
      <c r="I157" s="202">
        <f>COUNTIF(F6:F55,"q")</f>
        <v>7</v>
      </c>
      <c r="J157" s="202">
        <f>SUM(H157:I157)</f>
        <v>20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0" t="s">
        <v>93</v>
      </c>
    </row>
    <row r="158" spans="2:46" ht="14.45" hidden="1" customHeight="1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2">(SUMIFS(AL6:AL55,$F$6:$F$55,"k"))/(COUNTIF($F$6:$F$55,"k"))</f>
        <v>0</v>
      </c>
      <c r="AB158" s="2">
        <f t="shared" si="22"/>
        <v>0</v>
      </c>
      <c r="AC158" s="2">
        <f t="shared" si="22"/>
        <v>0</v>
      </c>
      <c r="AD158" s="2">
        <f t="shared" si="22"/>
        <v>0</v>
      </c>
      <c r="AE158" s="2">
        <f t="shared" si="22"/>
        <v>0</v>
      </c>
      <c r="AF158" s="2">
        <f t="shared" si="22"/>
        <v>0</v>
      </c>
      <c r="AG158" s="90" t="s">
        <v>94</v>
      </c>
    </row>
    <row r="159" spans="2:46" ht="14.45" hidden="1" customHeight="1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>(SUMIFS(AL6:AL55,$F$6:$F$55,"q"))/(COUNTIF($F$6:$F$55,"q"))</f>
        <v>0</v>
      </c>
      <c r="AB159" s="2">
        <f>(SUMIFS(AM6:AM55,$F$6:$F$55,"q"))/(COUNTIF($F$6:$F$55,"q"))</f>
        <v>0</v>
      </c>
      <c r="AC159" s="2">
        <f>(SUMIFS(AN6:AN55,$F$6:$F$55,"q"))/(COUNTIF($F$6:$F$55,"q"))</f>
        <v>0</v>
      </c>
      <c r="AD159" s="2">
        <f t="shared" ref="AD159:AE159" si="23">(SUMIFS(AO6:AO55,$F$6:$F$55,"q"))/(COUNTIF($F$6:$F$55,"q"))</f>
        <v>0</v>
      </c>
      <c r="AE159" s="2">
        <f t="shared" si="23"/>
        <v>0</v>
      </c>
      <c r="AF159" s="2">
        <f>(SUMIFS(AQ6:AQ55,$F$6:$F$55,"q"))/(COUNTIF($F$6:$F$55,"q"))</f>
        <v>0</v>
      </c>
      <c r="AG159" s="90" t="s">
        <v>92</v>
      </c>
    </row>
    <row r="160" spans="2:46" ht="14.45" hidden="1" customHeight="1" x14ac:dyDescent="0.25">
      <c r="B160" s="91"/>
      <c r="C160" s="91"/>
      <c r="D160" s="91"/>
      <c r="E160" s="91"/>
      <c r="F160" s="91"/>
      <c r="G160" s="91"/>
      <c r="H160" s="91"/>
      <c r="I160" s="91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0" t="str">
        <f>J63</f>
        <v>(80-100]</v>
      </c>
    </row>
    <row r="161" spans="2:33" ht="14.45" hidden="1" customHeight="1" x14ac:dyDescent="0.25">
      <c r="B161" s="91"/>
      <c r="C161" s="91"/>
      <c r="D161" s="91"/>
      <c r="E161" s="91"/>
      <c r="F161" s="91"/>
      <c r="G161" s="91"/>
      <c r="H161" s="91"/>
      <c r="I161" s="91"/>
      <c r="K161" s="91"/>
      <c r="L161" s="91"/>
      <c r="M161" s="91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0" t="str">
        <f t="shared" ref="AG161:AG163" si="32">J64</f>
        <v>(60-80]</v>
      </c>
    </row>
    <row r="162" spans="2:33" ht="14.45" hidden="1" customHeight="1" x14ac:dyDescent="0.25">
      <c r="B162" s="91"/>
      <c r="C162" s="91"/>
      <c r="D162" s="91"/>
      <c r="E162" s="91"/>
      <c r="F162" s="91"/>
      <c r="G162" s="91"/>
      <c r="H162" s="91"/>
      <c r="I162" s="91"/>
      <c r="K162" s="91"/>
      <c r="L162" s="91"/>
      <c r="M162" s="91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0" t="str">
        <f t="shared" si="32"/>
        <v>(30-60]</v>
      </c>
    </row>
    <row r="163" spans="2:33" ht="14.45" hidden="1" customHeight="1" x14ac:dyDescent="0.25">
      <c r="B163" s="91"/>
      <c r="C163" s="91"/>
      <c r="D163" s="91"/>
      <c r="E163" s="91"/>
      <c r="F163" s="91"/>
      <c r="G163" s="91"/>
      <c r="H163" s="91"/>
      <c r="I163" s="91"/>
      <c r="K163" s="91"/>
      <c r="L163" s="91"/>
      <c r="M163" s="91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0" t="str">
        <f t="shared" si="32"/>
        <v>[0-30]</v>
      </c>
    </row>
    <row r="164" spans="2:33" ht="14.45" hidden="1" customHeight="1" x14ac:dyDescent="0.25"/>
  </sheetData>
  <mergeCells count="41">
    <mergeCell ref="AA155:AF155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15"/>
  <sheetViews>
    <sheetView showGridLines="0" zoomScale="61" zoomScaleNormal="61" workbookViewId="0">
      <selection activeCell="B1" sqref="B1:AM1"/>
    </sheetView>
  </sheetViews>
  <sheetFormatPr defaultColWidth="8.85546875" defaultRowHeight="16.5" x14ac:dyDescent="0.25"/>
  <cols>
    <col min="1" max="1" width="1.5703125" style="115" customWidth="1"/>
    <col min="2" max="2" width="7.7109375" style="115" customWidth="1"/>
    <col min="3" max="3" width="20.7109375" style="115" customWidth="1"/>
    <col min="4" max="4" width="58.28515625" style="115" customWidth="1"/>
    <col min="5" max="5" width="10" style="115" customWidth="1"/>
    <col min="6" max="6" width="9.28515625" style="115" customWidth="1"/>
    <col min="7" max="39" width="6.85546875" style="115" customWidth="1"/>
    <col min="40" max="40" width="1.5703125" style="115" customWidth="1"/>
    <col min="41" max="16384" width="8.85546875" style="115"/>
  </cols>
  <sheetData>
    <row r="1" spans="1:40" ht="49.15" customHeight="1" x14ac:dyDescent="0.25">
      <c r="B1" s="335" t="s">
        <v>123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</row>
    <row r="2" spans="1:40" ht="28.15" customHeight="1" thickBot="1" x14ac:dyDescent="0.3">
      <c r="B2" s="127" t="s">
        <v>0</v>
      </c>
      <c r="C2" s="132"/>
      <c r="D2" s="143" t="e">
        <f>VLOOKUP(C2,'Tədris dili'!B3:AQ66,2,0)</f>
        <v>#N/A</v>
      </c>
      <c r="E2" s="339" t="e">
        <f>VLOOKUP(C2,'Tədris dili'!B3:AQ66,3,0)</f>
        <v>#N/A</v>
      </c>
      <c r="F2" s="340" t="e">
        <f>VLOOKUP(E2,'Tədris dili'!D3:AS66,2,0)</f>
        <v>#N/A</v>
      </c>
      <c r="G2" s="340" t="e">
        <f>VLOOKUP(F2,'Tədris dili'!E3:AT66,2,0)</f>
        <v>#N/A</v>
      </c>
      <c r="H2" s="340" t="e">
        <f>VLOOKUP(G2,'Tədris dili'!F3:AU66,2,0)</f>
        <v>#N/A</v>
      </c>
      <c r="I2" s="340" t="e">
        <f>VLOOKUP(H2,'Tədris dili'!G3:AV66,2,0)</f>
        <v>#N/A</v>
      </c>
      <c r="J2" s="340" t="e">
        <f>VLOOKUP(I2,'Tədris dili'!H3:AW66,2,0)</f>
        <v>#N/A</v>
      </c>
      <c r="K2" s="340" t="e">
        <f>VLOOKUP(J2,'Tədris dili'!I3:AX66,2,0)</f>
        <v>#N/A</v>
      </c>
      <c r="L2" s="340" t="e">
        <f>VLOOKUP(K2,'Tədris dili'!J3:AY66,2,0)</f>
        <v>#N/A</v>
      </c>
      <c r="M2" s="339" t="e">
        <f>VLOOKUP(C2,'Tədris dili'!B3:AQ66,4,0)</f>
        <v>#N/A</v>
      </c>
      <c r="N2" s="340" t="e">
        <f>VLOOKUP(M2,'Tədris dili'!L3:BA66,2,0)</f>
        <v>#N/A</v>
      </c>
      <c r="O2" s="340" t="e">
        <f>VLOOKUP(N2,'Tədris dili'!M3:BB66,2,0)</f>
        <v>#N/A</v>
      </c>
      <c r="P2" s="340" t="e">
        <f>VLOOKUP(O2,'Tədris dili'!N3:BC66,2,0)</f>
        <v>#N/A</v>
      </c>
      <c r="Q2" s="340" t="e">
        <f>VLOOKUP(P2,'Tədris dili'!O3:BD66,2,0)</f>
        <v>#N/A</v>
      </c>
      <c r="R2" s="340" t="e">
        <f>VLOOKUP(Q2,'Tədris dili'!P3:BE66,2,0)</f>
        <v>#N/A</v>
      </c>
      <c r="S2" s="340" t="e">
        <f>VLOOKUP(R2,'Tədris dili'!Q3:BF66,2,0)</f>
        <v>#N/A</v>
      </c>
      <c r="T2" s="340" t="e">
        <f>VLOOKUP(S2,'Tədris dili'!R3:BG66,2,0)</f>
        <v>#N/A</v>
      </c>
      <c r="U2" s="340" t="e">
        <f>VLOOKUP(T2,'Tədris dili'!S3:BH66,2,0)</f>
        <v>#N/A</v>
      </c>
      <c r="V2" s="340" t="e">
        <f>VLOOKUP(U2,'Tədris dili'!T3:BI66,2,0)</f>
        <v>#N/A</v>
      </c>
      <c r="W2" s="350"/>
      <c r="X2" s="351"/>
      <c r="Y2" s="351"/>
      <c r="Z2" s="351"/>
      <c r="AA2" s="351"/>
      <c r="AB2" s="351"/>
      <c r="AC2" s="351"/>
      <c r="AD2" s="351"/>
      <c r="AE2" s="351"/>
      <c r="AF2" s="351"/>
      <c r="AG2" s="351"/>
      <c r="AH2" s="351"/>
      <c r="AI2" s="351"/>
      <c r="AJ2" s="351"/>
      <c r="AK2" s="351"/>
      <c r="AL2" s="351"/>
      <c r="AM2" s="351"/>
      <c r="AN2" s="83"/>
    </row>
    <row r="3" spans="1:40" ht="18.600000000000001" customHeight="1" thickTop="1" x14ac:dyDescent="0.25">
      <c r="B3" s="347" t="s">
        <v>97</v>
      </c>
      <c r="C3" s="344" t="s">
        <v>30</v>
      </c>
      <c r="D3" s="344" t="s">
        <v>31</v>
      </c>
      <c r="E3" s="341" t="s">
        <v>65</v>
      </c>
      <c r="F3" s="307" t="s">
        <v>33</v>
      </c>
      <c r="G3" s="292" t="s">
        <v>27</v>
      </c>
      <c r="H3" s="323" t="s">
        <v>19</v>
      </c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4"/>
      <c r="U3" s="325" t="s">
        <v>20</v>
      </c>
      <c r="V3" s="323"/>
      <c r="W3" s="323"/>
      <c r="X3" s="323"/>
      <c r="Y3" s="323"/>
      <c r="Z3" s="323"/>
      <c r="AA3" s="323"/>
      <c r="AB3" s="323"/>
      <c r="AC3" s="323"/>
      <c r="AD3" s="323"/>
      <c r="AE3" s="323"/>
      <c r="AF3" s="323"/>
      <c r="AG3" s="324"/>
      <c r="AH3" s="326" t="s">
        <v>17</v>
      </c>
      <c r="AI3" s="327"/>
      <c r="AJ3" s="327"/>
      <c r="AK3" s="327"/>
      <c r="AL3" s="327"/>
      <c r="AM3" s="328"/>
    </row>
    <row r="4" spans="1:40" ht="14.45" customHeight="1" x14ac:dyDescent="0.25">
      <c r="B4" s="348"/>
      <c r="C4" s="345"/>
      <c r="D4" s="345"/>
      <c r="E4" s="342"/>
      <c r="F4" s="308"/>
      <c r="G4" s="293"/>
      <c r="H4" s="114" t="s">
        <v>26</v>
      </c>
      <c r="I4" s="288" t="s">
        <v>12</v>
      </c>
      <c r="J4" s="288"/>
      <c r="K4" s="288"/>
      <c r="L4" s="288"/>
      <c r="M4" s="288"/>
      <c r="N4" s="288"/>
      <c r="O4" s="288"/>
      <c r="P4" s="288"/>
      <c r="Q4" s="288"/>
      <c r="R4" s="288" t="s">
        <v>11</v>
      </c>
      <c r="S4" s="288"/>
      <c r="T4" s="289"/>
      <c r="U4" s="16" t="s">
        <v>26</v>
      </c>
      <c r="V4" s="288" t="s">
        <v>12</v>
      </c>
      <c r="W4" s="288"/>
      <c r="X4" s="288"/>
      <c r="Y4" s="288"/>
      <c r="Z4" s="288"/>
      <c r="AA4" s="288"/>
      <c r="AB4" s="288"/>
      <c r="AC4" s="288"/>
      <c r="AD4" s="288"/>
      <c r="AE4" s="288" t="s">
        <v>11</v>
      </c>
      <c r="AF4" s="288"/>
      <c r="AG4" s="289"/>
      <c r="AH4" s="329" t="s">
        <v>15</v>
      </c>
      <c r="AI4" s="330"/>
      <c r="AJ4" s="330"/>
      <c r="AK4" s="330"/>
      <c r="AL4" s="330"/>
      <c r="AM4" s="331"/>
    </row>
    <row r="5" spans="1:40" ht="108" customHeight="1" thickBot="1" x14ac:dyDescent="0.3">
      <c r="A5" s="62"/>
      <c r="B5" s="349"/>
      <c r="C5" s="346"/>
      <c r="D5" s="346"/>
      <c r="E5" s="343"/>
      <c r="F5" s="309"/>
      <c r="G5" s="136" t="s">
        <v>32</v>
      </c>
      <c r="H5" s="51" t="s">
        <v>25</v>
      </c>
      <c r="I5" s="51" t="s">
        <v>6</v>
      </c>
      <c r="J5" s="51" t="s">
        <v>6</v>
      </c>
      <c r="K5" s="51" t="s">
        <v>6</v>
      </c>
      <c r="L5" s="51" t="s">
        <v>6</v>
      </c>
      <c r="M5" s="51" t="s">
        <v>6</v>
      </c>
      <c r="N5" s="51" t="s">
        <v>6</v>
      </c>
      <c r="O5" s="52" t="s">
        <v>8</v>
      </c>
      <c r="P5" s="51" t="s">
        <v>7</v>
      </c>
      <c r="Q5" s="165" t="s">
        <v>107</v>
      </c>
      <c r="R5" s="51" t="s">
        <v>9</v>
      </c>
      <c r="S5" s="51" t="s">
        <v>10</v>
      </c>
      <c r="T5" s="53" t="s">
        <v>66</v>
      </c>
      <c r="U5" s="54" t="s">
        <v>24</v>
      </c>
      <c r="V5" s="51" t="s">
        <v>6</v>
      </c>
      <c r="W5" s="51" t="s">
        <v>6</v>
      </c>
      <c r="X5" s="51" t="s">
        <v>6</v>
      </c>
      <c r="Y5" s="51" t="s">
        <v>6</v>
      </c>
      <c r="Z5" s="51" t="s">
        <v>6</v>
      </c>
      <c r="AA5" s="51" t="s">
        <v>6</v>
      </c>
      <c r="AB5" s="52" t="s">
        <v>8</v>
      </c>
      <c r="AC5" s="51" t="s">
        <v>7</v>
      </c>
      <c r="AD5" s="165" t="s">
        <v>108</v>
      </c>
      <c r="AE5" s="51" t="s">
        <v>13</v>
      </c>
      <c r="AF5" s="51" t="s">
        <v>14</v>
      </c>
      <c r="AG5" s="53" t="s">
        <v>66</v>
      </c>
      <c r="AH5" s="55" t="s">
        <v>55</v>
      </c>
      <c r="AI5" s="56" t="s">
        <v>54</v>
      </c>
      <c r="AJ5" s="56" t="s">
        <v>52</v>
      </c>
      <c r="AK5" s="56" t="s">
        <v>53</v>
      </c>
      <c r="AL5" s="169" t="s">
        <v>15</v>
      </c>
      <c r="AM5" s="152" t="s">
        <v>16</v>
      </c>
    </row>
    <row r="6" spans="1:40" ht="18.2" customHeight="1" thickTop="1" x14ac:dyDescent="0.25">
      <c r="A6" s="62"/>
      <c r="B6" s="161">
        <f>IF(Müəllimlər!B4="","",Müəllimlər!B4)</f>
        <v>101</v>
      </c>
      <c r="C6" s="161" t="str">
        <f>IF(Müəllimlər!C4="","",Müəllimlər!C4)</f>
        <v>Tədris dili</v>
      </c>
      <c r="D6" s="161" t="str">
        <f>IF(Müəllimlər!D4="","",Müəllimlər!D4)</f>
        <v>Səfərova Elnarə Yəhya</v>
      </c>
      <c r="E6" s="161">
        <f>IF(Müəllimlər!E4="","",Müəllimlər!E4)</f>
        <v>102</v>
      </c>
      <c r="F6" s="121" t="e">
        <f>VLOOKUP(Dinamika!$C$2,'Tədris dili'!$B$3:$AQ$66,9,0)</f>
        <v>#N/A</v>
      </c>
      <c r="G6" s="42" t="e">
        <f>IF(VLOOKUP(Dinamika!$C$2,'Tədris dili'!$B$3:$AQ$66,10,0)="","",VLOOKUP(Dinamika!$C$2,'Tədris dili'!$B$3:$AQ$66,10,0))</f>
        <v>#N/A</v>
      </c>
      <c r="H6" s="42" t="e">
        <f>IF(VLOOKUP(Dinamika!$C$2,'Tədris dili'!$B$3:$AQ$66,11,0)="","",VLOOKUP(Dinamika!$C$2,'Tədris dili'!$B$3:$AQ$66,11,0))</f>
        <v>#N/A</v>
      </c>
      <c r="I6" s="42" t="e">
        <f>IF(VLOOKUP(Dinamika!$C$2,'Tədris dili'!$B$3:$AQ$66,12,0)="","",VLOOKUP(Dinamika!$C$2,'Tədris dili'!$B$3:$AQ$66,12,0))</f>
        <v>#N/A</v>
      </c>
      <c r="J6" s="42" t="e">
        <f>IF(VLOOKUP(Dinamika!$C$2,'Tədris dili'!$B$3:$AQ$66,13,0)="","",VLOOKUP(Dinamika!$C$2,'Tədris dili'!$B$3:$AQ$66,13,0))</f>
        <v>#N/A</v>
      </c>
      <c r="K6" s="42" t="e">
        <f>IF(VLOOKUP(Dinamika!$C$2,'Tədris dili'!$B$3:$AQ$66,14,0)="","",VLOOKUP(Dinamika!$C$2,'Tədris dili'!$B$3:$AQ$66,14,0))</f>
        <v>#N/A</v>
      </c>
      <c r="L6" s="42" t="e">
        <f>IF(VLOOKUP(Dinamika!$C$2,'Tədris dili'!$B$3:$AQ$66,15,0)="","",VLOOKUP(Dinamika!$C$2,'Tədris dili'!$B$3:$AQ$66,15,0))</f>
        <v>#N/A</v>
      </c>
      <c r="M6" s="42" t="e">
        <f>IF(VLOOKUP(Dinamika!$C$2,'Tədris dili'!$B$3:$AQ$66,16,0)="","",VLOOKUP(Dinamika!$C$2,'Tədris dili'!$B$3:$AQ$66,16,0))</f>
        <v>#N/A</v>
      </c>
      <c r="N6" s="42" t="e">
        <f>IF(VLOOKUP(Dinamika!$C$2,'Tədris dili'!$B$3:$AQ$66,17,0)="","",VLOOKUP(Dinamika!$C$2,'Tədris dili'!$B$3:$AQ$66,17,0))</f>
        <v>#N/A</v>
      </c>
      <c r="O6" s="150" t="e">
        <f>IF(VLOOKUP(Dinamika!$C$2,'Tədris dili'!$B$3:$AQ$66,18,0)="","",VLOOKUP(Dinamika!$C$2,'Tədris dili'!$B$3:$AQ$66,18,0))</f>
        <v>#N/A</v>
      </c>
      <c r="P6" s="42" t="e">
        <f>IF(VLOOKUP(Dinamika!$C$2,'Tədris dili'!$B$3:$AQ$66,19,0)="","",VLOOKUP(Dinamika!$C$2,'Tədris dili'!$B$3:$AQ$66,19,0))</f>
        <v>#N/A</v>
      </c>
      <c r="Q6" s="166" t="e">
        <f>IF(VLOOKUP(Dinamika!$C$2,'Tədris dili'!$B$3:$AQ$66,20,0)="","",VLOOKUP(Dinamika!$C$2,'Tədris dili'!$B$3:$AQ$66,20,0))</f>
        <v>#N/A</v>
      </c>
      <c r="R6" s="42" t="e">
        <f>IF(VLOOKUP(Dinamika!$C$2,'Tədris dili'!$B$3:$AQ$66,21,0)="","",VLOOKUP(Dinamika!$C$2,'Tədris dili'!$B$3:$AQ$66,21,0))</f>
        <v>#N/A</v>
      </c>
      <c r="S6" s="42" t="e">
        <f>IF(VLOOKUP(Dinamika!$C$2,'Tədris dili'!$B$3:$AQ$66,22,0)="","",VLOOKUP(Dinamika!$C$2,'Tədris dili'!$B$3:$AQ$66,22,0))</f>
        <v>#N/A</v>
      </c>
      <c r="T6" s="137" t="e">
        <f>IF(VLOOKUP(Dinamika!$C$2,'Tədris dili'!$B$3:$AQ$66,23,0)="","",VLOOKUP(Dinamika!$C$2,'Tədris dili'!$B$3:$AQ$66,23,0))</f>
        <v>#N/A</v>
      </c>
      <c r="U6" s="42" t="e">
        <f>IF(VLOOKUP(Dinamika!$C$2,'Tədris dili'!$B$3:$AQ$66,24,0)="","",VLOOKUP(Dinamika!$C$2,'Tədris dili'!$B$3:$AQ$66,24,0))</f>
        <v>#N/A</v>
      </c>
      <c r="V6" s="42" t="e">
        <f>IF(VLOOKUP(Dinamika!$C$2,'Tədris dili'!$B$3:$AQ$66,25,0)="","",VLOOKUP(Dinamika!$C$2,'Tədris dili'!$B$3:$AQ$66,25,0))</f>
        <v>#N/A</v>
      </c>
      <c r="W6" s="42" t="e">
        <f>IF(VLOOKUP(Dinamika!$C$2,'Tədris dili'!$B$3:$AQ$66,26,0)="","",VLOOKUP(Dinamika!$C$2,'Tədris dili'!$B$3:$AQ$66,26,0))</f>
        <v>#N/A</v>
      </c>
      <c r="X6" s="42" t="e">
        <f>IF(VLOOKUP(Dinamika!$C$2,'Tədris dili'!$B$3:$AQ$66,27,0)="","",VLOOKUP(Dinamika!$C$2,'Tədris dili'!$B$3:$AQ$66,27,0))</f>
        <v>#N/A</v>
      </c>
      <c r="Y6" s="42" t="e">
        <f>IF(VLOOKUP(Dinamika!$C$2,'Tədris dili'!$B$3:$AQ$66,28,0)="","",VLOOKUP(Dinamika!$C$2,'Tədris dili'!$B$3:$AQ$66,28,0))</f>
        <v>#N/A</v>
      </c>
      <c r="Z6" s="42" t="e">
        <f>IF(VLOOKUP(Dinamika!$C$2,'Tədris dili'!$B$3:$AQ$66,29,0)="","",VLOOKUP(Dinamika!$C$2,'Tədris dili'!$B$3:$AQ$66,29,0))</f>
        <v>#N/A</v>
      </c>
      <c r="AA6" s="42" t="e">
        <f>IF(VLOOKUP(Dinamika!$C$2,'Tədris dili'!$B$3:$AQ$66,30,0)="","",VLOOKUP(Dinamika!$C$2,'Tədris dili'!$B$3:$AQ$66,30,0))</f>
        <v>#N/A</v>
      </c>
      <c r="AB6" s="150" t="e">
        <f>IF(VLOOKUP(Dinamika!$C$2,'Tədris dili'!$B$3:$AQ$66,31,0)="","",VLOOKUP(Dinamika!$C$2,'Tədris dili'!$B$3:$AQ$66,31,0))</f>
        <v>#N/A</v>
      </c>
      <c r="AC6" s="42" t="e">
        <f>IF(VLOOKUP(Dinamika!$C$2,'Tədris dili'!$B$3:$AQ$66,32,0)="","",VLOOKUP(Dinamika!$C$2,'Tədris dili'!$B$3:$AQ$66,32,0))</f>
        <v>#N/A</v>
      </c>
      <c r="AD6" s="166" t="e">
        <f>IF(VLOOKUP(Dinamika!$C$2,'Tədris dili'!$B$3:$AQ$66,33,0)="","",VLOOKUP(Dinamika!$C$2,'Tədris dili'!$B$3:$AQ$66,33,0))</f>
        <v>#N/A</v>
      </c>
      <c r="AE6" s="42" t="e">
        <f>IF(VLOOKUP(Dinamika!$C$2,'Tədris dili'!$B$3:$AQ$66,34,0)="","",VLOOKUP(Dinamika!$C$2,'Tədris dili'!$B$3:$AQ$66,34,0))</f>
        <v>#N/A</v>
      </c>
      <c r="AF6" s="42" t="e">
        <f>IF(VLOOKUP(Dinamika!$C$2,'Tədris dili'!$B$3:$AQ$66,35,0)="","",VLOOKUP(Dinamika!$C$2,'Tədris dili'!$B$3:$AQ$66,35,0))</f>
        <v>#N/A</v>
      </c>
      <c r="AG6" s="137" t="e">
        <f>IF(VLOOKUP(Dinamika!$C$2,'Tədris dili'!$B$3:$AQ$66,36,0)="","",VLOOKUP(Dinamika!$C$2,'Tədris dili'!$B$3:$AQ$66,36,0))</f>
        <v>#N/A</v>
      </c>
      <c r="AH6" s="47" t="e">
        <f>IF(VLOOKUP(Dinamika!$C$2,'Tədris dili'!$B$3:$AQ$66,37,0)="","",VLOOKUP(Dinamika!$C$2,'Tədris dili'!$B$3:$AQ$66,37,0))</f>
        <v>#N/A</v>
      </c>
      <c r="AI6" s="47" t="e">
        <f>IF(VLOOKUP(Dinamika!$C$2,'Tədris dili'!$B$3:$AQ$66,38,0)="","",VLOOKUP(Dinamika!$C$2,'Tədris dili'!$B$3:$AQ$66,38,0))</f>
        <v>#N/A</v>
      </c>
      <c r="AJ6" s="47" t="e">
        <f>IF(VLOOKUP(Dinamika!$C$2,'Tədris dili'!$B$3:$AQ$66,39,0)="","",VLOOKUP(Dinamika!$C$2,'Tədris dili'!$B$3:$AQ$66,39,0))</f>
        <v>#N/A</v>
      </c>
      <c r="AK6" s="47" t="e">
        <f>IF(VLOOKUP(Dinamika!$C$2,'Tədris dili'!$B$3:$AQ$66,40,0)="","",VLOOKUP(Dinamika!$C$2,'Tədris dili'!$B$3:$AQ$66,40,0))</f>
        <v>#N/A</v>
      </c>
      <c r="AL6" s="170" t="e">
        <f>IF(VLOOKUP(Dinamika!$C$2,'Tədris dili'!$B$3:$AQ$66,41,0)="","",VLOOKUP(Dinamika!$C$2,'Tədris dili'!$B$3:$AQ$66,41,0))</f>
        <v>#N/A</v>
      </c>
      <c r="AM6" s="157" t="e">
        <f>IF(VLOOKUP(Dinamika!$C$2,'Tədris dili'!$B$3:$AQ$66,42,0)="","",VLOOKUP(Dinamika!$C$2,'Tədris dili'!$B$3:$AQ$66,42,0))</f>
        <v>#N/A</v>
      </c>
    </row>
    <row r="7" spans="1:40" ht="18.2" customHeight="1" x14ac:dyDescent="0.25">
      <c r="A7" s="62"/>
      <c r="B7" s="161">
        <f>IF(Müəllimlər!B5="","",Müəllimlər!B5)</f>
        <v>102</v>
      </c>
      <c r="C7" s="161" t="str">
        <f>IF(Müəllimlər!C5="","",Müəllimlər!C5)</f>
        <v>Ədəbiyyat</v>
      </c>
      <c r="D7" s="161" t="str">
        <f>IF(Müəllimlər!D5="","",Müəllimlər!D5)</f>
        <v>Səfərova Elnarə Yəhya</v>
      </c>
      <c r="E7" s="161">
        <f>IF(Müəllimlər!E5="","",Müəllimlər!E5)</f>
        <v>68</v>
      </c>
      <c r="F7" s="122" t="e">
        <f>VLOOKUP(Dinamika!$C$2,Əd!$B$3:$AQ$66,9,0)</f>
        <v>#N/A</v>
      </c>
      <c r="G7" s="19" t="e">
        <f>IF(VLOOKUP(Dinamika!$C$2,Əd!$B$3:$AQ$66,10,0)="","",VLOOKUP(Dinamika!$C$2,Əd!$B$3:$AQ$66,10,0))</f>
        <v>#N/A</v>
      </c>
      <c r="H7" s="19" t="e">
        <f>IF(VLOOKUP(Dinamika!$C$2,Əd!$B$3:$AQ$66,11,0)="","",VLOOKUP(Dinamika!$C$2,Əd!$B$3:$AQ$66,11,0))</f>
        <v>#N/A</v>
      </c>
      <c r="I7" s="19" t="e">
        <f>IF(VLOOKUP(Dinamika!$C$2,Əd!$B$3:$AQ$66,12,0)="","",VLOOKUP(Dinamika!$C$2,Əd!$B$3:$AQ$66,12,0))</f>
        <v>#N/A</v>
      </c>
      <c r="J7" s="19" t="e">
        <f>IF(VLOOKUP(Dinamika!$C$2,Əd!$B$3:$AQ$66,13,0)="","",VLOOKUP(Dinamika!$C$2,Əd!$B$3:$AQ$66,13,0))</f>
        <v>#N/A</v>
      </c>
      <c r="K7" s="19" t="e">
        <f>IF(VLOOKUP(Dinamika!$C$2,Əd!$B$3:$AQ$66,14,0)="","",VLOOKUP(Dinamika!$C$2,Əd!$B$3:$AQ$66,14,0))</f>
        <v>#N/A</v>
      </c>
      <c r="L7" s="19" t="e">
        <f>IF(VLOOKUP(Dinamika!$C$2,Əd!$B$3:$AQ$66,15,0)="","",VLOOKUP(Dinamika!$C$2,Əd!$B$3:$AQ$66,15,0))</f>
        <v>#N/A</v>
      </c>
      <c r="M7" s="19" t="e">
        <f>IF(VLOOKUP(Dinamika!$C$2,Əd!$B$3:$AQ$66,16,0)="","",VLOOKUP(Dinamika!$C$2,Əd!$B$3:$AQ$66,16,0))</f>
        <v>#N/A</v>
      </c>
      <c r="N7" s="19" t="e">
        <f>IF(VLOOKUP(Dinamika!$C$2,Əd!$B$3:$AQ$66,17,0)="","",VLOOKUP(Dinamika!$C$2,Əd!$B$3:$AQ$66,17,0))</f>
        <v>#N/A</v>
      </c>
      <c r="O7" s="151" t="e">
        <f>IF(VLOOKUP(Dinamika!$C$2,Əd!$B$3:$AQ$66,18,0)="","",VLOOKUP(Dinamika!$C$2,Əd!$B$3:$AQ$66,18,0))</f>
        <v>#N/A</v>
      </c>
      <c r="P7" s="19" t="e">
        <f>IF(VLOOKUP(Dinamika!$C$2,Əd!$B$3:$AQ$66,19,0)="","",VLOOKUP(Dinamika!$C$2,Əd!$B$3:$AQ$66,19,0))</f>
        <v>#N/A</v>
      </c>
      <c r="Q7" s="167" t="e">
        <f>IF(VLOOKUP(Dinamika!$C$2,Əd!$B$3:$AQ$66,20,0)="","",VLOOKUP(Dinamika!$C$2,Əd!$B$3:$AQ$66,20,0))</f>
        <v>#N/A</v>
      </c>
      <c r="R7" s="19" t="e">
        <f>IF(VLOOKUP(Dinamika!$C$2,Əd!$B$3:$AQ$66,21,0)="","",VLOOKUP(Dinamika!$C$2,Əd!$B$3:$AQ$66,21,0))</f>
        <v>#N/A</v>
      </c>
      <c r="S7" s="19" t="e">
        <f>IF(VLOOKUP(Dinamika!$C$2,Əd!$B$3:$AQ$66,22,0)="","",VLOOKUP(Dinamika!$C$2,Əd!$B$3:$AQ$66,22,0))</f>
        <v>#N/A</v>
      </c>
      <c r="T7" s="17" t="e">
        <f>IF(VLOOKUP(Dinamika!$C$2,Əd!$B$3:$AQ$66,23,0)="","",VLOOKUP(Dinamika!$C$2,Əd!$B$3:$AQ$66,23,0))</f>
        <v>#N/A</v>
      </c>
      <c r="U7" s="19" t="e">
        <f>IF(VLOOKUP(Dinamika!$C$2,Əd!$B$3:$AQ$66,24,0)="","",VLOOKUP(Dinamika!$C$2,Əd!$B$3:$AQ$66,24,0))</f>
        <v>#N/A</v>
      </c>
      <c r="V7" s="19" t="e">
        <f>IF(VLOOKUP(Dinamika!$C$2,Əd!$B$3:$AQ$66,25,0)="","",VLOOKUP(Dinamika!$C$2,Əd!$B$3:$AQ$66,25,0))</f>
        <v>#N/A</v>
      </c>
      <c r="W7" s="19" t="e">
        <f>IF(VLOOKUP(Dinamika!$C$2,Əd!$B$3:$AQ$66,26,0)="","",VLOOKUP(Dinamika!$C$2,Əd!$B$3:$AQ$66,26,0))</f>
        <v>#N/A</v>
      </c>
      <c r="X7" s="19" t="e">
        <f>IF(VLOOKUP(Dinamika!$C$2,Əd!$B$3:$AQ$66,27,0)="","",VLOOKUP(Dinamika!$C$2,Əd!$B$3:$AQ$66,27,0))</f>
        <v>#N/A</v>
      </c>
      <c r="Y7" s="19" t="e">
        <f>IF(VLOOKUP(Dinamika!$C$2,Əd!$B$3:$AQ$66,28,0)="","",VLOOKUP(Dinamika!$C$2,Əd!$B$3:$AQ$66,28,0))</f>
        <v>#N/A</v>
      </c>
      <c r="Z7" s="19" t="e">
        <f>IF(VLOOKUP(Dinamika!$C$2,Əd!$B$3:$AQ$66,29,0)="","",VLOOKUP(Dinamika!$C$2,Əd!$B$3:$AQ$66,29,0))</f>
        <v>#N/A</v>
      </c>
      <c r="AA7" s="19" t="e">
        <f>IF(VLOOKUP(Dinamika!$C$2,Əd!$B$3:$AQ$66,30,0)="","",VLOOKUP(Dinamika!$C$2,Əd!$B$3:$AQ$66,30,0))</f>
        <v>#N/A</v>
      </c>
      <c r="AB7" s="151" t="e">
        <f>IF(VLOOKUP(Dinamika!$C$2,Əd!$B$3:$AQ$66,31,0)="","",VLOOKUP(Dinamika!$C$2,Əd!$B$3:$AQ$66,31,0))</f>
        <v>#N/A</v>
      </c>
      <c r="AC7" s="19" t="e">
        <f>IF(VLOOKUP(Dinamika!$C$2,Əd!$B$3:$AQ$66,32,0)="","",VLOOKUP(Dinamika!$C$2,Əd!$B$3:$AQ$66,32,0))</f>
        <v>#N/A</v>
      </c>
      <c r="AD7" s="167" t="e">
        <f>IF(VLOOKUP(Dinamika!$C$2,Əd!$B$3:$AQ$66,33,0)="","",VLOOKUP(Dinamika!$C$2,Əd!$B$3:$AQ$66,33,0))</f>
        <v>#N/A</v>
      </c>
      <c r="AE7" s="19" t="e">
        <f>IF(VLOOKUP(Dinamika!$C$2,Əd!$B$3:$AQ$66,34,0)="","",VLOOKUP(Dinamika!$C$2,Əd!$B$3:$AQ$66,34,0))</f>
        <v>#N/A</v>
      </c>
      <c r="AF7" s="19" t="e">
        <f>IF(VLOOKUP(Dinamika!$C$2,Əd!$B$3:$AQ$66,35,0)="","",VLOOKUP(Dinamika!$C$2,Əd!$B$3:$AQ$66,35,0))</f>
        <v>#N/A</v>
      </c>
      <c r="AG7" s="17" t="e">
        <f>IF(VLOOKUP(Dinamika!$C$2,Əd!$B$3:$AQ$66,36,0)="","",VLOOKUP(Dinamika!$C$2,Əd!$B$3:$AQ$66,36,0))</f>
        <v>#N/A</v>
      </c>
      <c r="AH7" s="18" t="e">
        <f>IF(VLOOKUP(Dinamika!$C$2,Əd!$B$3:$AQ$66,37,0)="","",VLOOKUP(Dinamika!$C$2,Əd!$B$3:$AQ$66,37,0))</f>
        <v>#N/A</v>
      </c>
      <c r="AI7" s="18" t="e">
        <f>IF(VLOOKUP(Dinamika!$C$2,Əd!$B$3:$AQ$66,38,0)="","",VLOOKUP(Dinamika!$C$2,Əd!$B$3:$AQ$66,38,0))</f>
        <v>#N/A</v>
      </c>
      <c r="AJ7" s="18" t="e">
        <f>IF(VLOOKUP(Dinamika!$C$2,Əd!$B$3:$AQ$66,39,0)="","",VLOOKUP(Dinamika!$C$2,Əd!$B$3:$AQ$66,39,0))</f>
        <v>#N/A</v>
      </c>
      <c r="AK7" s="18" t="e">
        <f>IF(VLOOKUP(Dinamika!$C$2,Əd!$B$3:$AQ$66,40,0)="","",VLOOKUP(Dinamika!$C$2,Əd!$B$3:$AQ$66,40,0))</f>
        <v>#N/A</v>
      </c>
      <c r="AL7" s="171" t="e">
        <f>IF(VLOOKUP(Dinamika!$C$2,Əd!$B$3:$AQ$66,41,0)="","",VLOOKUP(Dinamika!$C$2,Əd!$B$3:$AQ$66,41,0))</f>
        <v>#N/A</v>
      </c>
      <c r="AM7" s="155" t="e">
        <f>IF(VLOOKUP(Dinamika!$C$2,Əd!$B$3:$AQ$66,42,0)="","",VLOOKUP(Dinamika!$C$2,Əd!$B$3:$AQ$66,42,0))</f>
        <v>#N/A</v>
      </c>
    </row>
    <row r="8" spans="1:40" ht="18.2" customHeight="1" x14ac:dyDescent="0.25">
      <c r="A8" s="62"/>
      <c r="B8" s="161">
        <f>IF(Müəllimlər!B6="","",Müəllimlər!B6)</f>
        <v>103</v>
      </c>
      <c r="C8" s="161" t="str">
        <f>IF(Müəllimlər!C6="","",Müəllimlər!C6)</f>
        <v>Dövlət dili</v>
      </c>
      <c r="D8" s="161" t="str">
        <f>IF(Müəllimlər!D6="","",Müəllimlər!D6)</f>
        <v/>
      </c>
      <c r="E8" s="161" t="str">
        <f>IF(Müəllimlər!E6="","",Müəllimlər!E6)</f>
        <v/>
      </c>
      <c r="F8" s="122" t="e">
        <f>VLOOKUP(Dinamika!$C$2,'Dövlət dili'!$B$3:$AQ$66,9,0)</f>
        <v>#N/A</v>
      </c>
      <c r="G8" s="15" t="e">
        <f>IF(VLOOKUP(Dinamika!$C$2,'Dövlət dili'!$B$3:$AQ$66,10,0)="","",VLOOKUP(Dinamika!$C$2,'Dövlət dili'!$B$3:$AQ$66,10,0))</f>
        <v>#N/A</v>
      </c>
      <c r="H8" s="15" t="e">
        <f>IF(VLOOKUP(Dinamika!$C$2,'Dövlət dili'!$B$3:$AQ$66,11,0)="","",VLOOKUP(Dinamika!$C$2,'Dövlət dili'!$B$3:$AQ$66,11,0))</f>
        <v>#N/A</v>
      </c>
      <c r="I8" s="15" t="e">
        <f>IF(VLOOKUP(Dinamika!$C$2,'Dövlət dili'!$B$3:$AQ$66,12,0)="","",VLOOKUP(Dinamika!$C$2,'Dövlət dili'!$B$3:$AQ$66,12,0))</f>
        <v>#N/A</v>
      </c>
      <c r="J8" s="15" t="e">
        <f>IF(VLOOKUP(Dinamika!$C$2,'Dövlət dili'!$B$3:$AQ$66,13,0)="","",VLOOKUP(Dinamika!$C$2,'Dövlət dili'!$B$3:$AQ$66,13,0))</f>
        <v>#N/A</v>
      </c>
      <c r="K8" s="15" t="e">
        <f>IF(VLOOKUP(Dinamika!$C$2,'Dövlət dili'!$B$3:$AQ$66,14,0)="","",VLOOKUP(Dinamika!$C$2,'Dövlət dili'!$B$3:$AQ$66,14,0))</f>
        <v>#N/A</v>
      </c>
      <c r="L8" s="15" t="e">
        <f>IF(VLOOKUP(Dinamika!$C$2,'Dövlət dili'!$B$3:$AQ$66,15,0)="","",VLOOKUP(Dinamika!$C$2,'Dövlət dili'!$B$3:$AQ$66,15,0))</f>
        <v>#N/A</v>
      </c>
      <c r="M8" s="15" t="e">
        <f>IF(VLOOKUP(Dinamika!$C$2,'Dövlət dili'!$B$3:$AQ$66,16,0)="","",VLOOKUP(Dinamika!$C$2,'Dövlət dili'!$B$3:$AQ$66,16,0))</f>
        <v>#N/A</v>
      </c>
      <c r="N8" s="15" t="e">
        <f>IF(VLOOKUP(Dinamika!$C$2,'Dövlət dili'!$B$3:$AQ$66,17,0)="","",VLOOKUP(Dinamika!$C$2,'Dövlət dili'!$B$3:$AQ$66,17,0))</f>
        <v>#N/A</v>
      </c>
      <c r="O8" s="151" t="e">
        <f>IF(VLOOKUP(Dinamika!$C$2,'Dövlət dili'!$B$3:$AQ$66,18,0)="","",VLOOKUP(Dinamika!$C$2,'Dövlət dili'!$B$3:$AQ$66,18,0))</f>
        <v>#N/A</v>
      </c>
      <c r="P8" s="15" t="e">
        <f>IF(VLOOKUP(Dinamika!$C$2,'Dövlət dili'!$B$3:$AQ$66,19,0)="","",VLOOKUP(Dinamika!$C$2,'Dövlət dili'!$B$3:$AQ$66,19,0))</f>
        <v>#N/A</v>
      </c>
      <c r="Q8" s="167" t="e">
        <f>IF(VLOOKUP(Dinamika!$C$2,'Dövlət dili'!$B$3:$AQ$66,20,0)="","",VLOOKUP(Dinamika!$C$2,'Dövlət dili'!$B$3:$AQ$66,20,0))</f>
        <v>#N/A</v>
      </c>
      <c r="R8" s="15" t="e">
        <f>IF(VLOOKUP(Dinamika!$C$2,'Dövlət dili'!$B$3:$AQ$66,21,0)="","",VLOOKUP(Dinamika!$C$2,'Dövlət dili'!$B$3:$AQ$66,21,0))</f>
        <v>#N/A</v>
      </c>
      <c r="S8" s="15" t="e">
        <f>IF(VLOOKUP(Dinamika!$C$2,'Dövlət dili'!$B$3:$AQ$66,22,0)="","",VLOOKUP(Dinamika!$C$2,'Dövlət dili'!$B$3:$AQ$66,22,0))</f>
        <v>#N/A</v>
      </c>
      <c r="T8" s="17" t="e">
        <f>IF(VLOOKUP(Dinamika!$C$2,'Dövlət dili'!$B$3:$AQ$66,23,0)="","",VLOOKUP(Dinamika!$C$2,'Dövlət dili'!$B$3:$AQ$66,23,0))</f>
        <v>#N/A</v>
      </c>
      <c r="U8" s="15" t="e">
        <f>IF(VLOOKUP(Dinamika!$C$2,'Dövlət dili'!$B$3:$AQ$66,24,0)="","",VLOOKUP(Dinamika!$C$2,'Dövlət dili'!$B$3:$AQ$66,24,0))</f>
        <v>#N/A</v>
      </c>
      <c r="V8" s="15" t="e">
        <f>IF(VLOOKUP(Dinamika!$C$2,'Dövlət dili'!$B$3:$AQ$66,25,0)="","",VLOOKUP(Dinamika!$C$2,'Dövlət dili'!$B$3:$AQ$66,25,0))</f>
        <v>#N/A</v>
      </c>
      <c r="W8" s="15" t="e">
        <f>IF(VLOOKUP(Dinamika!$C$2,'Dövlət dili'!$B$3:$AQ$66,26,0)="","",VLOOKUP(Dinamika!$C$2,'Dövlət dili'!$B$3:$AQ$66,26,0))</f>
        <v>#N/A</v>
      </c>
      <c r="X8" s="15" t="e">
        <f>IF(VLOOKUP(Dinamika!$C$2,'Dövlət dili'!$B$3:$AQ$66,27,0)="","",VLOOKUP(Dinamika!$C$2,'Dövlət dili'!$B$3:$AQ$66,27,0))</f>
        <v>#N/A</v>
      </c>
      <c r="Y8" s="15" t="e">
        <f>IF(VLOOKUP(Dinamika!$C$2,'Dövlət dili'!$B$3:$AQ$66,28,0)="","",VLOOKUP(Dinamika!$C$2,'Dövlət dili'!$B$3:$AQ$66,28,0))</f>
        <v>#N/A</v>
      </c>
      <c r="Z8" s="15" t="e">
        <f>IF(VLOOKUP(Dinamika!$C$2,'Dövlət dili'!$B$3:$AQ$66,29,0)="","",VLOOKUP(Dinamika!$C$2,'Dövlət dili'!$B$3:$AQ$66,29,0))</f>
        <v>#N/A</v>
      </c>
      <c r="AA8" s="15" t="e">
        <f>IF(VLOOKUP(Dinamika!$C$2,'Dövlət dili'!$B$3:$AQ$66,30,0)="","",VLOOKUP(Dinamika!$C$2,'Dövlət dili'!$B$3:$AQ$66,30,0))</f>
        <v>#N/A</v>
      </c>
      <c r="AB8" s="151" t="e">
        <f>IF(VLOOKUP(Dinamika!$C$2,'Dövlət dili'!$B$3:$AQ$66,31,0)="","",VLOOKUP(Dinamika!$C$2,'Dövlət dili'!$B$3:$AQ$66,31,0))</f>
        <v>#N/A</v>
      </c>
      <c r="AC8" s="15" t="e">
        <f>IF(VLOOKUP(Dinamika!$C$2,'Dövlət dili'!$B$3:$AQ$66,32,0)="","",VLOOKUP(Dinamika!$C$2,'Dövlət dili'!$B$3:$AQ$66,32,0))</f>
        <v>#N/A</v>
      </c>
      <c r="AD8" s="167" t="e">
        <f>IF(VLOOKUP(Dinamika!$C$2,'Dövlət dili'!$B$3:$AQ$66,33,0)="","",VLOOKUP(Dinamika!$C$2,'Dövlət dili'!$B$3:$AQ$66,33,0))</f>
        <v>#N/A</v>
      </c>
      <c r="AE8" s="15" t="e">
        <f>IF(VLOOKUP(Dinamika!$C$2,'Dövlət dili'!$B$3:$AQ$66,34,0)="","",VLOOKUP(Dinamika!$C$2,'Dövlət dili'!$B$3:$AQ$66,34,0))</f>
        <v>#N/A</v>
      </c>
      <c r="AF8" s="15" t="e">
        <f>IF(VLOOKUP(Dinamika!$C$2,'Dövlət dili'!$B$3:$AQ$66,35,0)="","",VLOOKUP(Dinamika!$C$2,'Dövlət dili'!$B$3:$AQ$66,35,0))</f>
        <v>#N/A</v>
      </c>
      <c r="AG8" s="17" t="e">
        <f>IF(VLOOKUP(Dinamika!$C$2,'Dövlət dili'!$B$3:$AQ$66,36,0)="","",VLOOKUP(Dinamika!$C$2,'Dövlət dili'!$B$3:$AQ$66,36,0))</f>
        <v>#N/A</v>
      </c>
      <c r="AH8" s="18" t="e">
        <f>IF(VLOOKUP(Dinamika!$C$2,'Dövlət dili'!$B$3:$AQ$66,37,0)="","",VLOOKUP(Dinamika!$C$2,'Dövlət dili'!$B$3:$AQ$66,37,0))</f>
        <v>#N/A</v>
      </c>
      <c r="AI8" s="18" t="e">
        <f>IF(VLOOKUP(Dinamika!$C$2,'Dövlət dili'!$B$3:$AQ$66,38,0)="","",VLOOKUP(Dinamika!$C$2,'Dövlət dili'!$B$3:$AQ$66,38,0))</f>
        <v>#N/A</v>
      </c>
      <c r="AJ8" s="18" t="e">
        <f>IF(VLOOKUP(Dinamika!$C$2,'Dövlət dili'!$B$3:$AQ$66,39,0)="","",VLOOKUP(Dinamika!$C$2,'Dövlət dili'!$B$3:$AQ$66,39,0))</f>
        <v>#N/A</v>
      </c>
      <c r="AK8" s="18" t="e">
        <f>IF(VLOOKUP(Dinamika!$C$2,'Dövlət dili'!$B$3:$AQ$66,40,0)="","",VLOOKUP(Dinamika!$C$2,'Dövlət dili'!$B$3:$AQ$66,40,0))</f>
        <v>#N/A</v>
      </c>
      <c r="AL8" s="171" t="e">
        <f>IF(VLOOKUP(Dinamika!$C$2,'Dövlət dili'!$B$3:$AQ$66,41,0)="","",VLOOKUP(Dinamika!$C$2,'Dövlət dili'!$B$3:$AQ$66,41,0))</f>
        <v>#N/A</v>
      </c>
      <c r="AM8" s="155" t="e">
        <f>IF(VLOOKUP(Dinamika!$C$2,'Dövlət dili'!$B$3:$AQ$66,42,0)="","",VLOOKUP(Dinamika!$C$2,'Dövlət dili'!$B$3:$AQ$66,42,0))</f>
        <v>#N/A</v>
      </c>
    </row>
    <row r="9" spans="1:40" ht="18.2" customHeight="1" x14ac:dyDescent="0.25">
      <c r="A9" s="62"/>
      <c r="B9" s="161">
        <f>IF(Müəllimlər!B7="","",Müəllimlər!B7)</f>
        <v>104</v>
      </c>
      <c r="C9" s="161" t="str">
        <f>IF(Müəllimlər!C7="","",Müəllimlər!C7)</f>
        <v>Xarici dil</v>
      </c>
      <c r="D9" s="161" t="str">
        <f>IF(Müəllimlər!D7="","",Müəllimlər!D7)</f>
        <v>Abbasova Maral Nadir, Əbülfətova Vəfa Nəriman</v>
      </c>
      <c r="E9" s="161">
        <f>IF(Müəllimlər!E7="","",Müəllimlər!E7)</f>
        <v>102</v>
      </c>
      <c r="F9" s="122" t="e">
        <f>VLOOKUP(Dinamika!$C$2,'X-d'!$B$3:$AQ$66,9,0)</f>
        <v>#N/A</v>
      </c>
      <c r="G9" s="15" t="e">
        <f>IF(VLOOKUP(Dinamika!$C$2,'X-d'!$B$3:$AQ$66,10,0)="","",VLOOKUP(Dinamika!$C$2,'X-d'!$B$3:$AQ$66,10,0))</f>
        <v>#N/A</v>
      </c>
      <c r="H9" s="15" t="e">
        <f>IF(VLOOKUP(Dinamika!$C$2,'X-d'!$B$3:$AQ$66,11,0)="","",VLOOKUP(Dinamika!$C$2,'X-d'!$B$3:$AQ$66,11,0))</f>
        <v>#N/A</v>
      </c>
      <c r="I9" s="15" t="e">
        <f>IF(VLOOKUP(Dinamika!$C$2,'X-d'!$B$3:$AQ$66,12,0)="","",VLOOKUP(Dinamika!$C$2,'X-d'!$B$3:$AQ$66,12,0))</f>
        <v>#N/A</v>
      </c>
      <c r="J9" s="15" t="e">
        <f>IF(VLOOKUP(Dinamika!$C$2,'X-d'!$B$3:$AQ$66,13,0)="","",VLOOKUP(Dinamika!$C$2,'X-d'!$B$3:$AQ$66,13,0))</f>
        <v>#N/A</v>
      </c>
      <c r="K9" s="15" t="e">
        <f>IF(VLOOKUP(Dinamika!$C$2,'X-d'!$B$3:$AQ$66,14,0)="","",VLOOKUP(Dinamika!$C$2,'X-d'!$B$3:$AQ$66,14,0))</f>
        <v>#N/A</v>
      </c>
      <c r="L9" s="15" t="e">
        <f>IF(VLOOKUP(Dinamika!$C$2,'X-d'!$B$3:$AQ$66,15,0)="","",VLOOKUP(Dinamika!$C$2,'X-d'!$B$3:$AQ$66,15,0))</f>
        <v>#N/A</v>
      </c>
      <c r="M9" s="15" t="e">
        <f>IF(VLOOKUP(Dinamika!$C$2,'X-d'!$B$3:$AQ$66,16,0)="","",VLOOKUP(Dinamika!$C$2,'X-d'!$B$3:$AQ$66,16,0))</f>
        <v>#N/A</v>
      </c>
      <c r="N9" s="15" t="e">
        <f>IF(VLOOKUP(Dinamika!$C$2,'X-d'!$B$3:$AQ$66,17,0)="","",VLOOKUP(Dinamika!$C$2,'X-d'!$B$3:$AQ$66,17,0))</f>
        <v>#N/A</v>
      </c>
      <c r="O9" s="151" t="e">
        <f>IF(VLOOKUP(Dinamika!$C$2,'X-d'!$B$3:$AQ$66,18,0)="","",VLOOKUP(Dinamika!$C$2,'X-d'!$B$3:$AQ$66,18,0))</f>
        <v>#N/A</v>
      </c>
      <c r="P9" s="15" t="e">
        <f>IF(VLOOKUP(Dinamika!$C$2,'X-d'!$B$3:$AQ$66,19,0)="","",VLOOKUP(Dinamika!$C$2,'X-d'!$B$3:$AQ$66,19,0))</f>
        <v>#N/A</v>
      </c>
      <c r="Q9" s="167" t="e">
        <f>IF(VLOOKUP(Dinamika!$C$2,'X-d'!$B$3:$AQ$66,20,0)="","",VLOOKUP(Dinamika!$C$2,'X-d'!$B$3:$AQ$66,20,0))</f>
        <v>#N/A</v>
      </c>
      <c r="R9" s="15" t="e">
        <f>IF(VLOOKUP(Dinamika!$C$2,'X-d'!$B$3:$AQ$66,21,0)="","",VLOOKUP(Dinamika!$C$2,'X-d'!$B$3:$AQ$66,21,0))</f>
        <v>#N/A</v>
      </c>
      <c r="S9" s="15" t="e">
        <f>IF(VLOOKUP(Dinamika!$C$2,'X-d'!$B$3:$AQ$66,22,0)="","",VLOOKUP(Dinamika!$C$2,'X-d'!$B$3:$AQ$66,22,0))</f>
        <v>#N/A</v>
      </c>
      <c r="T9" s="17" t="e">
        <f>IF(VLOOKUP(Dinamika!$C$2,'X-d'!$B$3:$AQ$66,23,0)="","",VLOOKUP(Dinamika!$C$2,'X-d'!$B$3:$AQ$66,23,0))</f>
        <v>#N/A</v>
      </c>
      <c r="U9" s="15" t="e">
        <f>IF(VLOOKUP(Dinamika!$C$2,'X-d'!$B$3:$AQ$66,24,0)="","",VLOOKUP(Dinamika!$C$2,'X-d'!$B$3:$AQ$66,24,0))</f>
        <v>#N/A</v>
      </c>
      <c r="V9" s="15" t="e">
        <f>IF(VLOOKUP(Dinamika!$C$2,'X-d'!$B$3:$AQ$66,25,0)="","",VLOOKUP(Dinamika!$C$2,'X-d'!$B$3:$AQ$66,25,0))</f>
        <v>#N/A</v>
      </c>
      <c r="W9" s="15" t="e">
        <f>IF(VLOOKUP(Dinamika!$C$2,'X-d'!$B$3:$AQ$66,26,0)="","",VLOOKUP(Dinamika!$C$2,'X-d'!$B$3:$AQ$66,26,0))</f>
        <v>#N/A</v>
      </c>
      <c r="X9" s="15" t="e">
        <f>IF(VLOOKUP(Dinamika!$C$2,'X-d'!$B$3:$AQ$66,27,0)="","",VLOOKUP(Dinamika!$C$2,'X-d'!$B$3:$AQ$66,27,0))</f>
        <v>#N/A</v>
      </c>
      <c r="Y9" s="15" t="e">
        <f>IF(VLOOKUP(Dinamika!$C$2,'X-d'!$B$3:$AQ$66,28,0)="","",VLOOKUP(Dinamika!$C$2,'X-d'!$B$3:$AQ$66,28,0))</f>
        <v>#N/A</v>
      </c>
      <c r="Z9" s="15" t="e">
        <f>IF(VLOOKUP(Dinamika!$C$2,'X-d'!$B$3:$AQ$66,29,0)="","",VLOOKUP(Dinamika!$C$2,'X-d'!$B$3:$AQ$66,29,0))</f>
        <v>#N/A</v>
      </c>
      <c r="AA9" s="15" t="e">
        <f>IF(VLOOKUP(Dinamika!$C$2,'X-d'!$B$3:$AQ$66,30,0)="","",VLOOKUP(Dinamika!$C$2,'X-d'!$B$3:$AQ$66,30,0))</f>
        <v>#N/A</v>
      </c>
      <c r="AB9" s="151" t="e">
        <f>IF(VLOOKUP(Dinamika!$C$2,'X-d'!$B$3:$AQ$66,31,0)="","",VLOOKUP(Dinamika!$C$2,'X-d'!$B$3:$AQ$66,31,0))</f>
        <v>#N/A</v>
      </c>
      <c r="AC9" s="15" t="e">
        <f>IF(VLOOKUP(Dinamika!$C$2,'X-d'!$B$3:$AQ$66,32,0)="","",VLOOKUP(Dinamika!$C$2,'X-d'!$B$3:$AQ$66,32,0))</f>
        <v>#N/A</v>
      </c>
      <c r="AD9" s="167" t="e">
        <f>IF(VLOOKUP(Dinamika!$C$2,'X-d'!$B$3:$AQ$66,33,0)="","",VLOOKUP(Dinamika!$C$2,'X-d'!$B$3:$AQ$66,33,0))</f>
        <v>#N/A</v>
      </c>
      <c r="AE9" s="15" t="e">
        <f>IF(VLOOKUP(Dinamika!$C$2,'X-d'!$B$3:$AQ$66,34,0)="","",VLOOKUP(Dinamika!$C$2,'X-d'!$B$3:$AQ$66,34,0))</f>
        <v>#N/A</v>
      </c>
      <c r="AF9" s="15" t="e">
        <f>IF(VLOOKUP(Dinamika!$C$2,'X-d'!$B$3:$AQ$66,35,0)="","",VLOOKUP(Dinamika!$C$2,'X-d'!$B$3:$AQ$66,35,0))</f>
        <v>#N/A</v>
      </c>
      <c r="AG9" s="17" t="e">
        <f>IF(VLOOKUP(Dinamika!$C$2,'X-d'!$B$3:$AQ$66,36,0)="","",VLOOKUP(Dinamika!$C$2,'X-d'!$B$3:$AQ$66,36,0))</f>
        <v>#N/A</v>
      </c>
      <c r="AH9" s="18" t="e">
        <f>IF(VLOOKUP(Dinamika!$C$2,'X-d'!$B$3:$AQ$66,37,0)="","",VLOOKUP(Dinamika!$C$2,'X-d'!$B$3:$AQ$66,37,0))</f>
        <v>#N/A</v>
      </c>
      <c r="AI9" s="18" t="e">
        <f>IF(VLOOKUP(Dinamika!$C$2,'X-d'!$B$3:$AQ$66,38,0)="","",VLOOKUP(Dinamika!$C$2,'X-d'!$B$3:$AQ$66,38,0))</f>
        <v>#N/A</v>
      </c>
      <c r="AJ9" s="18" t="e">
        <f>IF(VLOOKUP(Dinamika!$C$2,'X-d'!$B$3:$AQ$66,39,0)="","",VLOOKUP(Dinamika!$C$2,'X-d'!$B$3:$AQ$66,39,0))</f>
        <v>#N/A</v>
      </c>
      <c r="AK9" s="18" t="e">
        <f>IF(VLOOKUP(Dinamika!$C$2,'X-d'!$B$3:$AQ$66,40,0)="","",VLOOKUP(Dinamika!$C$2,'X-d'!$B$3:$AQ$66,40,0))</f>
        <v>#N/A</v>
      </c>
      <c r="AL9" s="171" t="e">
        <f>IF(VLOOKUP(Dinamika!$C$2,'X-d'!$B$3:$AQ$66,41,0)="","",VLOOKUP(Dinamika!$C$2,'X-d'!$B$3:$AQ$66,41,0))</f>
        <v>#N/A</v>
      </c>
      <c r="AM9" s="155" t="e">
        <f>IF(VLOOKUP(Dinamika!$C$2,'X-d'!$B$3:$AQ$66,42,0)="","",VLOOKUP(Dinamika!$C$2,'X-d'!$B$3:$AQ$66,42,0))</f>
        <v>#N/A</v>
      </c>
    </row>
    <row r="10" spans="1:40" ht="18.2" customHeight="1" x14ac:dyDescent="0.25">
      <c r="A10" s="62"/>
      <c r="B10" s="161">
        <f>IF(Müəllimlər!B8="","",Müəllimlər!B8)</f>
        <v>105</v>
      </c>
      <c r="C10" s="161" t="str">
        <f>IF(Müəllimlər!C8="","",Müəllimlər!C8)</f>
        <v>İkinci xarici dil</v>
      </c>
      <c r="D10" s="161" t="str">
        <f>IF(Müəllimlər!D8="","",Müəllimlər!D8)</f>
        <v>Ələkbərova Tamila Səməd, Həsənova Kəmalə Faiq</v>
      </c>
      <c r="E10" s="161">
        <f>IF(Müəllimlər!E8="","",Müəllimlər!E8)</f>
        <v>34.340000000000003</v>
      </c>
      <c r="F10" s="122" t="e">
        <f>VLOOKUP(Dinamika!$C$2,'ll X-d'!$B$3:$AQ$66,9,0)</f>
        <v>#N/A</v>
      </c>
      <c r="G10" s="15" t="e">
        <f>IF(VLOOKUP(Dinamika!$C$2,'ll X-d'!$B$3:$AQ$66,10,0)="","",VLOOKUP(Dinamika!$C$2,'ll X-d'!$B$3:$AQ$66,10,0))</f>
        <v>#N/A</v>
      </c>
      <c r="H10" s="15" t="e">
        <f>IF(VLOOKUP(Dinamika!$C$2,'ll X-d'!$B$3:$AQ$66,11,0)="","",VLOOKUP(Dinamika!$C$2,'ll X-d'!$B$3:$AQ$66,11,0))</f>
        <v>#N/A</v>
      </c>
      <c r="I10" s="15" t="e">
        <f>IF(VLOOKUP(Dinamika!$C$2,'ll X-d'!$B$3:$AQ$66,12,0)="","",VLOOKUP(Dinamika!$C$2,'ll X-d'!$B$3:$AQ$66,12,0))</f>
        <v>#N/A</v>
      </c>
      <c r="J10" s="15" t="e">
        <f>IF(VLOOKUP(Dinamika!$C$2,'ll X-d'!$B$3:$AQ$66,13,0)="","",VLOOKUP(Dinamika!$C$2,'ll X-d'!$B$3:$AQ$66,13,0))</f>
        <v>#N/A</v>
      </c>
      <c r="K10" s="15" t="e">
        <f>IF(VLOOKUP(Dinamika!$C$2,'ll X-d'!$B$3:$AQ$66,14,0)="","",VLOOKUP(Dinamika!$C$2,'ll X-d'!$B$3:$AQ$66,14,0))</f>
        <v>#N/A</v>
      </c>
      <c r="L10" s="15" t="e">
        <f>IF(VLOOKUP(Dinamika!$C$2,'ll X-d'!$B$3:$AQ$66,15,0)="","",VLOOKUP(Dinamika!$C$2,'ll X-d'!$B$3:$AQ$66,15,0))</f>
        <v>#N/A</v>
      </c>
      <c r="M10" s="15" t="e">
        <f>IF(VLOOKUP(Dinamika!$C$2,'ll X-d'!$B$3:$AQ$66,16,0)="","",VLOOKUP(Dinamika!$C$2,'ll X-d'!$B$3:$AQ$66,16,0))</f>
        <v>#N/A</v>
      </c>
      <c r="N10" s="15" t="e">
        <f>IF(VLOOKUP(Dinamika!$C$2,'ll X-d'!$B$3:$AQ$66,17,0)="","",VLOOKUP(Dinamika!$C$2,'ll X-d'!$B$3:$AQ$66,17,0))</f>
        <v>#N/A</v>
      </c>
      <c r="O10" s="151" t="e">
        <f>IF(VLOOKUP(Dinamika!$C$2,'ll X-d'!$B$3:$AQ$66,18,0)="","",VLOOKUP(Dinamika!$C$2,'ll X-d'!$B$3:$AQ$66,18,0))</f>
        <v>#N/A</v>
      </c>
      <c r="P10" s="15" t="e">
        <f>IF(VLOOKUP(Dinamika!$C$2,'ll X-d'!$B$3:$AQ$66,19,0)="","",VLOOKUP(Dinamika!$C$2,'ll X-d'!$B$3:$AQ$66,19,0))</f>
        <v>#N/A</v>
      </c>
      <c r="Q10" s="167" t="e">
        <f>IF(VLOOKUP(Dinamika!$C$2,'ll X-d'!$B$3:$AQ$66,20,0)="","",VLOOKUP(Dinamika!$C$2,'ll X-d'!$B$3:$AQ$66,20,0))</f>
        <v>#N/A</v>
      </c>
      <c r="R10" s="15" t="e">
        <f>IF(VLOOKUP(Dinamika!$C$2,'ll X-d'!$B$3:$AQ$66,21,0)="","",VLOOKUP(Dinamika!$C$2,'ll X-d'!$B$3:$AQ$66,21,0))</f>
        <v>#N/A</v>
      </c>
      <c r="S10" s="15" t="e">
        <f>IF(VLOOKUP(Dinamika!$C$2,'ll X-d'!$B$3:$AQ$66,22,0)="","",VLOOKUP(Dinamika!$C$2,'ll X-d'!$B$3:$AQ$66,22,0))</f>
        <v>#N/A</v>
      </c>
      <c r="T10" s="17" t="e">
        <f>IF(VLOOKUP(Dinamika!$C$2,'ll X-d'!$B$3:$AQ$66,23,0)="","",VLOOKUP(Dinamika!$C$2,'ll X-d'!$B$3:$AQ$66,23,0))</f>
        <v>#N/A</v>
      </c>
      <c r="U10" s="15" t="e">
        <f>IF(VLOOKUP(Dinamika!$C$2,'ll X-d'!$B$3:$AQ$66,24,0)="","",VLOOKUP(Dinamika!$C$2,'ll X-d'!$B$3:$AQ$66,24,0))</f>
        <v>#N/A</v>
      </c>
      <c r="V10" s="15" t="e">
        <f>IF(VLOOKUP(Dinamika!$C$2,'ll X-d'!$B$3:$AQ$66,25,0)="","",VLOOKUP(Dinamika!$C$2,'ll X-d'!$B$3:$AQ$66,25,0))</f>
        <v>#N/A</v>
      </c>
      <c r="W10" s="15" t="e">
        <f>IF(VLOOKUP(Dinamika!$C$2,'ll X-d'!$B$3:$AQ$66,26,0)="","",VLOOKUP(Dinamika!$C$2,'ll X-d'!$B$3:$AQ$66,26,0))</f>
        <v>#N/A</v>
      </c>
      <c r="X10" s="15" t="e">
        <f>IF(VLOOKUP(Dinamika!$C$2,'ll X-d'!$B$3:$AQ$66,27,0)="","",VLOOKUP(Dinamika!$C$2,'ll X-d'!$B$3:$AQ$66,27,0))</f>
        <v>#N/A</v>
      </c>
      <c r="Y10" s="15" t="e">
        <f>IF(VLOOKUP(Dinamika!$C$2,'ll X-d'!$B$3:$AQ$66,28,0)="","",VLOOKUP(Dinamika!$C$2,'ll X-d'!$B$3:$AQ$66,28,0))</f>
        <v>#N/A</v>
      </c>
      <c r="Z10" s="15" t="e">
        <f>IF(VLOOKUP(Dinamika!$C$2,'ll X-d'!$B$3:$AQ$66,29,0)="","",VLOOKUP(Dinamika!$C$2,'ll X-d'!$B$3:$AQ$66,29,0))</f>
        <v>#N/A</v>
      </c>
      <c r="AA10" s="15" t="e">
        <f>IF(VLOOKUP(Dinamika!$C$2,'ll X-d'!$B$3:$AQ$66,30,0)="","",VLOOKUP(Dinamika!$C$2,'ll X-d'!$B$3:$AQ$66,30,0))</f>
        <v>#N/A</v>
      </c>
      <c r="AB10" s="151" t="e">
        <f>IF(VLOOKUP(Dinamika!$C$2,'ll X-d'!$B$3:$AQ$66,31,0)="","",VLOOKUP(Dinamika!$C$2,'ll X-d'!$B$3:$AQ$66,31,0))</f>
        <v>#N/A</v>
      </c>
      <c r="AC10" s="15" t="e">
        <f>IF(VLOOKUP(Dinamika!$C$2,'ll X-d'!$B$3:$AQ$66,32,0)="","",VLOOKUP(Dinamika!$C$2,'ll X-d'!$B$3:$AQ$66,32,0))</f>
        <v>#N/A</v>
      </c>
      <c r="AD10" s="167" t="e">
        <f>IF(VLOOKUP(Dinamika!$C$2,'ll X-d'!$B$3:$AQ$66,33,0)="","",VLOOKUP(Dinamika!$C$2,'ll X-d'!$B$3:$AQ$66,33,0))</f>
        <v>#N/A</v>
      </c>
      <c r="AE10" s="15" t="e">
        <f>IF(VLOOKUP(Dinamika!$C$2,'ll X-d'!$B$3:$AQ$66,34,0)="","",VLOOKUP(Dinamika!$C$2,'ll X-d'!$B$3:$AQ$66,34,0))</f>
        <v>#N/A</v>
      </c>
      <c r="AF10" s="15" t="e">
        <f>IF(VLOOKUP(Dinamika!$C$2,'ll X-d'!$B$3:$AQ$66,35,0)="","",VLOOKUP(Dinamika!$C$2,'ll X-d'!$B$3:$AQ$66,35,0))</f>
        <v>#N/A</v>
      </c>
      <c r="AG10" s="17" t="e">
        <f>IF(VLOOKUP(Dinamika!$C$2,'ll X-d'!$B$3:$AQ$66,36,0)="","",VLOOKUP(Dinamika!$C$2,'ll X-d'!$B$3:$AQ$66,36,0))</f>
        <v>#N/A</v>
      </c>
      <c r="AH10" s="18" t="e">
        <f>IF(VLOOKUP(Dinamika!$C$2,'ll X-d'!$B$3:$AQ$66,37,0)="","",VLOOKUP(Dinamika!$C$2,'ll X-d'!$B$3:$AQ$66,37,0))</f>
        <v>#N/A</v>
      </c>
      <c r="AI10" s="18" t="e">
        <f>IF(VLOOKUP(Dinamika!$C$2,'ll X-d'!$B$3:$AQ$66,38,0)="","",VLOOKUP(Dinamika!$C$2,'ll X-d'!$B$3:$AQ$66,38,0))</f>
        <v>#N/A</v>
      </c>
      <c r="AJ10" s="18" t="e">
        <f>IF(VLOOKUP(Dinamika!$C$2,'ll X-d'!$B$3:$AQ$66,39,0)="","",VLOOKUP(Dinamika!$C$2,'ll X-d'!$B$3:$AQ$66,39,0))</f>
        <v>#N/A</v>
      </c>
      <c r="AK10" s="18" t="e">
        <f>IF(VLOOKUP(Dinamika!$C$2,'ll X-d'!$B$3:$AQ$66,40,0)="","",VLOOKUP(Dinamika!$C$2,'ll X-d'!$B$3:$AQ$66,40,0))</f>
        <v>#N/A</v>
      </c>
      <c r="AL10" s="171" t="e">
        <f>IF(VLOOKUP(Dinamika!$C$2,'ll X-d'!$B$3:$AQ$66,41,0)="","",VLOOKUP(Dinamika!$C$2,'ll X-d'!$B$3:$AQ$66,41,0))</f>
        <v>#N/A</v>
      </c>
      <c r="AM10" s="155" t="e">
        <f>IF(VLOOKUP(Dinamika!$C$2,'ll X-d'!$B$3:$AQ$66,42,0)="","",VLOOKUP(Dinamika!$C$2,'ll X-d'!$B$3:$AQ$66,42,0))</f>
        <v>#N/A</v>
      </c>
    </row>
    <row r="11" spans="1:40" ht="18.2" customHeight="1" x14ac:dyDescent="0.25">
      <c r="A11" s="62"/>
      <c r="B11" s="161">
        <f>IF(Müəllimlər!B9="","",Müəllimlər!B9)</f>
        <v>106</v>
      </c>
      <c r="C11" s="161" t="str">
        <f>IF(Müəllimlər!C9="","",Müəllimlər!C9)</f>
        <v>Riyaziyyat</v>
      </c>
      <c r="D11" s="161" t="str">
        <f>IF(Müəllimlər!D9="","",Müəllimlər!D9)</f>
        <v>Məhərrəmova Cəmilə Kərəm</v>
      </c>
      <c r="E11" s="161">
        <f>IF(Müəllimlər!E9="","",Müəllimlər!E9)</f>
        <v>170</v>
      </c>
      <c r="F11" s="122" t="e">
        <f>VLOOKUP(Dinamika!$C$2,Riy!$B$3:$AQ$66,9,0)</f>
        <v>#N/A</v>
      </c>
      <c r="G11" s="15" t="e">
        <f>IF(VLOOKUP(Dinamika!$C$2,Riy!$B$3:$AQ$66,10,0)="","",VLOOKUP(Dinamika!$C$2,Riy!$B$3:$AQ$66,10,0))</f>
        <v>#N/A</v>
      </c>
      <c r="H11" s="15" t="e">
        <f>IF(VLOOKUP(Dinamika!$C$2,Riy!$B$3:$AQ$66,11,0)="","",VLOOKUP(Dinamika!$C$2,Riy!$B$3:$AQ$66,11,0))</f>
        <v>#N/A</v>
      </c>
      <c r="I11" s="15" t="e">
        <f>IF(VLOOKUP(Dinamika!$C$2,Riy!$B$3:$AQ$66,12,0)="","",VLOOKUP(Dinamika!$C$2,Riy!$B$3:$AQ$66,12,0))</f>
        <v>#N/A</v>
      </c>
      <c r="J11" s="15" t="e">
        <f>IF(VLOOKUP(Dinamika!$C$2,Riy!$B$3:$AQ$66,13,0)="","",VLOOKUP(Dinamika!$C$2,Riy!$B$3:$AQ$66,13,0))</f>
        <v>#N/A</v>
      </c>
      <c r="K11" s="15" t="e">
        <f>IF(VLOOKUP(Dinamika!$C$2,Riy!$B$3:$AQ$66,14,0)="","",VLOOKUP(Dinamika!$C$2,Riy!$B$3:$AQ$66,14,0))</f>
        <v>#N/A</v>
      </c>
      <c r="L11" s="15" t="e">
        <f>IF(VLOOKUP(Dinamika!$C$2,Riy!$B$3:$AQ$66,15,0)="","",VLOOKUP(Dinamika!$C$2,Riy!$B$3:$AQ$66,15,0))</f>
        <v>#N/A</v>
      </c>
      <c r="M11" s="15" t="e">
        <f>IF(VLOOKUP(Dinamika!$C$2,Riy!$B$3:$AQ$66,16,0)="","",VLOOKUP(Dinamika!$C$2,Riy!$B$3:$AQ$66,16,0))</f>
        <v>#N/A</v>
      </c>
      <c r="N11" s="15" t="e">
        <f>IF(VLOOKUP(Dinamika!$C$2,Riy!$B$3:$AQ$66,17,0)="","",VLOOKUP(Dinamika!$C$2,Riy!$B$3:$AQ$66,17,0))</f>
        <v>#N/A</v>
      </c>
      <c r="O11" s="151" t="e">
        <f>IF(VLOOKUP(Dinamika!$C$2,Riy!$B$3:$AQ$66,18,0)="","",VLOOKUP(Dinamika!$C$2,Riy!$B$3:$AQ$66,18,0))</f>
        <v>#N/A</v>
      </c>
      <c r="P11" s="15" t="e">
        <f>IF(VLOOKUP(Dinamika!$C$2,Riy!$B$3:$AQ$66,19,0)="","",VLOOKUP(Dinamika!$C$2,Riy!$B$3:$AQ$66,19,0))</f>
        <v>#N/A</v>
      </c>
      <c r="Q11" s="167" t="e">
        <f>IF(VLOOKUP(Dinamika!$C$2,Riy!$B$3:$AQ$66,20,0)="","",VLOOKUP(Dinamika!$C$2,Riy!$B$3:$AQ$66,20,0))</f>
        <v>#N/A</v>
      </c>
      <c r="R11" s="15" t="e">
        <f>IF(VLOOKUP(Dinamika!$C$2,Riy!$B$3:$AQ$66,21,0)="","",VLOOKUP(Dinamika!$C$2,Riy!$B$3:$AQ$66,21,0))</f>
        <v>#N/A</v>
      </c>
      <c r="S11" s="15" t="e">
        <f>IF(VLOOKUP(Dinamika!$C$2,Riy!$B$3:$AQ$66,22,0)="","",VLOOKUP(Dinamika!$C$2,Riy!$B$3:$AQ$66,22,0))</f>
        <v>#N/A</v>
      </c>
      <c r="T11" s="17" t="e">
        <f>IF(VLOOKUP(Dinamika!$C$2,Riy!$B$3:$AQ$66,23,0)="","",VLOOKUP(Dinamika!$C$2,Riy!$B$3:$AQ$66,23,0))</f>
        <v>#N/A</v>
      </c>
      <c r="U11" s="15" t="e">
        <f>IF(VLOOKUP(Dinamika!$C$2,Riy!$B$3:$AQ$66,24,0)="","",VLOOKUP(Dinamika!$C$2,Riy!$B$3:$AQ$66,24,0))</f>
        <v>#N/A</v>
      </c>
      <c r="V11" s="15" t="e">
        <f>IF(VLOOKUP(Dinamika!$C$2,Riy!$B$3:$AQ$66,25,0)="","",VLOOKUP(Dinamika!$C$2,Riy!$B$3:$AQ$66,25,0))</f>
        <v>#N/A</v>
      </c>
      <c r="W11" s="15" t="e">
        <f>IF(VLOOKUP(Dinamika!$C$2,Riy!$B$3:$AQ$66,26,0)="","",VLOOKUP(Dinamika!$C$2,Riy!$B$3:$AQ$66,26,0))</f>
        <v>#N/A</v>
      </c>
      <c r="X11" s="15" t="e">
        <f>IF(VLOOKUP(Dinamika!$C$2,Riy!$B$3:$AQ$66,27,0)="","",VLOOKUP(Dinamika!$C$2,Riy!$B$3:$AQ$66,27,0))</f>
        <v>#N/A</v>
      </c>
      <c r="Y11" s="15" t="e">
        <f>IF(VLOOKUP(Dinamika!$C$2,Riy!$B$3:$AQ$66,28,0)="","",VLOOKUP(Dinamika!$C$2,Riy!$B$3:$AQ$66,28,0))</f>
        <v>#N/A</v>
      </c>
      <c r="Z11" s="15" t="e">
        <f>IF(VLOOKUP(Dinamika!$C$2,Riy!$B$3:$AQ$66,29,0)="","",VLOOKUP(Dinamika!$C$2,Riy!$B$3:$AQ$66,29,0))</f>
        <v>#N/A</v>
      </c>
      <c r="AA11" s="15" t="e">
        <f>IF(VLOOKUP(Dinamika!$C$2,Riy!$B$3:$AQ$66,30,0)="","",VLOOKUP(Dinamika!$C$2,Riy!$B$3:$AQ$66,30,0))</f>
        <v>#N/A</v>
      </c>
      <c r="AB11" s="151" t="e">
        <f>IF(VLOOKUP(Dinamika!$C$2,Riy!$B$3:$AQ$66,31,0)="","",VLOOKUP(Dinamika!$C$2,Riy!$B$3:$AQ$66,31,0))</f>
        <v>#N/A</v>
      </c>
      <c r="AC11" s="15" t="e">
        <f>IF(VLOOKUP(Dinamika!$C$2,Riy!$B$3:$AQ$66,32,0)="","",VLOOKUP(Dinamika!$C$2,Riy!$B$3:$AQ$66,32,0))</f>
        <v>#N/A</v>
      </c>
      <c r="AD11" s="167" t="e">
        <f>IF(VLOOKUP(Dinamika!$C$2,Riy!$B$3:$AQ$66,33,0)="","",VLOOKUP(Dinamika!$C$2,Riy!$B$3:$AQ$66,33,0))</f>
        <v>#N/A</v>
      </c>
      <c r="AE11" s="15" t="e">
        <f>IF(VLOOKUP(Dinamika!$C$2,Riy!$B$3:$AQ$66,34,0)="","",VLOOKUP(Dinamika!$C$2,Riy!$B$3:$AQ$66,34,0))</f>
        <v>#N/A</v>
      </c>
      <c r="AF11" s="15" t="e">
        <f>IF(VLOOKUP(Dinamika!$C$2,Riy!$B$3:$AQ$66,35,0)="","",VLOOKUP(Dinamika!$C$2,Riy!$B$3:$AQ$66,35,0))</f>
        <v>#N/A</v>
      </c>
      <c r="AG11" s="17" t="e">
        <f>IF(VLOOKUP(Dinamika!$C$2,Riy!$B$3:$AQ$66,36,0)="","",VLOOKUP(Dinamika!$C$2,Riy!$B$3:$AQ$66,36,0))</f>
        <v>#N/A</v>
      </c>
      <c r="AH11" s="18" t="e">
        <f>IF(VLOOKUP(Dinamika!$C$2,Riy!$B$3:$AQ$66,37,0)="","",VLOOKUP(Dinamika!$C$2,Riy!$B$3:$AQ$66,37,0))</f>
        <v>#N/A</v>
      </c>
      <c r="AI11" s="18" t="e">
        <f>IF(VLOOKUP(Dinamika!$C$2,Riy!$B$3:$AQ$66,38,0)="","",VLOOKUP(Dinamika!$C$2,Riy!$B$3:$AQ$66,38,0))</f>
        <v>#N/A</v>
      </c>
      <c r="AJ11" s="18" t="e">
        <f>IF(VLOOKUP(Dinamika!$C$2,Riy!$B$3:$AQ$66,39,0)="","",VLOOKUP(Dinamika!$C$2,Riy!$B$3:$AQ$66,39,0))</f>
        <v>#N/A</v>
      </c>
      <c r="AK11" s="18" t="e">
        <f>IF(VLOOKUP(Dinamika!$C$2,Riy!$B$3:$AQ$66,40,0)="","",VLOOKUP(Dinamika!$C$2,Riy!$B$3:$AQ$66,40,0))</f>
        <v>#N/A</v>
      </c>
      <c r="AL11" s="171" t="e">
        <f>IF(VLOOKUP(Dinamika!$C$2,Riy!$B$3:$AQ$66,41,0)="","",VLOOKUP(Dinamika!$C$2,Riy!$B$3:$AQ$66,41,0))</f>
        <v>#N/A</v>
      </c>
      <c r="AM11" s="155" t="e">
        <f>IF(VLOOKUP(Dinamika!$C$2,Riy!$B$3:$AQ$66,42,0)="","",VLOOKUP(Dinamika!$C$2,Riy!$B$3:$AQ$66,42,0))</f>
        <v>#N/A</v>
      </c>
    </row>
    <row r="12" spans="1:40" ht="18.2" customHeight="1" x14ac:dyDescent="0.25">
      <c r="A12" s="62"/>
      <c r="B12" s="161">
        <f>IF(Müəllimlər!B10="","",Müəllimlər!B10)</f>
        <v>107</v>
      </c>
      <c r="C12" s="161" t="str">
        <f>IF(Müəllimlər!C10="","",Müəllimlər!C10)</f>
        <v>İnformatika</v>
      </c>
      <c r="D12" s="161" t="str">
        <f>IF(Müəllimlər!D10="","",Müəllimlər!D10)</f>
        <v>Həmidova Yazgül Bayram</v>
      </c>
      <c r="E12" s="161">
        <f>IF(Müəllimlər!E10="","",Müəllimlər!E10)</f>
        <v>34</v>
      </c>
      <c r="F12" s="122" t="e">
        <f>VLOOKUP(Dinamika!$C$2,İnf!$B$3:$AQ$66,9,0)</f>
        <v>#N/A</v>
      </c>
      <c r="G12" s="15" t="e">
        <f>IF(VLOOKUP(Dinamika!$C$2,İnf!$B$3:$AQ$66,10,0)="","",VLOOKUP(Dinamika!$C$2,İnf!$B$3:$AQ$66,10,0))</f>
        <v>#N/A</v>
      </c>
      <c r="H12" s="15" t="e">
        <f>IF(VLOOKUP(Dinamika!$C$2,İnf!$B$3:$AQ$66,11,0)="","",VLOOKUP(Dinamika!$C$2,İnf!$B$3:$AQ$66,11,0))</f>
        <v>#N/A</v>
      </c>
      <c r="I12" s="15" t="e">
        <f>IF(VLOOKUP(Dinamika!$C$2,İnf!$B$3:$AQ$66,12,0)="","",VLOOKUP(Dinamika!$C$2,İnf!$B$3:$AQ$66,12,0))</f>
        <v>#N/A</v>
      </c>
      <c r="J12" s="15" t="e">
        <f>IF(VLOOKUP(Dinamika!$C$2,İnf!$B$3:$AQ$66,13,0)="","",VLOOKUP(Dinamika!$C$2,İnf!$B$3:$AQ$66,13,0))</f>
        <v>#N/A</v>
      </c>
      <c r="K12" s="15" t="e">
        <f>IF(VLOOKUP(Dinamika!$C$2,İnf!$B$3:$AQ$66,14,0)="","",VLOOKUP(Dinamika!$C$2,İnf!$B$3:$AQ$66,14,0))</f>
        <v>#N/A</v>
      </c>
      <c r="L12" s="15" t="e">
        <f>IF(VLOOKUP(Dinamika!$C$2,İnf!$B$3:$AQ$66,15,0)="","",VLOOKUP(Dinamika!$C$2,İnf!$B$3:$AQ$66,15,0))</f>
        <v>#N/A</v>
      </c>
      <c r="M12" s="15" t="e">
        <f>IF(VLOOKUP(Dinamika!$C$2,İnf!$B$3:$AQ$66,16,0)="","",VLOOKUP(Dinamika!$C$2,İnf!$B$3:$AQ$66,16,0))</f>
        <v>#N/A</v>
      </c>
      <c r="N12" s="15" t="e">
        <f>IF(VLOOKUP(Dinamika!$C$2,İnf!$B$3:$AQ$66,17,0)="","",VLOOKUP(Dinamika!$C$2,İnf!$B$3:$AQ$66,17,0))</f>
        <v>#N/A</v>
      </c>
      <c r="O12" s="151" t="e">
        <f>IF(VLOOKUP(Dinamika!$C$2,İnf!$B$3:$AQ$66,18,0)="","",VLOOKUP(Dinamika!$C$2,İnf!$B$3:$AQ$66,18,0))</f>
        <v>#N/A</v>
      </c>
      <c r="P12" s="15" t="e">
        <f>IF(VLOOKUP(Dinamika!$C$2,İnf!$B$3:$AQ$66,19,0)="","",VLOOKUP(Dinamika!$C$2,İnf!$B$3:$AQ$66,19,0))</f>
        <v>#N/A</v>
      </c>
      <c r="Q12" s="167" t="e">
        <f>IF(VLOOKUP(Dinamika!$C$2,İnf!$B$3:$AQ$66,20,0)="","",VLOOKUP(Dinamika!$C$2,İnf!$B$3:$AQ$66,20,0))</f>
        <v>#N/A</v>
      </c>
      <c r="R12" s="15" t="e">
        <f>IF(VLOOKUP(Dinamika!$C$2,İnf!$B$3:$AQ$66,21,0)="","",VLOOKUP(Dinamika!$C$2,İnf!$B$3:$AQ$66,21,0))</f>
        <v>#N/A</v>
      </c>
      <c r="S12" s="15" t="e">
        <f>IF(VLOOKUP(Dinamika!$C$2,İnf!$B$3:$AQ$66,22,0)="","",VLOOKUP(Dinamika!$C$2,İnf!$B$3:$AQ$66,22,0))</f>
        <v>#N/A</v>
      </c>
      <c r="T12" s="17" t="e">
        <f>IF(VLOOKUP(Dinamika!$C$2,İnf!$B$3:$AQ$66,23,0)="","",VLOOKUP(Dinamika!$C$2,İnf!$B$3:$AQ$66,23,0))</f>
        <v>#N/A</v>
      </c>
      <c r="U12" s="15" t="e">
        <f>IF(VLOOKUP(Dinamika!$C$2,İnf!$B$3:$AQ$66,24,0)="","",VLOOKUP(Dinamika!$C$2,İnf!$B$3:$AQ$66,24,0))</f>
        <v>#N/A</v>
      </c>
      <c r="V12" s="15" t="e">
        <f>IF(VLOOKUP(Dinamika!$C$2,İnf!$B$3:$AQ$66,25,0)="","",VLOOKUP(Dinamika!$C$2,İnf!$B$3:$AQ$66,25,0))</f>
        <v>#N/A</v>
      </c>
      <c r="W12" s="15" t="e">
        <f>IF(VLOOKUP(Dinamika!$C$2,İnf!$B$3:$AQ$66,26,0)="","",VLOOKUP(Dinamika!$C$2,İnf!$B$3:$AQ$66,26,0))</f>
        <v>#N/A</v>
      </c>
      <c r="X12" s="15" t="e">
        <f>IF(VLOOKUP(Dinamika!$C$2,İnf!$B$3:$AQ$66,27,0)="","",VLOOKUP(Dinamika!$C$2,İnf!$B$3:$AQ$66,27,0))</f>
        <v>#N/A</v>
      </c>
      <c r="Y12" s="15" t="e">
        <f>IF(VLOOKUP(Dinamika!$C$2,İnf!$B$3:$AQ$66,28,0)="","",VLOOKUP(Dinamika!$C$2,İnf!$B$3:$AQ$66,28,0))</f>
        <v>#N/A</v>
      </c>
      <c r="Z12" s="15" t="e">
        <f>IF(VLOOKUP(Dinamika!$C$2,İnf!$B$3:$AQ$66,29,0)="","",VLOOKUP(Dinamika!$C$2,İnf!$B$3:$AQ$66,29,0))</f>
        <v>#N/A</v>
      </c>
      <c r="AA12" s="15" t="e">
        <f>IF(VLOOKUP(Dinamika!$C$2,İnf!$B$3:$AQ$66,30,0)="","",VLOOKUP(Dinamika!$C$2,İnf!$B$3:$AQ$66,30,0))</f>
        <v>#N/A</v>
      </c>
      <c r="AB12" s="151" t="e">
        <f>IF(VLOOKUP(Dinamika!$C$2,İnf!$B$3:$AQ$66,31,0)="","",VLOOKUP(Dinamika!$C$2,İnf!$B$3:$AQ$66,31,0))</f>
        <v>#N/A</v>
      </c>
      <c r="AC12" s="15" t="e">
        <f>IF(VLOOKUP(Dinamika!$C$2,İnf!$B$3:$AQ$66,32,0)="","",VLOOKUP(Dinamika!$C$2,İnf!$B$3:$AQ$66,32,0))</f>
        <v>#N/A</v>
      </c>
      <c r="AD12" s="167" t="e">
        <f>IF(VLOOKUP(Dinamika!$C$2,İnf!$B$3:$AQ$66,33,0)="","",VLOOKUP(Dinamika!$C$2,İnf!$B$3:$AQ$66,33,0))</f>
        <v>#N/A</v>
      </c>
      <c r="AE12" s="15" t="e">
        <f>IF(VLOOKUP(Dinamika!$C$2,İnf!$B$3:$AQ$66,34,0)="","",VLOOKUP(Dinamika!$C$2,İnf!$B$3:$AQ$66,34,0))</f>
        <v>#N/A</v>
      </c>
      <c r="AF12" s="15" t="e">
        <f>IF(VLOOKUP(Dinamika!$C$2,İnf!$B$3:$AQ$66,35,0)="","",VLOOKUP(Dinamika!$C$2,İnf!$B$3:$AQ$66,35,0))</f>
        <v>#N/A</v>
      </c>
      <c r="AG12" s="17" t="e">
        <f>IF(VLOOKUP(Dinamika!$C$2,İnf!$B$3:$AQ$66,36,0)="","",VLOOKUP(Dinamika!$C$2,İnf!$B$3:$AQ$66,36,0))</f>
        <v>#N/A</v>
      </c>
      <c r="AH12" s="18" t="e">
        <f>IF(VLOOKUP(Dinamika!$C$2,İnf!$B$3:$AQ$66,37,0)="","",VLOOKUP(Dinamika!$C$2,İnf!$B$3:$AQ$66,37,0))</f>
        <v>#N/A</v>
      </c>
      <c r="AI12" s="18" t="e">
        <f>IF(VLOOKUP(Dinamika!$C$2,İnf!$B$3:$AQ$66,38,0)="","",VLOOKUP(Dinamika!$C$2,İnf!$B$3:$AQ$66,38,0))</f>
        <v>#N/A</v>
      </c>
      <c r="AJ12" s="18" t="e">
        <f>IF(VLOOKUP(Dinamika!$C$2,İnf!$B$3:$AQ$66,39,0)="","",VLOOKUP(Dinamika!$C$2,İnf!$B$3:$AQ$66,39,0))</f>
        <v>#N/A</v>
      </c>
      <c r="AK12" s="18" t="e">
        <f>IF(VLOOKUP(Dinamika!$C$2,İnf!$B$3:$AQ$66,40,0)="","",VLOOKUP(Dinamika!$C$2,İnf!$B$3:$AQ$66,40,0))</f>
        <v>#N/A</v>
      </c>
      <c r="AL12" s="171" t="e">
        <f>IF(VLOOKUP(Dinamika!$C$2,İnf!$B$3:$AQ$66,41,0)="","",VLOOKUP(Dinamika!$C$2,İnf!$B$3:$AQ$66,41,0))</f>
        <v>#N/A</v>
      </c>
      <c r="AM12" s="155" t="e">
        <f>IF(VLOOKUP(Dinamika!$C$2,İnf!$B$3:$AQ$66,42,0)="","",VLOOKUP(Dinamika!$C$2,İnf!$B$3:$AQ$66,42,0))</f>
        <v>#N/A</v>
      </c>
    </row>
    <row r="13" spans="1:40" ht="18.2" customHeight="1" x14ac:dyDescent="0.25">
      <c r="A13" s="62"/>
      <c r="B13" s="161">
        <f>IF(Müəllimlər!B11="","",Müəllimlər!B11)</f>
        <v>108</v>
      </c>
      <c r="C13" s="161" t="str">
        <f>IF(Müəllimlər!C11="","",Müəllimlər!C11)</f>
        <v>Azərbaycan tarixi</v>
      </c>
      <c r="D13" s="161" t="str">
        <f>IF(Müəllimlər!D11="","",Müəllimlər!D11)</f>
        <v>Bayramova Tahirə Müslüm</v>
      </c>
      <c r="E13" s="161">
        <f>IF(Müəllimlər!E11="","",Müəllimlər!E11)</f>
        <v>34</v>
      </c>
      <c r="F13" s="122" t="e">
        <f>VLOOKUP(Dinamika!$C$2,'Az-t'!$B$3:$AQ$66,9,0)</f>
        <v>#N/A</v>
      </c>
      <c r="G13" s="15" t="e">
        <f>IF(VLOOKUP(Dinamika!$C$2,'Az-t'!$B$3:$AQ$66,10,0)="","",VLOOKUP(Dinamika!$C$2,'Az-t'!$B$3:$AQ$66,10,0))</f>
        <v>#N/A</v>
      </c>
      <c r="H13" s="15" t="e">
        <f>IF(VLOOKUP(Dinamika!$C$2,'Az-t'!$B$3:$AQ$66,11,0)="","",VLOOKUP(Dinamika!$C$2,'Az-t'!$B$3:$AQ$66,11,0))</f>
        <v>#N/A</v>
      </c>
      <c r="I13" s="15" t="e">
        <f>IF(VLOOKUP(Dinamika!$C$2,'Az-t'!$B$3:$AQ$66,12,0)="","",VLOOKUP(Dinamika!$C$2,'Az-t'!$B$3:$AQ$66,12,0))</f>
        <v>#N/A</v>
      </c>
      <c r="J13" s="15" t="e">
        <f>IF(VLOOKUP(Dinamika!$C$2,'Az-t'!$B$3:$AQ$66,13,0)="","",VLOOKUP(Dinamika!$C$2,'Az-t'!$B$3:$AQ$66,13,0))</f>
        <v>#N/A</v>
      </c>
      <c r="K13" s="15" t="e">
        <f>IF(VLOOKUP(Dinamika!$C$2,'Az-t'!$B$3:$AQ$66,14,0)="","",VLOOKUP(Dinamika!$C$2,'Az-t'!$B$3:$AQ$66,14,0))</f>
        <v>#N/A</v>
      </c>
      <c r="L13" s="15" t="e">
        <f>IF(VLOOKUP(Dinamika!$C$2,'Az-t'!$B$3:$AQ$66,15,0)="","",VLOOKUP(Dinamika!$C$2,'Az-t'!$B$3:$AQ$66,15,0))</f>
        <v>#N/A</v>
      </c>
      <c r="M13" s="15" t="e">
        <f>IF(VLOOKUP(Dinamika!$C$2,'Az-t'!$B$3:$AQ$66,16,0)="","",VLOOKUP(Dinamika!$C$2,'Az-t'!$B$3:$AQ$66,16,0))</f>
        <v>#N/A</v>
      </c>
      <c r="N13" s="15" t="e">
        <f>IF(VLOOKUP(Dinamika!$C$2,'Az-t'!$B$3:$AQ$66,17,0)="","",VLOOKUP(Dinamika!$C$2,'Az-t'!$B$3:$AQ$66,17,0))</f>
        <v>#N/A</v>
      </c>
      <c r="O13" s="151" t="e">
        <f>IF(VLOOKUP(Dinamika!$C$2,'Az-t'!$B$3:$AQ$66,18,0)="","",VLOOKUP(Dinamika!$C$2,'Az-t'!$B$3:$AQ$66,18,0))</f>
        <v>#N/A</v>
      </c>
      <c r="P13" s="15" t="e">
        <f>IF(VLOOKUP(Dinamika!$C$2,'Az-t'!$B$3:$AQ$66,19,0)="","",VLOOKUP(Dinamika!$C$2,'Az-t'!$B$3:$AQ$66,19,0))</f>
        <v>#N/A</v>
      </c>
      <c r="Q13" s="167" t="e">
        <f>IF(VLOOKUP(Dinamika!$C$2,'Az-t'!$B$3:$AQ$66,20,0)="","",VLOOKUP(Dinamika!$C$2,'Az-t'!$B$3:$AQ$66,20,0))</f>
        <v>#N/A</v>
      </c>
      <c r="R13" s="15" t="e">
        <f>IF(VLOOKUP(Dinamika!$C$2,'Az-t'!$B$3:$AQ$66,21,0)="","",VLOOKUP(Dinamika!$C$2,'Az-t'!$B$3:$AQ$66,21,0))</f>
        <v>#N/A</v>
      </c>
      <c r="S13" s="15" t="e">
        <f>IF(VLOOKUP(Dinamika!$C$2,'Az-t'!$B$3:$AQ$66,22,0)="","",VLOOKUP(Dinamika!$C$2,'Az-t'!$B$3:$AQ$66,22,0))</f>
        <v>#N/A</v>
      </c>
      <c r="T13" s="17" t="e">
        <f>IF(VLOOKUP(Dinamika!$C$2,'Az-t'!$B$3:$AQ$66,23,0)="","",VLOOKUP(Dinamika!$C$2,'Az-t'!$B$3:$AQ$66,23,0))</f>
        <v>#N/A</v>
      </c>
      <c r="U13" s="15" t="e">
        <f>IF(VLOOKUP(Dinamika!$C$2,'Az-t'!$B$3:$AQ$66,24,0)="","",VLOOKUP(Dinamika!$C$2,'Az-t'!$B$3:$AQ$66,24,0))</f>
        <v>#N/A</v>
      </c>
      <c r="V13" s="15" t="e">
        <f>IF(VLOOKUP(Dinamika!$C$2,'Az-t'!$B$3:$AQ$66,25,0)="","",VLOOKUP(Dinamika!$C$2,'Az-t'!$B$3:$AQ$66,25,0))</f>
        <v>#N/A</v>
      </c>
      <c r="W13" s="15" t="e">
        <f>IF(VLOOKUP(Dinamika!$C$2,'Az-t'!$B$3:$AQ$66,26,0)="","",VLOOKUP(Dinamika!$C$2,'Az-t'!$B$3:$AQ$66,26,0))</f>
        <v>#N/A</v>
      </c>
      <c r="X13" s="15" t="e">
        <f>IF(VLOOKUP(Dinamika!$C$2,'Az-t'!$B$3:$AQ$66,27,0)="","",VLOOKUP(Dinamika!$C$2,'Az-t'!$B$3:$AQ$66,27,0))</f>
        <v>#N/A</v>
      </c>
      <c r="Y13" s="15" t="e">
        <f>IF(VLOOKUP(Dinamika!$C$2,'Az-t'!$B$3:$AQ$66,28,0)="","",VLOOKUP(Dinamika!$C$2,'Az-t'!$B$3:$AQ$66,28,0))</f>
        <v>#N/A</v>
      </c>
      <c r="Z13" s="15" t="e">
        <f>IF(VLOOKUP(Dinamika!$C$2,'Az-t'!$B$3:$AQ$66,29,0)="","",VLOOKUP(Dinamika!$C$2,'Az-t'!$B$3:$AQ$66,29,0))</f>
        <v>#N/A</v>
      </c>
      <c r="AA13" s="15" t="e">
        <f>IF(VLOOKUP(Dinamika!$C$2,'Az-t'!$B$3:$AQ$66,30,0)="","",VLOOKUP(Dinamika!$C$2,'Az-t'!$B$3:$AQ$66,30,0))</f>
        <v>#N/A</v>
      </c>
      <c r="AB13" s="151" t="e">
        <f>IF(VLOOKUP(Dinamika!$C$2,'Az-t'!$B$3:$AQ$66,31,0)="","",VLOOKUP(Dinamika!$C$2,'Az-t'!$B$3:$AQ$66,31,0))</f>
        <v>#N/A</v>
      </c>
      <c r="AC13" s="15" t="e">
        <f>IF(VLOOKUP(Dinamika!$C$2,'Az-t'!$B$3:$AQ$66,32,0)="","",VLOOKUP(Dinamika!$C$2,'Az-t'!$B$3:$AQ$66,32,0))</f>
        <v>#N/A</v>
      </c>
      <c r="AD13" s="167" t="e">
        <f>IF(VLOOKUP(Dinamika!$C$2,'Az-t'!$B$3:$AQ$66,33,0)="","",VLOOKUP(Dinamika!$C$2,'Az-t'!$B$3:$AQ$66,33,0))</f>
        <v>#N/A</v>
      </c>
      <c r="AE13" s="15" t="e">
        <f>IF(VLOOKUP(Dinamika!$C$2,'Az-t'!$B$3:$AQ$66,34,0)="","",VLOOKUP(Dinamika!$C$2,'Az-t'!$B$3:$AQ$66,34,0))</f>
        <v>#N/A</v>
      </c>
      <c r="AF13" s="15" t="e">
        <f>IF(VLOOKUP(Dinamika!$C$2,'Az-t'!$B$3:$AQ$66,35,0)="","",VLOOKUP(Dinamika!$C$2,'Az-t'!$B$3:$AQ$66,35,0))</f>
        <v>#N/A</v>
      </c>
      <c r="AG13" s="17" t="e">
        <f>IF(VLOOKUP(Dinamika!$C$2,'Az-t'!$B$3:$AQ$66,36,0)="","",VLOOKUP(Dinamika!$C$2,'Az-t'!$B$3:$AQ$66,36,0))</f>
        <v>#N/A</v>
      </c>
      <c r="AH13" s="18" t="e">
        <f>IF(VLOOKUP(Dinamika!$C$2,'Az-t'!$B$3:$AQ$66,37,0)="","",VLOOKUP(Dinamika!$C$2,'Az-t'!$B$3:$AQ$66,37,0))</f>
        <v>#N/A</v>
      </c>
      <c r="AI13" s="18" t="e">
        <f>IF(VLOOKUP(Dinamika!$C$2,'Az-t'!$B$3:$AQ$66,38,0)="","",VLOOKUP(Dinamika!$C$2,'Az-t'!$B$3:$AQ$66,38,0))</f>
        <v>#N/A</v>
      </c>
      <c r="AJ13" s="18" t="e">
        <f>IF(VLOOKUP(Dinamika!$C$2,'Az-t'!$B$3:$AQ$66,39,0)="","",VLOOKUP(Dinamika!$C$2,'Az-t'!$B$3:$AQ$66,39,0))</f>
        <v>#N/A</v>
      </c>
      <c r="AK13" s="18" t="e">
        <f>IF(VLOOKUP(Dinamika!$C$2,'Az-t'!$B$3:$AQ$66,40,0)="","",VLOOKUP(Dinamika!$C$2,'Az-t'!$B$3:$AQ$66,40,0))</f>
        <v>#N/A</v>
      </c>
      <c r="AL13" s="171" t="e">
        <f>IF(VLOOKUP(Dinamika!$C$2,'Az-t'!$B$3:$AQ$66,41,0)="","",VLOOKUP(Dinamika!$C$2,'Az-t'!$B$3:$AQ$66,41,0))</f>
        <v>#N/A</v>
      </c>
      <c r="AM13" s="155" t="e">
        <f>IF(VLOOKUP(Dinamika!$C$2,'Az-t'!$B$3:$AQ$66,42,0)="","",VLOOKUP(Dinamika!$C$2,'Az-t'!$B$3:$AQ$66,42,0))</f>
        <v>#N/A</v>
      </c>
    </row>
    <row r="14" spans="1:40" ht="18.2" customHeight="1" x14ac:dyDescent="0.25">
      <c r="A14" s="62"/>
      <c r="B14" s="161">
        <f>IF(Müəllimlər!B12="","",Müəllimlər!B12)</f>
        <v>109</v>
      </c>
      <c r="C14" s="161" t="str">
        <f>IF(Müəllimlər!C12="","",Müəllimlər!C12)</f>
        <v>Ümumi tarix</v>
      </c>
      <c r="D14" s="161" t="str">
        <f>IF(Müəllimlər!D12="","",Müəllimlər!D12)</f>
        <v>Bayramova Tahirə Müslüm</v>
      </c>
      <c r="E14" s="161">
        <f>IF(Müəllimlər!E12="","",Müəllimlər!E12)</f>
        <v>34</v>
      </c>
      <c r="F14" s="122" t="e">
        <f>VLOOKUP(Dinamika!$C$2,'Ü-t'!$B$3:$AQ$66,9,0)</f>
        <v>#N/A</v>
      </c>
      <c r="G14" s="15" t="e">
        <f>IF(VLOOKUP(Dinamika!$C$2,'Ü-t'!$B$3:$AQ$66,10,0)="","",VLOOKUP(Dinamika!$C$2,'Ü-t'!$B$3:$AQ$66,10,0))</f>
        <v>#N/A</v>
      </c>
      <c r="H14" s="15" t="e">
        <f>IF(VLOOKUP(Dinamika!$C$2,'Ü-t'!$B$3:$AQ$66,11,0)="","",VLOOKUP(Dinamika!$C$2,'Ü-t'!$B$3:$AQ$66,11,0))</f>
        <v>#N/A</v>
      </c>
      <c r="I14" s="15" t="e">
        <f>IF(VLOOKUP(Dinamika!$C$2,'Ü-t'!$B$3:$AQ$66,12,0)="","",VLOOKUP(Dinamika!$C$2,'Ü-t'!$B$3:$AQ$66,12,0))</f>
        <v>#N/A</v>
      </c>
      <c r="J14" s="15" t="e">
        <f>IF(VLOOKUP(Dinamika!$C$2,'Ü-t'!$B$3:$AQ$66,13,0)="","",VLOOKUP(Dinamika!$C$2,'Ü-t'!$B$3:$AQ$66,13,0))</f>
        <v>#N/A</v>
      </c>
      <c r="K14" s="15" t="e">
        <f>IF(VLOOKUP(Dinamika!$C$2,'Ü-t'!$B$3:$AQ$66,14,0)="","",VLOOKUP(Dinamika!$C$2,'Ü-t'!$B$3:$AQ$66,14,0))</f>
        <v>#N/A</v>
      </c>
      <c r="L14" s="15" t="e">
        <f>IF(VLOOKUP(Dinamika!$C$2,'Ü-t'!$B$3:$AQ$66,15,0)="","",VLOOKUP(Dinamika!$C$2,'Ü-t'!$B$3:$AQ$66,15,0))</f>
        <v>#N/A</v>
      </c>
      <c r="M14" s="15" t="e">
        <f>IF(VLOOKUP(Dinamika!$C$2,'Ü-t'!$B$3:$AQ$66,16,0)="","",VLOOKUP(Dinamika!$C$2,'Ü-t'!$B$3:$AQ$66,16,0))</f>
        <v>#N/A</v>
      </c>
      <c r="N14" s="15" t="e">
        <f>IF(VLOOKUP(Dinamika!$C$2,'Ü-t'!$B$3:$AQ$66,17,0)="","",VLOOKUP(Dinamika!$C$2,'Ü-t'!$B$3:$AQ$66,17,0))</f>
        <v>#N/A</v>
      </c>
      <c r="O14" s="151" t="e">
        <f>IF(VLOOKUP(Dinamika!$C$2,'Ü-t'!$B$3:$AQ$66,18,0)="","",VLOOKUP(Dinamika!$C$2,'Ü-t'!$B$3:$AQ$66,18,0))</f>
        <v>#N/A</v>
      </c>
      <c r="P14" s="15" t="e">
        <f>IF(VLOOKUP(Dinamika!$C$2,'Ü-t'!$B$3:$AQ$66,19,0)="","",VLOOKUP(Dinamika!$C$2,'Ü-t'!$B$3:$AQ$66,19,0))</f>
        <v>#N/A</v>
      </c>
      <c r="Q14" s="167" t="e">
        <f>IF(VLOOKUP(Dinamika!$C$2,'Ü-t'!$B$3:$AQ$66,20,0)="","",VLOOKUP(Dinamika!$C$2,'Ü-t'!$B$3:$AQ$66,20,0))</f>
        <v>#N/A</v>
      </c>
      <c r="R14" s="15" t="e">
        <f>IF(VLOOKUP(Dinamika!$C$2,'Ü-t'!$B$3:$AQ$66,21,0)="","",VLOOKUP(Dinamika!$C$2,'Ü-t'!$B$3:$AQ$66,21,0))</f>
        <v>#N/A</v>
      </c>
      <c r="S14" s="15" t="e">
        <f>IF(VLOOKUP(Dinamika!$C$2,'Ü-t'!$B$3:$AQ$66,22,0)="","",VLOOKUP(Dinamika!$C$2,'Ü-t'!$B$3:$AQ$66,22,0))</f>
        <v>#N/A</v>
      </c>
      <c r="T14" s="17" t="e">
        <f>IF(VLOOKUP(Dinamika!$C$2,'Ü-t'!$B$3:$AQ$66,23,0)="","",VLOOKUP(Dinamika!$C$2,'Ü-t'!$B$3:$AQ$66,23,0))</f>
        <v>#N/A</v>
      </c>
      <c r="U14" s="15" t="e">
        <f>IF(VLOOKUP(Dinamika!$C$2,'Ü-t'!$B$3:$AQ$66,24,0)="","",VLOOKUP(Dinamika!$C$2,'Ü-t'!$B$3:$AQ$66,24,0))</f>
        <v>#N/A</v>
      </c>
      <c r="V14" s="15" t="e">
        <f>IF(VLOOKUP(Dinamika!$C$2,'Ü-t'!$B$3:$AQ$66,25,0)="","",VLOOKUP(Dinamika!$C$2,'Ü-t'!$B$3:$AQ$66,25,0))</f>
        <v>#N/A</v>
      </c>
      <c r="W14" s="15" t="e">
        <f>IF(VLOOKUP(Dinamika!$C$2,'Ü-t'!$B$3:$AQ$66,26,0)="","",VLOOKUP(Dinamika!$C$2,'Ü-t'!$B$3:$AQ$66,26,0))</f>
        <v>#N/A</v>
      </c>
      <c r="X14" s="15" t="e">
        <f>IF(VLOOKUP(Dinamika!$C$2,'Ü-t'!$B$3:$AQ$66,27,0)="","",VLOOKUP(Dinamika!$C$2,'Ü-t'!$B$3:$AQ$66,27,0))</f>
        <v>#N/A</v>
      </c>
      <c r="Y14" s="15" t="e">
        <f>IF(VLOOKUP(Dinamika!$C$2,'Ü-t'!$B$3:$AQ$66,28,0)="","",VLOOKUP(Dinamika!$C$2,'Ü-t'!$B$3:$AQ$66,28,0))</f>
        <v>#N/A</v>
      </c>
      <c r="Z14" s="15" t="e">
        <f>IF(VLOOKUP(Dinamika!$C$2,'Ü-t'!$B$3:$AQ$66,29,0)="","",VLOOKUP(Dinamika!$C$2,'Ü-t'!$B$3:$AQ$66,29,0))</f>
        <v>#N/A</v>
      </c>
      <c r="AA14" s="15" t="e">
        <f>IF(VLOOKUP(Dinamika!$C$2,'Ü-t'!$B$3:$AQ$66,30,0)="","",VLOOKUP(Dinamika!$C$2,'Ü-t'!$B$3:$AQ$66,30,0))</f>
        <v>#N/A</v>
      </c>
      <c r="AB14" s="151" t="e">
        <f>IF(VLOOKUP(Dinamika!$C$2,'Ü-t'!$B$3:$AQ$66,31,0)="","",VLOOKUP(Dinamika!$C$2,'Ü-t'!$B$3:$AQ$66,31,0))</f>
        <v>#N/A</v>
      </c>
      <c r="AC14" s="15" t="e">
        <f>IF(VLOOKUP(Dinamika!$C$2,'Ü-t'!$B$3:$AQ$66,32,0)="","",VLOOKUP(Dinamika!$C$2,'Ü-t'!$B$3:$AQ$66,32,0))</f>
        <v>#N/A</v>
      </c>
      <c r="AD14" s="167" t="e">
        <f>IF(VLOOKUP(Dinamika!$C$2,'Ü-t'!$B$3:$AQ$66,33,0)="","",VLOOKUP(Dinamika!$C$2,'Ü-t'!$B$3:$AQ$66,33,0))</f>
        <v>#N/A</v>
      </c>
      <c r="AE14" s="15" t="e">
        <f>IF(VLOOKUP(Dinamika!$C$2,'Ü-t'!$B$3:$AQ$66,34,0)="","",VLOOKUP(Dinamika!$C$2,'Ü-t'!$B$3:$AQ$66,34,0))</f>
        <v>#N/A</v>
      </c>
      <c r="AF14" s="15" t="e">
        <f>IF(VLOOKUP(Dinamika!$C$2,'Ü-t'!$B$3:$AQ$66,35,0)="","",VLOOKUP(Dinamika!$C$2,'Ü-t'!$B$3:$AQ$66,35,0))</f>
        <v>#N/A</v>
      </c>
      <c r="AG14" s="17" t="e">
        <f>IF(VLOOKUP(Dinamika!$C$2,'Ü-t'!$B$3:$AQ$66,36,0)="","",VLOOKUP(Dinamika!$C$2,'Ü-t'!$B$3:$AQ$66,36,0))</f>
        <v>#N/A</v>
      </c>
      <c r="AH14" s="18" t="e">
        <f>IF(VLOOKUP(Dinamika!$C$2,'Ü-t'!$B$3:$AQ$66,37,0)="","",VLOOKUP(Dinamika!$C$2,'Ü-t'!$B$3:$AQ$66,37,0))</f>
        <v>#N/A</v>
      </c>
      <c r="AI14" s="18" t="e">
        <f>IF(VLOOKUP(Dinamika!$C$2,'Ü-t'!$B$3:$AQ$66,38,0)="","",VLOOKUP(Dinamika!$C$2,'Ü-t'!$B$3:$AQ$66,38,0))</f>
        <v>#N/A</v>
      </c>
      <c r="AJ14" s="18" t="e">
        <f>IF(VLOOKUP(Dinamika!$C$2,'Ü-t'!$B$3:$AQ$66,39,0)="","",VLOOKUP(Dinamika!$C$2,'Ü-t'!$B$3:$AQ$66,39,0))</f>
        <v>#N/A</v>
      </c>
      <c r="AK14" s="18" t="e">
        <f>IF(VLOOKUP(Dinamika!$C$2,'Ü-t'!$B$3:$AQ$66,40,0)="","",VLOOKUP(Dinamika!$C$2,'Ü-t'!$B$3:$AQ$66,40,0))</f>
        <v>#N/A</v>
      </c>
      <c r="AL14" s="171" t="e">
        <f>IF(VLOOKUP(Dinamika!$C$2,'Ü-t'!$B$3:$AQ$66,41,0)="","",VLOOKUP(Dinamika!$C$2,'Ü-t'!$B$3:$AQ$66,41,0))</f>
        <v>#N/A</v>
      </c>
      <c r="AM14" s="155" t="e">
        <f>IF(VLOOKUP(Dinamika!$C$2,'Ü-t'!$B$3:$AQ$66,42,0)="","",VLOOKUP(Dinamika!$C$2,'Ü-t'!$B$3:$AQ$66,42,0))</f>
        <v>#N/A</v>
      </c>
    </row>
    <row r="15" spans="1:40" ht="18.2" customHeight="1" x14ac:dyDescent="0.25">
      <c r="A15" s="62"/>
      <c r="B15" s="161">
        <f>IF(Müəllimlər!B13="","",Müəllimlər!B13)</f>
        <v>110</v>
      </c>
      <c r="C15" s="161" t="str">
        <f>IF(Müəllimlər!C13="","",Müəllimlər!C13)</f>
        <v>Fizika</v>
      </c>
      <c r="D15" s="161" t="str">
        <f>IF(Müəllimlər!D13="","",Müəllimlər!D13)</f>
        <v>Süleymanava Nərminə Əlövsət</v>
      </c>
      <c r="E15" s="161">
        <f>IF(Müəllimlər!E13="","",Müəllimlər!E13)</f>
        <v>68</v>
      </c>
      <c r="F15" s="122" t="e">
        <f>VLOOKUP(Dinamika!$C$2,Fiz!$B$3:$AQ$66,9,0)</f>
        <v>#N/A</v>
      </c>
      <c r="G15" s="15" t="e">
        <f>IF(VLOOKUP(Dinamika!$C$2,Fiz!$B$3:$AQ$66,10,0)="","",VLOOKUP(Dinamika!$C$2,Fiz!$B$3:$AQ$66,10,0))</f>
        <v>#N/A</v>
      </c>
      <c r="H15" s="15" t="e">
        <f>IF(VLOOKUP(Dinamika!$C$2,Fiz!$B$3:$AQ$66,11,0)="","",VLOOKUP(Dinamika!$C$2,Fiz!$B$3:$AQ$66,11,0))</f>
        <v>#N/A</v>
      </c>
      <c r="I15" s="15" t="e">
        <f>IF(VLOOKUP(Dinamika!$C$2,Fiz!$B$3:$AQ$66,12,0)="","",VLOOKUP(Dinamika!$C$2,Fiz!$B$3:$AQ$66,12,0))</f>
        <v>#N/A</v>
      </c>
      <c r="J15" s="15" t="e">
        <f>IF(VLOOKUP(Dinamika!$C$2,Fiz!$B$3:$AQ$66,13,0)="","",VLOOKUP(Dinamika!$C$2,Fiz!$B$3:$AQ$66,13,0))</f>
        <v>#N/A</v>
      </c>
      <c r="K15" s="15" t="e">
        <f>IF(VLOOKUP(Dinamika!$C$2,Fiz!$B$3:$AQ$66,14,0)="","",VLOOKUP(Dinamika!$C$2,Fiz!$B$3:$AQ$66,14,0))</f>
        <v>#N/A</v>
      </c>
      <c r="L15" s="15" t="e">
        <f>IF(VLOOKUP(Dinamika!$C$2,Fiz!$B$3:$AQ$66,15,0)="","",VLOOKUP(Dinamika!$C$2,Fiz!$B$3:$AQ$66,15,0))</f>
        <v>#N/A</v>
      </c>
      <c r="M15" s="15" t="e">
        <f>IF(VLOOKUP(Dinamika!$C$2,Fiz!$B$3:$AQ$66,16,0)="","",VLOOKUP(Dinamika!$C$2,Fiz!$B$3:$AQ$66,16,0))</f>
        <v>#N/A</v>
      </c>
      <c r="N15" s="15" t="e">
        <f>IF(VLOOKUP(Dinamika!$C$2,Fiz!$B$3:$AQ$66,17,0)="","",VLOOKUP(Dinamika!$C$2,Fiz!$B$3:$AQ$66,17,0))</f>
        <v>#N/A</v>
      </c>
      <c r="O15" s="151" t="e">
        <f>IF(VLOOKUP(Dinamika!$C$2,Fiz!$B$3:$AQ$66,18,0)="","",VLOOKUP(Dinamika!$C$2,Fiz!$B$3:$AQ$66,18,0))</f>
        <v>#N/A</v>
      </c>
      <c r="P15" s="15" t="e">
        <f>IF(VLOOKUP(Dinamika!$C$2,Fiz!$B$3:$AQ$66,19,0)="","",VLOOKUP(Dinamika!$C$2,Fiz!$B$3:$AQ$66,19,0))</f>
        <v>#N/A</v>
      </c>
      <c r="Q15" s="167" t="e">
        <f>IF(VLOOKUP(Dinamika!$C$2,Fiz!$B$3:$AQ$66,20,0)="","",VLOOKUP(Dinamika!$C$2,Fiz!$B$3:$AQ$66,20,0))</f>
        <v>#N/A</v>
      </c>
      <c r="R15" s="15" t="e">
        <f>IF(VLOOKUP(Dinamika!$C$2,Fiz!$B$3:$AQ$66,21,0)="","",VLOOKUP(Dinamika!$C$2,Fiz!$B$3:$AQ$66,21,0))</f>
        <v>#N/A</v>
      </c>
      <c r="S15" s="15" t="e">
        <f>IF(VLOOKUP(Dinamika!$C$2,Fiz!$B$3:$AQ$66,22,0)="","",VLOOKUP(Dinamika!$C$2,Fiz!$B$3:$AQ$66,22,0))</f>
        <v>#N/A</v>
      </c>
      <c r="T15" s="17" t="e">
        <f>IF(VLOOKUP(Dinamika!$C$2,Fiz!$B$3:$AQ$66,23,0)="","",VLOOKUP(Dinamika!$C$2,Fiz!$B$3:$AQ$66,23,0))</f>
        <v>#N/A</v>
      </c>
      <c r="U15" s="15" t="e">
        <f>IF(VLOOKUP(Dinamika!$C$2,Fiz!$B$3:$AQ$66,24,0)="","",VLOOKUP(Dinamika!$C$2,Fiz!$B$3:$AQ$66,24,0))</f>
        <v>#N/A</v>
      </c>
      <c r="V15" s="15" t="e">
        <f>IF(VLOOKUP(Dinamika!$C$2,Fiz!$B$3:$AQ$66,25,0)="","",VLOOKUP(Dinamika!$C$2,Fiz!$B$3:$AQ$66,25,0))</f>
        <v>#N/A</v>
      </c>
      <c r="W15" s="15" t="e">
        <f>IF(VLOOKUP(Dinamika!$C$2,Fiz!$B$3:$AQ$66,26,0)="","",VLOOKUP(Dinamika!$C$2,Fiz!$B$3:$AQ$66,26,0))</f>
        <v>#N/A</v>
      </c>
      <c r="X15" s="15" t="e">
        <f>IF(VLOOKUP(Dinamika!$C$2,Fiz!$B$3:$AQ$66,27,0)="","",VLOOKUP(Dinamika!$C$2,Fiz!$B$3:$AQ$66,27,0))</f>
        <v>#N/A</v>
      </c>
      <c r="Y15" s="15" t="e">
        <f>IF(VLOOKUP(Dinamika!$C$2,Fiz!$B$3:$AQ$66,28,0)="","",VLOOKUP(Dinamika!$C$2,Fiz!$B$3:$AQ$66,28,0))</f>
        <v>#N/A</v>
      </c>
      <c r="Z15" s="15" t="e">
        <f>IF(VLOOKUP(Dinamika!$C$2,Fiz!$B$3:$AQ$66,29,0)="","",VLOOKUP(Dinamika!$C$2,Fiz!$B$3:$AQ$66,29,0))</f>
        <v>#N/A</v>
      </c>
      <c r="AA15" s="15" t="e">
        <f>IF(VLOOKUP(Dinamika!$C$2,Fiz!$B$3:$AQ$66,30,0)="","",VLOOKUP(Dinamika!$C$2,Fiz!$B$3:$AQ$66,30,0))</f>
        <v>#N/A</v>
      </c>
      <c r="AB15" s="151" t="e">
        <f>IF(VLOOKUP(Dinamika!$C$2,Fiz!$B$3:$AQ$66,31,0)="","",VLOOKUP(Dinamika!$C$2,Fiz!$B$3:$AQ$66,31,0))</f>
        <v>#N/A</v>
      </c>
      <c r="AC15" s="15" t="e">
        <f>IF(VLOOKUP(Dinamika!$C$2,Fiz!$B$3:$AQ$66,32,0)="","",VLOOKUP(Dinamika!$C$2,Fiz!$B$3:$AQ$66,32,0))</f>
        <v>#N/A</v>
      </c>
      <c r="AD15" s="167" t="e">
        <f>IF(VLOOKUP(Dinamika!$C$2,Fiz!$B$3:$AQ$66,33,0)="","",VLOOKUP(Dinamika!$C$2,Fiz!$B$3:$AQ$66,33,0))</f>
        <v>#N/A</v>
      </c>
      <c r="AE15" s="15" t="e">
        <f>IF(VLOOKUP(Dinamika!$C$2,Fiz!$B$3:$AQ$66,34,0)="","",VLOOKUP(Dinamika!$C$2,Fiz!$B$3:$AQ$66,34,0))</f>
        <v>#N/A</v>
      </c>
      <c r="AF15" s="15" t="e">
        <f>IF(VLOOKUP(Dinamika!$C$2,Fiz!$B$3:$AQ$66,35,0)="","",VLOOKUP(Dinamika!$C$2,Fiz!$B$3:$AQ$66,35,0))</f>
        <v>#N/A</v>
      </c>
      <c r="AG15" s="17" t="e">
        <f>IF(VLOOKUP(Dinamika!$C$2,Fiz!$B$3:$AQ$66,36,0)="","",VLOOKUP(Dinamika!$C$2,Fiz!$B$3:$AQ$66,36,0))</f>
        <v>#N/A</v>
      </c>
      <c r="AH15" s="18" t="e">
        <f>IF(VLOOKUP(Dinamika!$C$2,Fiz!$B$3:$AQ$66,37,0)="","",VLOOKUP(Dinamika!$C$2,Fiz!$B$3:$AQ$66,37,0))</f>
        <v>#N/A</v>
      </c>
      <c r="AI15" s="18" t="e">
        <f>IF(VLOOKUP(Dinamika!$C$2,Fiz!$B$3:$AQ$66,38,0)="","",VLOOKUP(Dinamika!$C$2,Fiz!$B$3:$AQ$66,38,0))</f>
        <v>#N/A</v>
      </c>
      <c r="AJ15" s="18" t="e">
        <f>IF(VLOOKUP(Dinamika!$C$2,Fiz!$B$3:$AQ$66,39,0)="","",VLOOKUP(Dinamika!$C$2,Fiz!$B$3:$AQ$66,39,0))</f>
        <v>#N/A</v>
      </c>
      <c r="AK15" s="18" t="e">
        <f>IF(VLOOKUP(Dinamika!$C$2,Fiz!$B$3:$AQ$66,40,0)="","",VLOOKUP(Dinamika!$C$2,Fiz!$B$3:$AQ$66,40,0))</f>
        <v>#N/A</v>
      </c>
      <c r="AL15" s="171" t="e">
        <f>IF(VLOOKUP(Dinamika!$C$2,Fiz!$B$3:$AQ$66,41,0)="","",VLOOKUP(Dinamika!$C$2,Fiz!$B$3:$AQ$66,41,0))</f>
        <v>#N/A</v>
      </c>
      <c r="AM15" s="155" t="e">
        <f>IF(VLOOKUP(Dinamika!$C$2,Fiz!$B$3:$AQ$66,42,0)="","",VLOOKUP(Dinamika!$C$2,Fiz!$B$3:$AQ$66,42,0))</f>
        <v>#N/A</v>
      </c>
    </row>
    <row r="16" spans="1:40" ht="18.2" customHeight="1" x14ac:dyDescent="0.25">
      <c r="A16" s="62"/>
      <c r="B16" s="161">
        <f>IF(Müəllimlər!B14="","",Müəllimlər!B14)</f>
        <v>111</v>
      </c>
      <c r="C16" s="161" t="str">
        <f>IF(Müəllimlər!C14="","",Müəllimlər!C14)</f>
        <v>Kimya</v>
      </c>
      <c r="D16" s="161" t="str">
        <f>IF(Müəllimlər!D14="","",Müəllimlər!D14)</f>
        <v>Hüseynova Rəna Qədir</v>
      </c>
      <c r="E16" s="161">
        <f>IF(Müəllimlər!E14="","",Müəllimlər!E14)</f>
        <v>34</v>
      </c>
      <c r="F16" s="122" t="e">
        <f>VLOOKUP(Dinamika!$C$2,Kim!$B$3:$AQ$66,9,0)</f>
        <v>#N/A</v>
      </c>
      <c r="G16" s="15" t="e">
        <f>IF(VLOOKUP(Dinamika!$C$2,Kim!$B$3:$AQ$66,10,0)="","",VLOOKUP(Dinamika!$C$2,Kim!$B$3:$AQ$66,10,0))</f>
        <v>#N/A</v>
      </c>
      <c r="H16" s="15" t="e">
        <f>IF(VLOOKUP(Dinamika!$C$2,Kim!$B$3:$AQ$66,11,0)="","",VLOOKUP(Dinamika!$C$2,Kim!$B$3:$AQ$66,11,0))</f>
        <v>#N/A</v>
      </c>
      <c r="I16" s="15" t="e">
        <f>IF(VLOOKUP(Dinamika!$C$2,Kim!$B$3:$AQ$66,12,0)="","",VLOOKUP(Dinamika!$C$2,Kim!$B$3:$AQ$66,12,0))</f>
        <v>#N/A</v>
      </c>
      <c r="J16" s="15" t="e">
        <f>IF(VLOOKUP(Dinamika!$C$2,Kim!$B$3:$AQ$66,13,0)="","",VLOOKUP(Dinamika!$C$2,Kim!$B$3:$AQ$66,13,0))</f>
        <v>#N/A</v>
      </c>
      <c r="K16" s="15" t="e">
        <f>IF(VLOOKUP(Dinamika!$C$2,Kim!$B$3:$AQ$66,14,0)="","",VLOOKUP(Dinamika!$C$2,Kim!$B$3:$AQ$66,14,0))</f>
        <v>#N/A</v>
      </c>
      <c r="L16" s="15" t="e">
        <f>IF(VLOOKUP(Dinamika!$C$2,Kim!$B$3:$AQ$66,15,0)="","",VLOOKUP(Dinamika!$C$2,Kim!$B$3:$AQ$66,15,0))</f>
        <v>#N/A</v>
      </c>
      <c r="M16" s="15" t="e">
        <f>IF(VLOOKUP(Dinamika!$C$2,Kim!$B$3:$AQ$66,16,0)="","",VLOOKUP(Dinamika!$C$2,Kim!$B$3:$AQ$66,16,0))</f>
        <v>#N/A</v>
      </c>
      <c r="N16" s="15" t="e">
        <f>IF(VLOOKUP(Dinamika!$C$2,Kim!$B$3:$AQ$66,17,0)="","",VLOOKUP(Dinamika!$C$2,Kim!$B$3:$AQ$66,17,0))</f>
        <v>#N/A</v>
      </c>
      <c r="O16" s="151" t="e">
        <f>IF(VLOOKUP(Dinamika!$C$2,Kim!$B$3:$AQ$66,18,0)="","",VLOOKUP(Dinamika!$C$2,Kim!$B$3:$AQ$66,18,0))</f>
        <v>#N/A</v>
      </c>
      <c r="P16" s="15" t="e">
        <f>IF(VLOOKUP(Dinamika!$C$2,Kim!$B$3:$AQ$66,19,0)="","",VLOOKUP(Dinamika!$C$2,Kim!$B$3:$AQ$66,19,0))</f>
        <v>#N/A</v>
      </c>
      <c r="Q16" s="167" t="e">
        <f>IF(VLOOKUP(Dinamika!$C$2,Kim!$B$3:$AQ$66,20,0)="","",VLOOKUP(Dinamika!$C$2,Kim!$B$3:$AQ$66,20,0))</f>
        <v>#N/A</v>
      </c>
      <c r="R16" s="15" t="e">
        <f>IF(VLOOKUP(Dinamika!$C$2,Kim!$B$3:$AQ$66,21,0)="","",VLOOKUP(Dinamika!$C$2,Kim!$B$3:$AQ$66,21,0))</f>
        <v>#N/A</v>
      </c>
      <c r="S16" s="15" t="e">
        <f>IF(VLOOKUP(Dinamika!$C$2,Kim!$B$3:$AQ$66,22,0)="","",VLOOKUP(Dinamika!$C$2,Kim!$B$3:$AQ$66,22,0))</f>
        <v>#N/A</v>
      </c>
      <c r="T16" s="17" t="e">
        <f>IF(VLOOKUP(Dinamika!$C$2,Kim!$B$3:$AQ$66,23,0)="","",VLOOKUP(Dinamika!$C$2,Kim!$B$3:$AQ$66,23,0))</f>
        <v>#N/A</v>
      </c>
      <c r="U16" s="15" t="e">
        <f>IF(VLOOKUP(Dinamika!$C$2,Kim!$B$3:$AQ$66,24,0)="","",VLOOKUP(Dinamika!$C$2,Kim!$B$3:$AQ$66,24,0))</f>
        <v>#N/A</v>
      </c>
      <c r="V16" s="15" t="e">
        <f>IF(VLOOKUP(Dinamika!$C$2,Kim!$B$3:$AQ$66,25,0)="","",VLOOKUP(Dinamika!$C$2,Kim!$B$3:$AQ$66,25,0))</f>
        <v>#N/A</v>
      </c>
      <c r="W16" s="15" t="e">
        <f>IF(VLOOKUP(Dinamika!$C$2,Kim!$B$3:$AQ$66,26,0)="","",VLOOKUP(Dinamika!$C$2,Kim!$B$3:$AQ$66,26,0))</f>
        <v>#N/A</v>
      </c>
      <c r="X16" s="15" t="e">
        <f>IF(VLOOKUP(Dinamika!$C$2,Kim!$B$3:$AQ$66,27,0)="","",VLOOKUP(Dinamika!$C$2,Kim!$B$3:$AQ$66,27,0))</f>
        <v>#N/A</v>
      </c>
      <c r="Y16" s="15" t="e">
        <f>IF(VLOOKUP(Dinamika!$C$2,Kim!$B$3:$AQ$66,28,0)="","",VLOOKUP(Dinamika!$C$2,Kim!$B$3:$AQ$66,28,0))</f>
        <v>#N/A</v>
      </c>
      <c r="Z16" s="15" t="e">
        <f>IF(VLOOKUP(Dinamika!$C$2,Kim!$B$3:$AQ$66,29,0)="","",VLOOKUP(Dinamika!$C$2,Kim!$B$3:$AQ$66,29,0))</f>
        <v>#N/A</v>
      </c>
      <c r="AA16" s="15" t="e">
        <f>IF(VLOOKUP(Dinamika!$C$2,Kim!$B$3:$AQ$66,30,0)="","",VLOOKUP(Dinamika!$C$2,Kim!$B$3:$AQ$66,30,0))</f>
        <v>#N/A</v>
      </c>
      <c r="AB16" s="151" t="e">
        <f>IF(VLOOKUP(Dinamika!$C$2,Kim!$B$3:$AQ$66,31,0)="","",VLOOKUP(Dinamika!$C$2,Kim!$B$3:$AQ$66,31,0))</f>
        <v>#N/A</v>
      </c>
      <c r="AC16" s="15" t="e">
        <f>IF(VLOOKUP(Dinamika!$C$2,Kim!$B$3:$AQ$66,32,0)="","",VLOOKUP(Dinamika!$C$2,Kim!$B$3:$AQ$66,32,0))</f>
        <v>#N/A</v>
      </c>
      <c r="AD16" s="167" t="e">
        <f>IF(VLOOKUP(Dinamika!$C$2,Kim!$B$3:$AQ$66,33,0)="","",VLOOKUP(Dinamika!$C$2,Kim!$B$3:$AQ$66,33,0))</f>
        <v>#N/A</v>
      </c>
      <c r="AE16" s="15" t="e">
        <f>IF(VLOOKUP(Dinamika!$C$2,Kim!$B$3:$AQ$66,34,0)="","",VLOOKUP(Dinamika!$C$2,Kim!$B$3:$AQ$66,34,0))</f>
        <v>#N/A</v>
      </c>
      <c r="AF16" s="15" t="e">
        <f>IF(VLOOKUP(Dinamika!$C$2,Kim!$B$3:$AQ$66,35,0)="","",VLOOKUP(Dinamika!$C$2,Kim!$B$3:$AQ$66,35,0))</f>
        <v>#N/A</v>
      </c>
      <c r="AG16" s="17" t="e">
        <f>IF(VLOOKUP(Dinamika!$C$2,Kim!$B$3:$AQ$66,36,0)="","",VLOOKUP(Dinamika!$C$2,Kim!$B$3:$AQ$66,36,0))</f>
        <v>#N/A</v>
      </c>
      <c r="AH16" s="18" t="e">
        <f>IF(VLOOKUP(Dinamika!$C$2,Kim!$B$3:$AQ$66,37,0)="","",VLOOKUP(Dinamika!$C$2,Kim!$B$3:$AQ$66,37,0))</f>
        <v>#N/A</v>
      </c>
      <c r="AI16" s="18" t="e">
        <f>IF(VLOOKUP(Dinamika!$C$2,Kim!$B$3:$AQ$66,38,0)="","",VLOOKUP(Dinamika!$C$2,Kim!$B$3:$AQ$66,38,0))</f>
        <v>#N/A</v>
      </c>
      <c r="AJ16" s="18" t="e">
        <f>IF(VLOOKUP(Dinamika!$C$2,Kim!$B$3:$AQ$66,39,0)="","",VLOOKUP(Dinamika!$C$2,Kim!$B$3:$AQ$66,39,0))</f>
        <v>#N/A</v>
      </c>
      <c r="AK16" s="18" t="e">
        <f>IF(VLOOKUP(Dinamika!$C$2,Kim!$B$3:$AQ$66,40,0)="","",VLOOKUP(Dinamika!$C$2,Kim!$B$3:$AQ$66,40,0))</f>
        <v>#N/A</v>
      </c>
      <c r="AL16" s="171" t="e">
        <f>IF(VLOOKUP(Dinamika!$C$2,Kim!$B$3:$AQ$66,41,0)="","",VLOOKUP(Dinamika!$C$2,Kim!$B$3:$AQ$66,41,0))</f>
        <v>#N/A</v>
      </c>
      <c r="AM16" s="155" t="e">
        <f>IF(VLOOKUP(Dinamika!$C$2,Kim!$B$3:$AQ$66,42,0)="","",VLOOKUP(Dinamika!$C$2,Kim!$B$3:$AQ$66,42,0))</f>
        <v>#N/A</v>
      </c>
    </row>
    <row r="17" spans="1:39" ht="18.2" customHeight="1" x14ac:dyDescent="0.25">
      <c r="A17" s="62"/>
      <c r="B17" s="161">
        <f>IF(Müəllimlər!B15="","",Müəllimlər!B15)</f>
        <v>112</v>
      </c>
      <c r="C17" s="161" t="str">
        <f>IF(Müəllimlər!C15="","",Müəllimlər!C15)</f>
        <v>Biologiya</v>
      </c>
      <c r="D17" s="161" t="str">
        <f>IF(Müəllimlər!D15="","",Müəllimlər!D15)</f>
        <v>Həmidova Məlahət Mənsub</v>
      </c>
      <c r="E17" s="161">
        <f>IF(Müəllimlər!E15="","",Müəllimlər!E15)</f>
        <v>68</v>
      </c>
      <c r="F17" s="122" t="e">
        <f>VLOOKUP(Dinamika!$C$2,Bio!$B$3:$AQ$66,9,0)</f>
        <v>#N/A</v>
      </c>
      <c r="G17" s="15" t="e">
        <f>IF(VLOOKUP(Dinamika!$C$2,Bio!$B$3:$AQ$66,10,0)="","",VLOOKUP(Dinamika!$C$2,Bio!$B$3:$AQ$66,10,0))</f>
        <v>#N/A</v>
      </c>
      <c r="H17" s="15" t="e">
        <f>IF(VLOOKUP(Dinamika!$C$2,Bio!$B$3:$AQ$66,11,0)="","",VLOOKUP(Dinamika!$C$2,Bio!$B$3:$AQ$66,11,0))</f>
        <v>#N/A</v>
      </c>
      <c r="I17" s="15" t="e">
        <f>IF(VLOOKUP(Dinamika!$C$2,Bio!$B$3:$AQ$66,12,0)="","",VLOOKUP(Dinamika!$C$2,Bio!$B$3:$AQ$66,12,0))</f>
        <v>#N/A</v>
      </c>
      <c r="J17" s="15" t="e">
        <f>IF(VLOOKUP(Dinamika!$C$2,Bio!$B$3:$AQ$66,13,0)="","",VLOOKUP(Dinamika!$C$2,Bio!$B$3:$AQ$66,13,0))</f>
        <v>#N/A</v>
      </c>
      <c r="K17" s="15" t="e">
        <f>IF(VLOOKUP(Dinamika!$C$2,Bio!$B$3:$AQ$66,14,0)="","",VLOOKUP(Dinamika!$C$2,Bio!$B$3:$AQ$66,14,0))</f>
        <v>#N/A</v>
      </c>
      <c r="L17" s="15" t="e">
        <f>IF(VLOOKUP(Dinamika!$C$2,Bio!$B$3:$AQ$66,15,0)="","",VLOOKUP(Dinamika!$C$2,Bio!$B$3:$AQ$66,15,0))</f>
        <v>#N/A</v>
      </c>
      <c r="M17" s="15" t="e">
        <f>IF(VLOOKUP(Dinamika!$C$2,Bio!$B$3:$AQ$66,16,0)="","",VLOOKUP(Dinamika!$C$2,Bio!$B$3:$AQ$66,16,0))</f>
        <v>#N/A</v>
      </c>
      <c r="N17" s="15" t="e">
        <f>IF(VLOOKUP(Dinamika!$C$2,Bio!$B$3:$AQ$66,17,0)="","",VLOOKUP(Dinamika!$C$2,Bio!$B$3:$AQ$66,17,0))</f>
        <v>#N/A</v>
      </c>
      <c r="O17" s="151" t="e">
        <f>IF(VLOOKUP(Dinamika!$C$2,Bio!$B$3:$AQ$66,18,0)="","",VLOOKUP(Dinamika!$C$2,Bio!$B$3:$AQ$66,18,0))</f>
        <v>#N/A</v>
      </c>
      <c r="P17" s="15" t="e">
        <f>IF(VLOOKUP(Dinamika!$C$2,Bio!$B$3:$AQ$66,19,0)="","",VLOOKUP(Dinamika!$C$2,Bio!$B$3:$AQ$66,19,0))</f>
        <v>#N/A</v>
      </c>
      <c r="Q17" s="167" t="e">
        <f>IF(VLOOKUP(Dinamika!$C$2,Bio!$B$3:$AQ$66,20,0)="","",VLOOKUP(Dinamika!$C$2,Bio!$B$3:$AQ$66,20,0))</f>
        <v>#N/A</v>
      </c>
      <c r="R17" s="15" t="e">
        <f>IF(VLOOKUP(Dinamika!$C$2,Bio!$B$3:$AQ$66,21,0)="","",VLOOKUP(Dinamika!$C$2,Bio!$B$3:$AQ$66,21,0))</f>
        <v>#N/A</v>
      </c>
      <c r="S17" s="15" t="e">
        <f>IF(VLOOKUP(Dinamika!$C$2,Bio!$B$3:$AQ$66,22,0)="","",VLOOKUP(Dinamika!$C$2,Bio!$B$3:$AQ$66,22,0))</f>
        <v>#N/A</v>
      </c>
      <c r="T17" s="17" t="e">
        <f>IF(VLOOKUP(Dinamika!$C$2,Bio!$B$3:$AQ$66,23,0)="","",VLOOKUP(Dinamika!$C$2,Bio!$B$3:$AQ$66,23,0))</f>
        <v>#N/A</v>
      </c>
      <c r="U17" s="15" t="e">
        <f>IF(VLOOKUP(Dinamika!$C$2,Bio!$B$3:$AQ$66,24,0)="","",VLOOKUP(Dinamika!$C$2,Bio!$B$3:$AQ$66,24,0))</f>
        <v>#N/A</v>
      </c>
      <c r="V17" s="15" t="e">
        <f>IF(VLOOKUP(Dinamika!$C$2,Bio!$B$3:$AQ$66,25,0)="","",VLOOKUP(Dinamika!$C$2,Bio!$B$3:$AQ$66,25,0))</f>
        <v>#N/A</v>
      </c>
      <c r="W17" s="15" t="e">
        <f>IF(VLOOKUP(Dinamika!$C$2,Bio!$B$3:$AQ$66,26,0)="","",VLOOKUP(Dinamika!$C$2,Bio!$B$3:$AQ$66,26,0))</f>
        <v>#N/A</v>
      </c>
      <c r="X17" s="15" t="e">
        <f>IF(VLOOKUP(Dinamika!$C$2,Bio!$B$3:$AQ$66,27,0)="","",VLOOKUP(Dinamika!$C$2,Bio!$B$3:$AQ$66,27,0))</f>
        <v>#N/A</v>
      </c>
      <c r="Y17" s="15" t="e">
        <f>IF(VLOOKUP(Dinamika!$C$2,Bio!$B$3:$AQ$66,28,0)="","",VLOOKUP(Dinamika!$C$2,Bio!$B$3:$AQ$66,28,0))</f>
        <v>#N/A</v>
      </c>
      <c r="Z17" s="15" t="e">
        <f>IF(VLOOKUP(Dinamika!$C$2,Bio!$B$3:$AQ$66,29,0)="","",VLOOKUP(Dinamika!$C$2,Bio!$B$3:$AQ$66,29,0))</f>
        <v>#N/A</v>
      </c>
      <c r="AA17" s="15" t="e">
        <f>IF(VLOOKUP(Dinamika!$C$2,Bio!$B$3:$AQ$66,30,0)="","",VLOOKUP(Dinamika!$C$2,Bio!$B$3:$AQ$66,30,0))</f>
        <v>#N/A</v>
      </c>
      <c r="AB17" s="151" t="e">
        <f>IF(VLOOKUP(Dinamika!$C$2,Bio!$B$3:$AQ$66,31,0)="","",VLOOKUP(Dinamika!$C$2,Bio!$B$3:$AQ$66,31,0))</f>
        <v>#N/A</v>
      </c>
      <c r="AC17" s="15" t="e">
        <f>IF(VLOOKUP(Dinamika!$C$2,Bio!$B$3:$AQ$66,32,0)="","",VLOOKUP(Dinamika!$C$2,Bio!$B$3:$AQ$66,32,0))</f>
        <v>#N/A</v>
      </c>
      <c r="AD17" s="167" t="e">
        <f>IF(VLOOKUP(Dinamika!$C$2,Bio!$B$3:$AQ$66,33,0)="","",VLOOKUP(Dinamika!$C$2,Bio!$B$3:$AQ$66,33,0))</f>
        <v>#N/A</v>
      </c>
      <c r="AE17" s="15" t="e">
        <f>IF(VLOOKUP(Dinamika!$C$2,Bio!$B$3:$AQ$66,34,0)="","",VLOOKUP(Dinamika!$C$2,Bio!$B$3:$AQ$66,34,0))</f>
        <v>#N/A</v>
      </c>
      <c r="AF17" s="15" t="e">
        <f>IF(VLOOKUP(Dinamika!$C$2,Bio!$B$3:$AQ$66,35,0)="","",VLOOKUP(Dinamika!$C$2,Bio!$B$3:$AQ$66,35,0))</f>
        <v>#N/A</v>
      </c>
      <c r="AG17" s="17" t="e">
        <f>IF(VLOOKUP(Dinamika!$C$2,Bio!$B$3:$AQ$66,36,0)="","",VLOOKUP(Dinamika!$C$2,Bio!$B$3:$AQ$66,36,0))</f>
        <v>#N/A</v>
      </c>
      <c r="AH17" s="18" t="e">
        <f>IF(VLOOKUP(Dinamika!$C$2,Bio!$B$3:$AQ$66,37,0)="","",VLOOKUP(Dinamika!$C$2,Bio!$B$3:$AQ$66,37,0))</f>
        <v>#N/A</v>
      </c>
      <c r="AI17" s="18" t="e">
        <f>IF(VLOOKUP(Dinamika!$C$2,Bio!$B$3:$AQ$66,38,0)="","",VLOOKUP(Dinamika!$C$2,Bio!$B$3:$AQ$66,38,0))</f>
        <v>#N/A</v>
      </c>
      <c r="AJ17" s="18" t="e">
        <f>IF(VLOOKUP(Dinamika!$C$2,Bio!$B$3:$AQ$66,39,0)="","",VLOOKUP(Dinamika!$C$2,Bio!$B$3:$AQ$66,39,0))</f>
        <v>#N/A</v>
      </c>
      <c r="AK17" s="18" t="e">
        <f>IF(VLOOKUP(Dinamika!$C$2,Bio!$B$3:$AQ$66,40,0)="","",VLOOKUP(Dinamika!$C$2,Bio!$B$3:$AQ$66,40,0))</f>
        <v>#N/A</v>
      </c>
      <c r="AL17" s="171" t="e">
        <f>IF(VLOOKUP(Dinamika!$C$2,Bio!$B$3:$AQ$66,41,0)="","",VLOOKUP(Dinamika!$C$2,Bio!$B$3:$AQ$66,41,0))</f>
        <v>#N/A</v>
      </c>
      <c r="AM17" s="155" t="e">
        <f>IF(VLOOKUP(Dinamika!$C$2,Bio!$B$3:$AQ$66,42,0)="","",VLOOKUP(Dinamika!$C$2,Bio!$B$3:$AQ$66,42,0))</f>
        <v>#N/A</v>
      </c>
    </row>
    <row r="18" spans="1:39" ht="18.2" customHeight="1" x14ac:dyDescent="0.25">
      <c r="A18" s="62"/>
      <c r="B18" s="161">
        <f>IF(Müəllimlər!B16="","",Müəllimlər!B16)</f>
        <v>113</v>
      </c>
      <c r="C18" s="161" t="str">
        <f>IF(Müəllimlər!C16="","",Müəllimlər!C16)</f>
        <v>Coğrafiya</v>
      </c>
      <c r="D18" s="161" t="str">
        <f>IF(Müəllimlər!D16="","",Müəllimlər!D16)</f>
        <v>Məmmədova Sevil Zahid</v>
      </c>
      <c r="E18" s="161">
        <f>IF(Müəllimlər!E16="","",Müəllimlər!E16)</f>
        <v>68</v>
      </c>
      <c r="F18" s="122" t="e">
        <f>VLOOKUP(Dinamika!$C$2,Coğ!$B$3:$AQ$66,9,0)</f>
        <v>#N/A</v>
      </c>
      <c r="G18" s="15" t="e">
        <f>IF(VLOOKUP(Dinamika!$C$2,Coğ!$B$3:$AQ$66,10,0)="","",VLOOKUP(Dinamika!$C$2,Coğ!$B$3:$AQ$66,10,0))</f>
        <v>#N/A</v>
      </c>
      <c r="H18" s="15" t="e">
        <f>IF(VLOOKUP(Dinamika!$C$2,Coğ!$B$3:$AQ$66,11,0)="","",VLOOKUP(Dinamika!$C$2,Coğ!$B$3:$AQ$66,11,0))</f>
        <v>#N/A</v>
      </c>
      <c r="I18" s="15" t="e">
        <f>IF(VLOOKUP(Dinamika!$C$2,Coğ!$B$3:$AQ$66,12,0)="","",VLOOKUP(Dinamika!$C$2,Coğ!$B$3:$AQ$66,12,0))</f>
        <v>#N/A</v>
      </c>
      <c r="J18" s="15" t="e">
        <f>IF(VLOOKUP(Dinamika!$C$2,Coğ!$B$3:$AQ$66,13,0)="","",VLOOKUP(Dinamika!$C$2,Coğ!$B$3:$AQ$66,13,0))</f>
        <v>#N/A</v>
      </c>
      <c r="K18" s="15" t="e">
        <f>IF(VLOOKUP(Dinamika!$C$2,Coğ!$B$3:$AQ$66,14,0)="","",VLOOKUP(Dinamika!$C$2,Coğ!$B$3:$AQ$66,14,0))</f>
        <v>#N/A</v>
      </c>
      <c r="L18" s="15" t="e">
        <f>IF(VLOOKUP(Dinamika!$C$2,Coğ!$B$3:$AQ$66,15,0)="","",VLOOKUP(Dinamika!$C$2,Coğ!$B$3:$AQ$66,15,0))</f>
        <v>#N/A</v>
      </c>
      <c r="M18" s="15" t="e">
        <f>IF(VLOOKUP(Dinamika!$C$2,Coğ!$B$3:$AQ$66,16,0)="","",VLOOKUP(Dinamika!$C$2,Coğ!$B$3:$AQ$66,16,0))</f>
        <v>#N/A</v>
      </c>
      <c r="N18" s="15" t="e">
        <f>IF(VLOOKUP(Dinamika!$C$2,Coğ!$B$3:$AQ$66,17,0)="","",VLOOKUP(Dinamika!$C$2,Coğ!$B$3:$AQ$66,17,0))</f>
        <v>#N/A</v>
      </c>
      <c r="O18" s="151" t="e">
        <f>IF(VLOOKUP(Dinamika!$C$2,Coğ!$B$3:$AQ$66,18,0)="","",VLOOKUP(Dinamika!$C$2,Coğ!$B$3:$AQ$66,18,0))</f>
        <v>#N/A</v>
      </c>
      <c r="P18" s="15" t="e">
        <f>IF(VLOOKUP(Dinamika!$C$2,Coğ!$B$3:$AQ$66,19,0)="","",VLOOKUP(Dinamika!$C$2,Coğ!$B$3:$AQ$66,19,0))</f>
        <v>#N/A</v>
      </c>
      <c r="Q18" s="167" t="e">
        <f>IF(VLOOKUP(Dinamika!$C$2,Coğ!$B$3:$AQ$66,20,0)="","",VLOOKUP(Dinamika!$C$2,Coğ!$B$3:$AQ$66,20,0))</f>
        <v>#N/A</v>
      </c>
      <c r="R18" s="15" t="e">
        <f>IF(VLOOKUP(Dinamika!$C$2,Coğ!$B$3:$AQ$66,21,0)="","",VLOOKUP(Dinamika!$C$2,Coğ!$B$3:$AQ$66,21,0))</f>
        <v>#N/A</v>
      </c>
      <c r="S18" s="15" t="e">
        <f>IF(VLOOKUP(Dinamika!$C$2,Coğ!$B$3:$AQ$66,22,0)="","",VLOOKUP(Dinamika!$C$2,Coğ!$B$3:$AQ$66,22,0))</f>
        <v>#N/A</v>
      </c>
      <c r="T18" s="17" t="e">
        <f>IF(VLOOKUP(Dinamika!$C$2,Coğ!$B$3:$AQ$66,23,0)="","",VLOOKUP(Dinamika!$C$2,Coğ!$B$3:$AQ$66,23,0))</f>
        <v>#N/A</v>
      </c>
      <c r="U18" s="15" t="e">
        <f>IF(VLOOKUP(Dinamika!$C$2,Coğ!$B$3:$AQ$66,24,0)="","",VLOOKUP(Dinamika!$C$2,Coğ!$B$3:$AQ$66,24,0))</f>
        <v>#N/A</v>
      </c>
      <c r="V18" s="15" t="e">
        <f>IF(VLOOKUP(Dinamika!$C$2,Coğ!$B$3:$AQ$66,25,0)="","",VLOOKUP(Dinamika!$C$2,Coğ!$B$3:$AQ$66,25,0))</f>
        <v>#N/A</v>
      </c>
      <c r="W18" s="15" t="e">
        <f>IF(VLOOKUP(Dinamika!$C$2,Coğ!$B$3:$AQ$66,26,0)="","",VLOOKUP(Dinamika!$C$2,Coğ!$B$3:$AQ$66,26,0))</f>
        <v>#N/A</v>
      </c>
      <c r="X18" s="15" t="e">
        <f>IF(VLOOKUP(Dinamika!$C$2,Coğ!$B$3:$AQ$66,27,0)="","",VLOOKUP(Dinamika!$C$2,Coğ!$B$3:$AQ$66,27,0))</f>
        <v>#N/A</v>
      </c>
      <c r="Y18" s="15" t="e">
        <f>IF(VLOOKUP(Dinamika!$C$2,Coğ!$B$3:$AQ$66,28,0)="","",VLOOKUP(Dinamika!$C$2,Coğ!$B$3:$AQ$66,28,0))</f>
        <v>#N/A</v>
      </c>
      <c r="Z18" s="15" t="e">
        <f>IF(VLOOKUP(Dinamika!$C$2,Coğ!$B$3:$AQ$66,29,0)="","",VLOOKUP(Dinamika!$C$2,Coğ!$B$3:$AQ$66,29,0))</f>
        <v>#N/A</v>
      </c>
      <c r="AA18" s="15" t="e">
        <f>IF(VLOOKUP(Dinamika!$C$2,Coğ!$B$3:$AQ$66,30,0)="","",VLOOKUP(Dinamika!$C$2,Coğ!$B$3:$AQ$66,30,0))</f>
        <v>#N/A</v>
      </c>
      <c r="AB18" s="151" t="e">
        <f>IF(VLOOKUP(Dinamika!$C$2,Coğ!$B$3:$AQ$66,31,0)="","",VLOOKUP(Dinamika!$C$2,Coğ!$B$3:$AQ$66,31,0))</f>
        <v>#N/A</v>
      </c>
      <c r="AC18" s="15" t="e">
        <f>IF(VLOOKUP(Dinamika!$C$2,Coğ!$B$3:$AQ$66,32,0)="","",VLOOKUP(Dinamika!$C$2,Coğ!$B$3:$AQ$66,32,0))</f>
        <v>#N/A</v>
      </c>
      <c r="AD18" s="167" t="e">
        <f>IF(VLOOKUP(Dinamika!$C$2,Coğ!$B$3:$AQ$66,33,0)="","",VLOOKUP(Dinamika!$C$2,Coğ!$B$3:$AQ$66,33,0))</f>
        <v>#N/A</v>
      </c>
      <c r="AE18" s="15" t="e">
        <f>IF(VLOOKUP(Dinamika!$C$2,Coğ!$B$3:$AQ$66,34,0)="","",VLOOKUP(Dinamika!$C$2,Coğ!$B$3:$AQ$66,34,0))</f>
        <v>#N/A</v>
      </c>
      <c r="AF18" s="15" t="e">
        <f>IF(VLOOKUP(Dinamika!$C$2,Coğ!$B$3:$AQ$66,35,0)="","",VLOOKUP(Dinamika!$C$2,Coğ!$B$3:$AQ$66,35,0))</f>
        <v>#N/A</v>
      </c>
      <c r="AG18" s="17" t="e">
        <f>IF(VLOOKUP(Dinamika!$C$2,Coğ!$B$3:$AQ$66,36,0)="","",VLOOKUP(Dinamika!$C$2,Coğ!$B$3:$AQ$66,36,0))</f>
        <v>#N/A</v>
      </c>
      <c r="AH18" s="18" t="e">
        <f>IF(VLOOKUP(Dinamika!$C$2,Coğ!$B$3:$AQ$66,37,0)="","",VLOOKUP(Dinamika!$C$2,Coğ!$B$3:$AQ$66,37,0))</f>
        <v>#N/A</v>
      </c>
      <c r="AI18" s="18" t="e">
        <f>IF(VLOOKUP(Dinamika!$C$2,Coğ!$B$3:$AQ$66,38,0)="","",VLOOKUP(Dinamika!$C$2,Coğ!$B$3:$AQ$66,38,0))</f>
        <v>#N/A</v>
      </c>
      <c r="AJ18" s="18" t="e">
        <f>IF(VLOOKUP(Dinamika!$C$2,Coğ!$B$3:$AQ$66,39,0)="","",VLOOKUP(Dinamika!$C$2,Coğ!$B$3:$AQ$66,39,0))</f>
        <v>#N/A</v>
      </c>
      <c r="AK18" s="18" t="e">
        <f>IF(VLOOKUP(Dinamika!$C$2,Coğ!$B$3:$AQ$66,40,0)="","",VLOOKUP(Dinamika!$C$2,Coğ!$B$3:$AQ$66,40,0))</f>
        <v>#N/A</v>
      </c>
      <c r="AL18" s="171" t="e">
        <f>IF(VLOOKUP(Dinamika!$C$2,Coğ!$B$3:$AQ$66,41,0)="","",VLOOKUP(Dinamika!$C$2,Coğ!$B$3:$AQ$66,41,0))</f>
        <v>#N/A</v>
      </c>
      <c r="AM18" s="155" t="e">
        <f>IF(VLOOKUP(Dinamika!$C$2,Coğ!$B$3:$AQ$66,42,0)="","",VLOOKUP(Dinamika!$C$2,Coğ!$B$3:$AQ$66,42,0))</f>
        <v>#N/A</v>
      </c>
    </row>
    <row r="19" spans="1:39" ht="18.2" customHeight="1" x14ac:dyDescent="0.25">
      <c r="A19" s="62"/>
      <c r="B19" s="161">
        <f>IF(Müəllimlər!B17="","",Müəllimlər!B17)</f>
        <v>114</v>
      </c>
      <c r="C19" s="161" t="str">
        <f>IF(Müəllimlər!C17="","",Müəllimlər!C17)</f>
        <v>Həyat bilgisi</v>
      </c>
      <c r="D19" s="161" t="str">
        <f>IF(Müəllimlər!D17="","",Müəllimlər!D17)</f>
        <v>Həmidova Məlahət Mənsub</v>
      </c>
      <c r="E19" s="161">
        <f>IF(Müəllimlər!E17="","",Müəllimlər!E17)</f>
        <v>34</v>
      </c>
      <c r="F19" s="122" t="e">
        <f>VLOOKUP(Dinamika!$C$2,'Həy-b'!$B$3:$AQ$66,9,0)</f>
        <v>#N/A</v>
      </c>
      <c r="G19" s="15" t="e">
        <f>IF(VLOOKUP(Dinamika!$C$2,'Həy-b'!$B$3:$AQ$66,10,0)="","",VLOOKUP(Dinamika!$C$2,'Həy-b'!$B$3:$AQ$66,10,0))</f>
        <v>#N/A</v>
      </c>
      <c r="H19" s="15" t="e">
        <f>IF(VLOOKUP(Dinamika!$C$2,'Həy-b'!$B$3:$AQ$66,11,0)="","",VLOOKUP(Dinamika!$C$2,'Həy-b'!$B$3:$AQ$66,11,0))</f>
        <v>#N/A</v>
      </c>
      <c r="I19" s="15" t="e">
        <f>IF(VLOOKUP(Dinamika!$C$2,'Həy-b'!$B$3:$AQ$66,12,0)="","",VLOOKUP(Dinamika!$C$2,'Həy-b'!$B$3:$AQ$66,12,0))</f>
        <v>#N/A</v>
      </c>
      <c r="J19" s="15" t="e">
        <f>IF(VLOOKUP(Dinamika!$C$2,'Həy-b'!$B$3:$AQ$66,13,0)="","",VLOOKUP(Dinamika!$C$2,'Həy-b'!$B$3:$AQ$66,13,0))</f>
        <v>#N/A</v>
      </c>
      <c r="K19" s="15" t="e">
        <f>IF(VLOOKUP(Dinamika!$C$2,'Həy-b'!$B$3:$AQ$66,14,0)="","",VLOOKUP(Dinamika!$C$2,'Həy-b'!$B$3:$AQ$66,14,0))</f>
        <v>#N/A</v>
      </c>
      <c r="L19" s="15" t="e">
        <f>IF(VLOOKUP(Dinamika!$C$2,'Həy-b'!$B$3:$AQ$66,15,0)="","",VLOOKUP(Dinamika!$C$2,'Həy-b'!$B$3:$AQ$66,15,0))</f>
        <v>#N/A</v>
      </c>
      <c r="M19" s="15" t="e">
        <f>IF(VLOOKUP(Dinamika!$C$2,'Həy-b'!$B$3:$AQ$66,16,0)="","",VLOOKUP(Dinamika!$C$2,'Həy-b'!$B$3:$AQ$66,16,0))</f>
        <v>#N/A</v>
      </c>
      <c r="N19" s="15" t="e">
        <f>IF(VLOOKUP(Dinamika!$C$2,'Həy-b'!$B$3:$AQ$66,17,0)="","",VLOOKUP(Dinamika!$C$2,'Həy-b'!$B$3:$AQ$66,17,0))</f>
        <v>#N/A</v>
      </c>
      <c r="O19" s="151" t="e">
        <f>IF(VLOOKUP(Dinamika!$C$2,'Həy-b'!$B$3:$AQ$66,18,0)="","",VLOOKUP(Dinamika!$C$2,'Həy-b'!$B$3:$AQ$66,18,0))</f>
        <v>#N/A</v>
      </c>
      <c r="P19" s="15" t="e">
        <f>IF(VLOOKUP(Dinamika!$C$2,'Həy-b'!$B$3:$AQ$66,19,0)="","",VLOOKUP(Dinamika!$C$2,'Həy-b'!$B$3:$AQ$66,19,0))</f>
        <v>#N/A</v>
      </c>
      <c r="Q19" s="167" t="e">
        <f>IF(VLOOKUP(Dinamika!$C$2,'Həy-b'!$B$3:$AQ$66,20,0)="","",VLOOKUP(Dinamika!$C$2,'Həy-b'!$B$3:$AQ$66,20,0))</f>
        <v>#N/A</v>
      </c>
      <c r="R19" s="15" t="e">
        <f>IF(VLOOKUP(Dinamika!$C$2,'Həy-b'!$B$3:$AQ$66,21,0)="","",VLOOKUP(Dinamika!$C$2,'Həy-b'!$B$3:$AQ$66,21,0))</f>
        <v>#N/A</v>
      </c>
      <c r="S19" s="15" t="e">
        <f>IF(VLOOKUP(Dinamika!$C$2,'Həy-b'!$B$3:$AQ$66,22,0)="","",VLOOKUP(Dinamika!$C$2,'Həy-b'!$B$3:$AQ$66,22,0))</f>
        <v>#N/A</v>
      </c>
      <c r="T19" s="17" t="e">
        <f>IF(VLOOKUP(Dinamika!$C$2,'Həy-b'!$B$3:$AQ$66,23,0)="","",VLOOKUP(Dinamika!$C$2,'Həy-b'!$B$3:$AQ$66,23,0))</f>
        <v>#N/A</v>
      </c>
      <c r="U19" s="15" t="e">
        <f>IF(VLOOKUP(Dinamika!$C$2,'Həy-b'!$B$3:$AQ$66,24,0)="","",VLOOKUP(Dinamika!$C$2,'Həy-b'!$B$3:$AQ$66,24,0))</f>
        <v>#N/A</v>
      </c>
      <c r="V19" s="15" t="e">
        <f>IF(VLOOKUP(Dinamika!$C$2,'Həy-b'!$B$3:$AQ$66,25,0)="","",VLOOKUP(Dinamika!$C$2,'Həy-b'!$B$3:$AQ$66,25,0))</f>
        <v>#N/A</v>
      </c>
      <c r="W19" s="15" t="e">
        <f>IF(VLOOKUP(Dinamika!$C$2,'Həy-b'!$B$3:$AQ$66,26,0)="","",VLOOKUP(Dinamika!$C$2,'Həy-b'!$B$3:$AQ$66,26,0))</f>
        <v>#N/A</v>
      </c>
      <c r="X19" s="15" t="e">
        <f>IF(VLOOKUP(Dinamika!$C$2,'Həy-b'!$B$3:$AQ$66,27,0)="","",VLOOKUP(Dinamika!$C$2,'Həy-b'!$B$3:$AQ$66,27,0))</f>
        <v>#N/A</v>
      </c>
      <c r="Y19" s="15" t="e">
        <f>IF(VLOOKUP(Dinamika!$C$2,'Həy-b'!$B$3:$AQ$66,28,0)="","",VLOOKUP(Dinamika!$C$2,'Həy-b'!$B$3:$AQ$66,28,0))</f>
        <v>#N/A</v>
      </c>
      <c r="Z19" s="15" t="e">
        <f>IF(VLOOKUP(Dinamika!$C$2,'Həy-b'!$B$3:$AQ$66,29,0)="","",VLOOKUP(Dinamika!$C$2,'Həy-b'!$B$3:$AQ$66,29,0))</f>
        <v>#N/A</v>
      </c>
      <c r="AA19" s="15" t="e">
        <f>IF(VLOOKUP(Dinamika!$C$2,'Həy-b'!$B$3:$AQ$66,30,0)="","",VLOOKUP(Dinamika!$C$2,'Həy-b'!$B$3:$AQ$66,30,0))</f>
        <v>#N/A</v>
      </c>
      <c r="AB19" s="151" t="e">
        <f>IF(VLOOKUP(Dinamika!$C$2,'Həy-b'!$B$3:$AQ$66,31,0)="","",VLOOKUP(Dinamika!$C$2,'Həy-b'!$B$3:$AQ$66,31,0))</f>
        <v>#N/A</v>
      </c>
      <c r="AC19" s="15" t="e">
        <f>IF(VLOOKUP(Dinamika!$C$2,'Həy-b'!$B$3:$AQ$66,32,0)="","",VLOOKUP(Dinamika!$C$2,'Həy-b'!$B$3:$AQ$66,32,0))</f>
        <v>#N/A</v>
      </c>
      <c r="AD19" s="167" t="e">
        <f>IF(VLOOKUP(Dinamika!$C$2,'Həy-b'!$B$3:$AQ$66,33,0)="","",VLOOKUP(Dinamika!$C$2,'Həy-b'!$B$3:$AQ$66,33,0))</f>
        <v>#N/A</v>
      </c>
      <c r="AE19" s="15" t="e">
        <f>IF(VLOOKUP(Dinamika!$C$2,'Həy-b'!$B$3:$AQ$66,34,0)="","",VLOOKUP(Dinamika!$C$2,'Həy-b'!$B$3:$AQ$66,34,0))</f>
        <v>#N/A</v>
      </c>
      <c r="AF19" s="15" t="e">
        <f>IF(VLOOKUP(Dinamika!$C$2,'Həy-b'!$B$3:$AQ$66,35,0)="","",VLOOKUP(Dinamika!$C$2,'Həy-b'!$B$3:$AQ$66,35,0))</f>
        <v>#N/A</v>
      </c>
      <c r="AG19" s="17" t="e">
        <f>IF(VLOOKUP(Dinamika!$C$2,'Həy-b'!$B$3:$AQ$66,36,0)="","",VLOOKUP(Dinamika!$C$2,'Həy-b'!$B$3:$AQ$66,36,0))</f>
        <v>#N/A</v>
      </c>
      <c r="AH19" s="18" t="e">
        <f>IF(VLOOKUP(Dinamika!$C$2,'Həy-b'!$B$3:$AQ$66,37,0)="","",VLOOKUP(Dinamika!$C$2,'Həy-b'!$B$3:$AQ$66,37,0))</f>
        <v>#N/A</v>
      </c>
      <c r="AI19" s="18" t="e">
        <f>IF(VLOOKUP(Dinamika!$C$2,'Həy-b'!$B$3:$AQ$66,38,0)="","",VLOOKUP(Dinamika!$C$2,'Həy-b'!$B$3:$AQ$66,38,0))</f>
        <v>#N/A</v>
      </c>
      <c r="AJ19" s="18" t="e">
        <f>IF(VLOOKUP(Dinamika!$C$2,'Həy-b'!$B$3:$AQ$66,39,0)="","",VLOOKUP(Dinamika!$C$2,'Həy-b'!$B$3:$AQ$66,39,0))</f>
        <v>#N/A</v>
      </c>
      <c r="AK19" s="18" t="e">
        <f>IF(VLOOKUP(Dinamika!$C$2,'Həy-b'!$B$3:$AQ$66,40,0)="","",VLOOKUP(Dinamika!$C$2,'Həy-b'!$B$3:$AQ$66,40,0))</f>
        <v>#N/A</v>
      </c>
      <c r="AL19" s="171" t="e">
        <f>IF(VLOOKUP(Dinamika!$C$2,'Həy-b'!$B$3:$AQ$66,41,0)="","",VLOOKUP(Dinamika!$C$2,'Həy-b'!$B$3:$AQ$66,41,0))</f>
        <v>#N/A</v>
      </c>
      <c r="AM19" s="155" t="e">
        <f>IF(VLOOKUP(Dinamika!$C$2,'Həy-b'!$B$3:$AQ$66,42,0)="","",VLOOKUP(Dinamika!$C$2,'Həy-b'!$B$3:$AQ$66,42,0))</f>
        <v>#N/A</v>
      </c>
    </row>
    <row r="20" spans="1:39" ht="18.2" customHeight="1" x14ac:dyDescent="0.25">
      <c r="A20" s="62"/>
      <c r="B20" s="161">
        <f>IF(Müəllimlər!B18="","",Müəllimlər!B18)</f>
        <v>115</v>
      </c>
      <c r="C20" s="161" t="str">
        <f>IF(Müəllimlər!C18="","",Müəllimlər!C18)</f>
        <v>Texnologiya</v>
      </c>
      <c r="D20" s="161" t="str">
        <f>IF(Müəllimlər!D18="","",Müəllimlər!D18)</f>
        <v>Atakişiyeva Səadət Hüseyin, Məmmədova Rübabə Rəsul</v>
      </c>
      <c r="E20" s="161">
        <f>IF(Müəllimlər!E18="","",Müəllimlər!E18)</f>
        <v>34.340000000000003</v>
      </c>
      <c r="F20" s="122" t="e">
        <f>VLOOKUP(Dinamika!$C$2,Texn!$B$3:$AQ$66,9,0)</f>
        <v>#N/A</v>
      </c>
      <c r="G20" s="15" t="e">
        <f>IF(VLOOKUP(Dinamika!$C$2,Texn!$B$3:$AQ$66,10,0)="","",VLOOKUP(Dinamika!$C$2,Texn!$B$3:$AQ$66,10,0))</f>
        <v>#N/A</v>
      </c>
      <c r="H20" s="15" t="e">
        <f>IF(VLOOKUP(Dinamika!$C$2,Texn!$B$3:$AQ$66,11,0)="","",VLOOKUP(Dinamika!$C$2,Texn!$B$3:$AQ$66,11,0))</f>
        <v>#N/A</v>
      </c>
      <c r="I20" s="15" t="e">
        <f>IF(VLOOKUP(Dinamika!$C$2,Texn!$B$3:$AQ$66,12,0)="","",VLOOKUP(Dinamika!$C$2,Texn!$B$3:$AQ$66,12,0))</f>
        <v>#N/A</v>
      </c>
      <c r="J20" s="15" t="e">
        <f>IF(VLOOKUP(Dinamika!$C$2,Texn!$B$3:$AQ$66,13,0)="","",VLOOKUP(Dinamika!$C$2,Texn!$B$3:$AQ$66,13,0))</f>
        <v>#N/A</v>
      </c>
      <c r="K20" s="15" t="e">
        <f>IF(VLOOKUP(Dinamika!$C$2,Texn!$B$3:$AQ$66,14,0)="","",VLOOKUP(Dinamika!$C$2,Texn!$B$3:$AQ$66,14,0))</f>
        <v>#N/A</v>
      </c>
      <c r="L20" s="15" t="e">
        <f>IF(VLOOKUP(Dinamika!$C$2,Texn!$B$3:$AQ$66,15,0)="","",VLOOKUP(Dinamika!$C$2,Texn!$B$3:$AQ$66,15,0))</f>
        <v>#N/A</v>
      </c>
      <c r="M20" s="15" t="e">
        <f>IF(VLOOKUP(Dinamika!$C$2,Texn!$B$3:$AQ$66,16,0)="","",VLOOKUP(Dinamika!$C$2,Texn!$B$3:$AQ$66,16,0))</f>
        <v>#N/A</v>
      </c>
      <c r="N20" s="15" t="e">
        <f>IF(VLOOKUP(Dinamika!$C$2,Texn!$B$3:$AQ$66,17,0)="","",VLOOKUP(Dinamika!$C$2,Texn!$B$3:$AQ$66,17,0))</f>
        <v>#N/A</v>
      </c>
      <c r="O20" s="151" t="e">
        <f>IF(VLOOKUP(Dinamika!$C$2,Texn!$B$3:$AQ$66,18,0)="","",VLOOKUP(Dinamika!$C$2,Texn!$B$3:$AQ$66,18,0))</f>
        <v>#N/A</v>
      </c>
      <c r="P20" s="15" t="e">
        <f>IF(VLOOKUP(Dinamika!$C$2,Texn!$B$3:$AQ$66,19,0)="","",VLOOKUP(Dinamika!$C$2,Texn!$B$3:$AQ$66,19,0))</f>
        <v>#N/A</v>
      </c>
      <c r="Q20" s="167" t="e">
        <f>IF(VLOOKUP(Dinamika!$C$2,Texn!$B$3:$AQ$66,20,0)="","",VLOOKUP(Dinamika!$C$2,Texn!$B$3:$AQ$66,20,0))</f>
        <v>#N/A</v>
      </c>
      <c r="R20" s="15" t="e">
        <f>IF(VLOOKUP(Dinamika!$C$2,Texn!$B$3:$AQ$66,21,0)="","",VLOOKUP(Dinamika!$C$2,Texn!$B$3:$AQ$66,21,0))</f>
        <v>#N/A</v>
      </c>
      <c r="S20" s="15" t="e">
        <f>IF(VLOOKUP(Dinamika!$C$2,Texn!$B$3:$AQ$66,22,0)="","",VLOOKUP(Dinamika!$C$2,Texn!$B$3:$AQ$66,22,0))</f>
        <v>#N/A</v>
      </c>
      <c r="T20" s="17" t="e">
        <f>IF(VLOOKUP(Dinamika!$C$2,Texn!$B$3:$AQ$66,23,0)="","",VLOOKUP(Dinamika!$C$2,Texn!$B$3:$AQ$66,23,0))</f>
        <v>#N/A</v>
      </c>
      <c r="U20" s="15" t="e">
        <f>IF(VLOOKUP(Dinamika!$C$2,Texn!$B$3:$AQ$66,24,0)="","",VLOOKUP(Dinamika!$C$2,Texn!$B$3:$AQ$66,24,0))</f>
        <v>#N/A</v>
      </c>
      <c r="V20" s="15" t="e">
        <f>IF(VLOOKUP(Dinamika!$C$2,Texn!$B$3:$AQ$66,25,0)="","",VLOOKUP(Dinamika!$C$2,Texn!$B$3:$AQ$66,25,0))</f>
        <v>#N/A</v>
      </c>
      <c r="W20" s="15" t="e">
        <f>IF(VLOOKUP(Dinamika!$C$2,Texn!$B$3:$AQ$66,26,0)="","",VLOOKUP(Dinamika!$C$2,Texn!$B$3:$AQ$66,26,0))</f>
        <v>#N/A</v>
      </c>
      <c r="X20" s="15" t="e">
        <f>IF(VLOOKUP(Dinamika!$C$2,Texn!$B$3:$AQ$66,27,0)="","",VLOOKUP(Dinamika!$C$2,Texn!$B$3:$AQ$66,27,0))</f>
        <v>#N/A</v>
      </c>
      <c r="Y20" s="15" t="e">
        <f>IF(VLOOKUP(Dinamika!$C$2,Texn!$B$3:$AQ$66,28,0)="","",VLOOKUP(Dinamika!$C$2,Texn!$B$3:$AQ$66,28,0))</f>
        <v>#N/A</v>
      </c>
      <c r="Z20" s="15" t="e">
        <f>IF(VLOOKUP(Dinamika!$C$2,Texn!$B$3:$AQ$66,29,0)="","",VLOOKUP(Dinamika!$C$2,Texn!$B$3:$AQ$66,29,0))</f>
        <v>#N/A</v>
      </c>
      <c r="AA20" s="15" t="e">
        <f>IF(VLOOKUP(Dinamika!$C$2,Texn!$B$3:$AQ$66,30,0)="","",VLOOKUP(Dinamika!$C$2,Texn!$B$3:$AQ$66,30,0))</f>
        <v>#N/A</v>
      </c>
      <c r="AB20" s="151" t="e">
        <f>IF(VLOOKUP(Dinamika!$C$2,Texn!$B$3:$AQ$66,31,0)="","",VLOOKUP(Dinamika!$C$2,Texn!$B$3:$AQ$66,31,0))</f>
        <v>#N/A</v>
      </c>
      <c r="AC20" s="15" t="e">
        <f>IF(VLOOKUP(Dinamika!$C$2,Texn!$B$3:$AQ$66,32,0)="","",VLOOKUP(Dinamika!$C$2,Texn!$B$3:$AQ$66,32,0))</f>
        <v>#N/A</v>
      </c>
      <c r="AD20" s="167" t="e">
        <f>IF(VLOOKUP(Dinamika!$C$2,Texn!$B$3:$AQ$66,33,0)="","",VLOOKUP(Dinamika!$C$2,Texn!$B$3:$AQ$66,33,0))</f>
        <v>#N/A</v>
      </c>
      <c r="AE20" s="15" t="e">
        <f>IF(VLOOKUP(Dinamika!$C$2,Texn!$B$3:$AQ$66,34,0)="","",VLOOKUP(Dinamika!$C$2,Texn!$B$3:$AQ$66,34,0))</f>
        <v>#N/A</v>
      </c>
      <c r="AF20" s="15" t="e">
        <f>IF(VLOOKUP(Dinamika!$C$2,Texn!$B$3:$AQ$66,35,0)="","",VLOOKUP(Dinamika!$C$2,Texn!$B$3:$AQ$66,35,0))</f>
        <v>#N/A</v>
      </c>
      <c r="AG20" s="17" t="e">
        <f>IF(VLOOKUP(Dinamika!$C$2,Texn!$B$3:$AQ$66,36,0)="","",VLOOKUP(Dinamika!$C$2,Texn!$B$3:$AQ$66,36,0))</f>
        <v>#N/A</v>
      </c>
      <c r="AH20" s="18" t="e">
        <f>IF(VLOOKUP(Dinamika!$C$2,Texn!$B$3:$AQ$66,37,0)="","",VLOOKUP(Dinamika!$C$2,Texn!$B$3:$AQ$66,37,0))</f>
        <v>#N/A</v>
      </c>
      <c r="AI20" s="18" t="e">
        <f>IF(VLOOKUP(Dinamika!$C$2,Texn!$B$3:$AQ$66,38,0)="","",VLOOKUP(Dinamika!$C$2,Texn!$B$3:$AQ$66,38,0))</f>
        <v>#N/A</v>
      </c>
      <c r="AJ20" s="18" t="e">
        <f>IF(VLOOKUP(Dinamika!$C$2,Texn!$B$3:$AQ$66,39,0)="","",VLOOKUP(Dinamika!$C$2,Texn!$B$3:$AQ$66,39,0))</f>
        <v>#N/A</v>
      </c>
      <c r="AK20" s="18" t="e">
        <f>IF(VLOOKUP(Dinamika!$C$2,Texn!$B$3:$AQ$66,40,0)="","",VLOOKUP(Dinamika!$C$2,Texn!$B$3:$AQ$66,40,0))</f>
        <v>#N/A</v>
      </c>
      <c r="AL20" s="171" t="e">
        <f>IF(VLOOKUP(Dinamika!$C$2,Texn!$B$3:$AQ$66,41,0)="","",VLOOKUP(Dinamika!$C$2,Texn!$B$3:$AQ$66,41,0))</f>
        <v>#N/A</v>
      </c>
      <c r="AM20" s="155" t="e">
        <f>IF(VLOOKUP(Dinamika!$C$2,Texn!$B$3:$AQ$66,42,0)="","",VLOOKUP(Dinamika!$C$2,Texn!$B$3:$AQ$66,42,0))</f>
        <v>#N/A</v>
      </c>
    </row>
    <row r="21" spans="1:39" ht="18.2" customHeight="1" x14ac:dyDescent="0.25">
      <c r="A21" s="62"/>
      <c r="B21" s="161">
        <f>IF(Müəllimlər!B19="","",Müəllimlər!B19)</f>
        <v>116</v>
      </c>
      <c r="C21" s="161" t="str">
        <f>IF(Müəllimlər!C19="","",Müəllimlər!C19)</f>
        <v>Fiziki tərbiyə</v>
      </c>
      <c r="D21" s="161" t="str">
        <f>IF(Müəllimlər!D19="","",Müəllimlər!D19)</f>
        <v>Xəlilova Bahar Xəlil, İsgəndərova İrina Qasım</v>
      </c>
      <c r="E21" s="161">
        <f>IF(Müəllimlər!E19="","",Müəllimlər!E19)</f>
        <v>68.680000000000007</v>
      </c>
      <c r="F21" s="122" t="e">
        <f>VLOOKUP(Dinamika!$C$2,'Fiz-t'!$B$3:$AQ$66,9,0)</f>
        <v>#N/A</v>
      </c>
      <c r="G21" s="3" t="e">
        <f>IF(VLOOKUP(Dinamika!$C$2,'Fiz-t'!$B$3:$AQ$66,10,0)="","",VLOOKUP(Dinamika!$C$2,'Fiz-t'!$B$3:$AQ$66,10,0))</f>
        <v>#N/A</v>
      </c>
      <c r="H21" s="3" t="e">
        <f>IF(VLOOKUP(Dinamika!$C$2,'Fiz-t'!$B$3:$AQ$66,11,0)="","",VLOOKUP(Dinamika!$C$2,'Fiz-t'!$B$3:$AQ$66,11,0))</f>
        <v>#N/A</v>
      </c>
      <c r="I21" s="3" t="e">
        <f>IF(VLOOKUP(Dinamika!$C$2,'Fiz-t'!$B$3:$AQ$66,12,0)="","",VLOOKUP(Dinamika!$C$2,'Fiz-t'!$B$3:$AQ$66,12,0))</f>
        <v>#N/A</v>
      </c>
      <c r="J21" s="3" t="e">
        <f>IF(VLOOKUP(Dinamika!$C$2,'Fiz-t'!$B$3:$AQ$66,13,0)="","",VLOOKUP(Dinamika!$C$2,'Fiz-t'!$B$3:$AQ$66,13,0))</f>
        <v>#N/A</v>
      </c>
      <c r="K21" s="3" t="e">
        <f>IF(VLOOKUP(Dinamika!$C$2,'Fiz-t'!$B$3:$AQ$66,14,0)="","",VLOOKUP(Dinamika!$C$2,'Fiz-t'!$B$3:$AQ$66,14,0))</f>
        <v>#N/A</v>
      </c>
      <c r="L21" s="3" t="e">
        <f>IF(VLOOKUP(Dinamika!$C$2,'Fiz-t'!$B$3:$AQ$66,15,0)="","",VLOOKUP(Dinamika!$C$2,'Fiz-t'!$B$3:$AQ$66,15,0))</f>
        <v>#N/A</v>
      </c>
      <c r="M21" s="3" t="e">
        <f>IF(VLOOKUP(Dinamika!$C$2,'Fiz-t'!$B$3:$AQ$66,16,0)="","",VLOOKUP(Dinamika!$C$2,'Fiz-t'!$B$3:$AQ$66,16,0))</f>
        <v>#N/A</v>
      </c>
      <c r="N21" s="3" t="e">
        <f>IF(VLOOKUP(Dinamika!$C$2,'Fiz-t'!$B$3:$AQ$66,17,0)="","",VLOOKUP(Dinamika!$C$2,'Fiz-t'!$B$3:$AQ$66,17,0))</f>
        <v>#N/A</v>
      </c>
      <c r="O21" s="4" t="e">
        <f>IF(VLOOKUP(Dinamika!$C$2,'Fiz-t'!$B$3:$AQ$66,18,0)="","",VLOOKUP(Dinamika!$C$2,'Fiz-t'!$B$3:$AQ$66,18,0))</f>
        <v>#N/A</v>
      </c>
      <c r="P21" s="3" t="e">
        <f>IF(VLOOKUP(Dinamika!$C$2,'Fiz-t'!$B$3:$AQ$66,19,0)="","",VLOOKUP(Dinamika!$C$2,'Fiz-t'!$B$3:$AQ$66,19,0))</f>
        <v>#N/A</v>
      </c>
      <c r="Q21" s="168" t="e">
        <f>IF(VLOOKUP(Dinamika!$C$2,'Fiz-t'!$B$3:$AQ$66,20,0)="","",VLOOKUP(Dinamika!$C$2,'Fiz-t'!$B$3:$AQ$66,20,0))</f>
        <v>#N/A</v>
      </c>
      <c r="R21" s="3" t="e">
        <f>IF(VLOOKUP(Dinamika!$C$2,'Fiz-t'!$B$3:$AQ$66,21,0)="","",VLOOKUP(Dinamika!$C$2,'Fiz-t'!$B$3:$AQ$66,21,0))</f>
        <v>#N/A</v>
      </c>
      <c r="S21" s="3" t="e">
        <f>IF(VLOOKUP(Dinamika!$C$2,'Fiz-t'!$B$3:$AQ$66,22,0)="","",VLOOKUP(Dinamika!$C$2,'Fiz-t'!$B$3:$AQ$66,22,0))</f>
        <v>#N/A</v>
      </c>
      <c r="T21" s="17" t="e">
        <f>IF(VLOOKUP(Dinamika!$C$2,'Fiz-t'!$B$3:$AQ$66,23,0)="","",VLOOKUP(Dinamika!$C$2,'Fiz-t'!$B$3:$AQ$66,23,0))</f>
        <v>#N/A</v>
      </c>
      <c r="U21" s="15" t="e">
        <f>IF(VLOOKUP(Dinamika!$C$2,'Fiz-t'!$B$3:$AQ$66,24,0)="","",VLOOKUP(Dinamika!$C$2,'Fiz-t'!$B$3:$AQ$66,24,0))</f>
        <v>#N/A</v>
      </c>
      <c r="V21" s="3" t="e">
        <f>IF(VLOOKUP(Dinamika!$C$2,'Fiz-t'!$B$3:$AQ$66,25,0)="","",VLOOKUP(Dinamika!$C$2,'Fiz-t'!$B$3:$AQ$66,25,0))</f>
        <v>#N/A</v>
      </c>
      <c r="W21" s="3" t="e">
        <f>IF(VLOOKUP(Dinamika!$C$2,'Fiz-t'!$B$3:$AQ$66,26,0)="","",VLOOKUP(Dinamika!$C$2,'Fiz-t'!$B$3:$AQ$66,26,0))</f>
        <v>#N/A</v>
      </c>
      <c r="X21" s="3" t="e">
        <f>IF(VLOOKUP(Dinamika!$C$2,'Fiz-t'!$B$3:$AQ$66,27,0)="","",VLOOKUP(Dinamika!$C$2,'Fiz-t'!$B$3:$AQ$66,27,0))</f>
        <v>#N/A</v>
      </c>
      <c r="Y21" s="3" t="e">
        <f>IF(VLOOKUP(Dinamika!$C$2,'Fiz-t'!$B$3:$AQ$66,28,0)="","",VLOOKUP(Dinamika!$C$2,'Fiz-t'!$B$3:$AQ$66,28,0))</f>
        <v>#N/A</v>
      </c>
      <c r="Z21" s="3" t="e">
        <f>IF(VLOOKUP(Dinamika!$C$2,'Fiz-t'!$B$3:$AQ$66,29,0)="","",VLOOKUP(Dinamika!$C$2,'Fiz-t'!$B$3:$AQ$66,29,0))</f>
        <v>#N/A</v>
      </c>
      <c r="AA21" s="3" t="e">
        <f>IF(VLOOKUP(Dinamika!$C$2,'Fiz-t'!$B$3:$AQ$66,30,0)="","",VLOOKUP(Dinamika!$C$2,'Fiz-t'!$B$3:$AQ$66,30,0))</f>
        <v>#N/A</v>
      </c>
      <c r="AB21" s="4" t="e">
        <f>IF(VLOOKUP(Dinamika!$C$2,'Fiz-t'!$B$3:$AQ$66,31,0)="","",VLOOKUP(Dinamika!$C$2,'Fiz-t'!$B$3:$AQ$66,31,0))</f>
        <v>#N/A</v>
      </c>
      <c r="AC21" s="3" t="e">
        <f>IF(VLOOKUP(Dinamika!$C$2,'Fiz-t'!$B$3:$AQ$66,32,0)="","",VLOOKUP(Dinamika!$C$2,'Fiz-t'!$B$3:$AQ$66,32,0))</f>
        <v>#N/A</v>
      </c>
      <c r="AD21" s="168" t="e">
        <f>IF(VLOOKUP(Dinamika!$C$2,'Fiz-t'!$B$3:$AQ$66,33,0)="","",VLOOKUP(Dinamika!$C$2,'Fiz-t'!$B$3:$AQ$66,33,0))</f>
        <v>#N/A</v>
      </c>
      <c r="AE21" s="3" t="e">
        <f>IF(VLOOKUP(Dinamika!$C$2,'Fiz-t'!$B$3:$AQ$66,34,0)="","",VLOOKUP(Dinamika!$C$2,'Fiz-t'!$B$3:$AQ$66,34,0))</f>
        <v>#N/A</v>
      </c>
      <c r="AF21" s="3" t="e">
        <f>IF(VLOOKUP(Dinamika!$C$2,'Fiz-t'!$B$3:$AQ$66,35,0)="","",VLOOKUP(Dinamika!$C$2,'Fiz-t'!$B$3:$AQ$66,35,0))</f>
        <v>#N/A</v>
      </c>
      <c r="AG21" s="17" t="e">
        <f>IF(VLOOKUP(Dinamika!$C$2,'Fiz-t'!$B$3:$AQ$66,36,0)="","",VLOOKUP(Dinamika!$C$2,'Fiz-t'!$B$3:$AQ$66,36,0))</f>
        <v>#N/A</v>
      </c>
      <c r="AH21" s="18" t="e">
        <f>IF(VLOOKUP(Dinamika!$C$2,'Fiz-t'!$B$3:$AQ$66,37,0)="","",VLOOKUP(Dinamika!$C$2,'Fiz-t'!$B$3:$AQ$66,37,0))</f>
        <v>#N/A</v>
      </c>
      <c r="AI21" s="5" t="e">
        <f>IF(VLOOKUP(Dinamika!$C$2,'Fiz-t'!$B$3:$AQ$66,38,0)="","",VLOOKUP(Dinamika!$C$2,'Fiz-t'!$B$3:$AQ$66,38,0))</f>
        <v>#N/A</v>
      </c>
      <c r="AJ21" s="5" t="e">
        <f>IF(VLOOKUP(Dinamika!$C$2,'Fiz-t'!$B$3:$AQ$66,39,0)="","",VLOOKUP(Dinamika!$C$2,'Fiz-t'!$B$3:$AQ$66,39,0))</f>
        <v>#N/A</v>
      </c>
      <c r="AK21" s="5" t="e">
        <f>IF(VLOOKUP(Dinamika!$C$2,'Fiz-t'!$B$3:$AQ$66,40,0)="","",VLOOKUP(Dinamika!$C$2,'Fiz-t'!$B$3:$AQ$66,40,0))</f>
        <v>#N/A</v>
      </c>
      <c r="AL21" s="172" t="e">
        <f>IF(VLOOKUP(Dinamika!$C$2,'Fiz-t'!$B$3:$AQ$66,41,0)="","",VLOOKUP(Dinamika!$C$2,'Fiz-t'!$B$3:$AQ$66,41,0))</f>
        <v>#N/A</v>
      </c>
      <c r="AM21" s="155" t="e">
        <f>IF(VLOOKUP(Dinamika!$C$2,'Fiz-t'!$B$3:$AQ$66,42,0)="","",VLOOKUP(Dinamika!$C$2,'Fiz-t'!$B$3:$AQ$66,42,0))</f>
        <v>#N/A</v>
      </c>
    </row>
    <row r="22" spans="1:39" ht="18.2" customHeight="1" x14ac:dyDescent="0.25">
      <c r="A22" s="62"/>
      <c r="B22" s="161">
        <f>IF(Müəllimlər!B20="","",Müəllimlər!B20)</f>
        <v>117</v>
      </c>
      <c r="C22" s="161" t="str">
        <f>IF(Müəllimlər!C20="","",Müəllimlər!C20)</f>
        <v>Musiqi</v>
      </c>
      <c r="D22" s="161" t="str">
        <f>IF(Müəllimlər!D20="","",Müəllimlər!D20)</f>
        <v>Həşimova Fəridə Həşim</v>
      </c>
      <c r="E22" s="161">
        <f>IF(Müəllimlər!E20="","",Müəllimlər!E20)</f>
        <v>34</v>
      </c>
      <c r="F22" s="122" t="e">
        <f>VLOOKUP(Dinamika!$C$2,Mus!$B$3:$AQ$66,9,0)</f>
        <v>#N/A</v>
      </c>
      <c r="G22" s="15" t="e">
        <f>IF(VLOOKUP(Dinamika!$C$2,Mus!$B$3:$AQ$66,10,0)="","",VLOOKUP(Dinamika!$C$2,Mus!$B$3:$AQ$66,10,0))</f>
        <v>#N/A</v>
      </c>
      <c r="H22" s="15" t="e">
        <f>IF(VLOOKUP(Dinamika!$C$2,Mus!$B$3:$AQ$66,11,0)="","",VLOOKUP(Dinamika!$C$2,Mus!$B$3:$AQ$66,11,0))</f>
        <v>#N/A</v>
      </c>
      <c r="I22" s="15" t="e">
        <f>IF(VLOOKUP(Dinamika!$C$2,Mus!$B$3:$AQ$66,12,0)="","",VLOOKUP(Dinamika!$C$2,Mus!$B$3:$AQ$66,12,0))</f>
        <v>#N/A</v>
      </c>
      <c r="J22" s="15" t="e">
        <f>IF(VLOOKUP(Dinamika!$C$2,Mus!$B$3:$AQ$66,13,0)="","",VLOOKUP(Dinamika!$C$2,Mus!$B$3:$AQ$66,13,0))</f>
        <v>#N/A</v>
      </c>
      <c r="K22" s="15" t="e">
        <f>IF(VLOOKUP(Dinamika!$C$2,Mus!$B$3:$AQ$66,14,0)="","",VLOOKUP(Dinamika!$C$2,Mus!$B$3:$AQ$66,14,0))</f>
        <v>#N/A</v>
      </c>
      <c r="L22" s="15" t="e">
        <f>IF(VLOOKUP(Dinamika!$C$2,Mus!$B$3:$AQ$66,15,0)="","",VLOOKUP(Dinamika!$C$2,Mus!$B$3:$AQ$66,15,0))</f>
        <v>#N/A</v>
      </c>
      <c r="M22" s="15" t="e">
        <f>IF(VLOOKUP(Dinamika!$C$2,Mus!$B$3:$AQ$66,16,0)="","",VLOOKUP(Dinamika!$C$2,Mus!$B$3:$AQ$66,16,0))</f>
        <v>#N/A</v>
      </c>
      <c r="N22" s="15" t="e">
        <f>IF(VLOOKUP(Dinamika!$C$2,Mus!$B$3:$AQ$66,17,0)="","",VLOOKUP(Dinamika!$C$2,Mus!$B$3:$AQ$66,17,0))</f>
        <v>#N/A</v>
      </c>
      <c r="O22" s="151" t="e">
        <f>IF(VLOOKUP(Dinamika!$C$2,Mus!$B$3:$AQ$66,18,0)="","",VLOOKUP(Dinamika!$C$2,Mus!$B$3:$AQ$66,18,0))</f>
        <v>#N/A</v>
      </c>
      <c r="P22" s="15" t="e">
        <f>IF(VLOOKUP(Dinamika!$C$2,Mus!$B$3:$AQ$66,19,0)="","",VLOOKUP(Dinamika!$C$2,Mus!$B$3:$AQ$66,19,0))</f>
        <v>#N/A</v>
      </c>
      <c r="Q22" s="167" t="e">
        <f>IF(VLOOKUP(Dinamika!$C$2,Mus!$B$3:$AQ$66,20,0)="","",VLOOKUP(Dinamika!$C$2,Mus!$B$3:$AQ$66,20,0))</f>
        <v>#N/A</v>
      </c>
      <c r="R22" s="15" t="e">
        <f>IF(VLOOKUP(Dinamika!$C$2,Mus!$B$3:$AQ$66,21,0)="","",VLOOKUP(Dinamika!$C$2,Mus!$B$3:$AQ$66,21,0))</f>
        <v>#N/A</v>
      </c>
      <c r="S22" s="15" t="e">
        <f>IF(VLOOKUP(Dinamika!$C$2,Mus!$B$3:$AQ$66,22,0)="","",VLOOKUP(Dinamika!$C$2,Mus!$B$3:$AQ$66,22,0))</f>
        <v>#N/A</v>
      </c>
      <c r="T22" s="17" t="e">
        <f>IF(VLOOKUP(Dinamika!$C$2,Mus!$B$3:$AQ$66,23,0)="","",VLOOKUP(Dinamika!$C$2,Mus!$B$3:$AQ$66,23,0))</f>
        <v>#N/A</v>
      </c>
      <c r="U22" s="15" t="e">
        <f>IF(VLOOKUP(Dinamika!$C$2,Mus!$B$3:$AQ$66,24,0)="","",VLOOKUP(Dinamika!$C$2,Mus!$B$3:$AQ$66,24,0))</f>
        <v>#N/A</v>
      </c>
      <c r="V22" s="15" t="e">
        <f>IF(VLOOKUP(Dinamika!$C$2,Mus!$B$3:$AQ$66,25,0)="","",VLOOKUP(Dinamika!$C$2,Mus!$B$3:$AQ$66,25,0))</f>
        <v>#N/A</v>
      </c>
      <c r="W22" s="15" t="e">
        <f>IF(VLOOKUP(Dinamika!$C$2,Mus!$B$3:$AQ$66,26,0)="","",VLOOKUP(Dinamika!$C$2,Mus!$B$3:$AQ$66,26,0))</f>
        <v>#N/A</v>
      </c>
      <c r="X22" s="15" t="e">
        <f>IF(VLOOKUP(Dinamika!$C$2,Mus!$B$3:$AQ$66,27,0)="","",VLOOKUP(Dinamika!$C$2,Mus!$B$3:$AQ$66,27,0))</f>
        <v>#N/A</v>
      </c>
      <c r="Y22" s="15" t="e">
        <f>IF(VLOOKUP(Dinamika!$C$2,Mus!$B$3:$AQ$66,28,0)="","",VLOOKUP(Dinamika!$C$2,Mus!$B$3:$AQ$66,28,0))</f>
        <v>#N/A</v>
      </c>
      <c r="Z22" s="15" t="e">
        <f>IF(VLOOKUP(Dinamika!$C$2,Mus!$B$3:$AQ$66,29,0)="","",VLOOKUP(Dinamika!$C$2,Mus!$B$3:$AQ$66,29,0))</f>
        <v>#N/A</v>
      </c>
      <c r="AA22" s="15" t="e">
        <f>IF(VLOOKUP(Dinamika!$C$2,Mus!$B$3:$AQ$66,30,0)="","",VLOOKUP(Dinamika!$C$2,Mus!$B$3:$AQ$66,30,0))</f>
        <v>#N/A</v>
      </c>
      <c r="AB22" s="151" t="e">
        <f>IF(VLOOKUP(Dinamika!$C$2,Mus!$B$3:$AQ$66,31,0)="","",VLOOKUP(Dinamika!$C$2,Mus!$B$3:$AQ$66,31,0))</f>
        <v>#N/A</v>
      </c>
      <c r="AC22" s="15" t="e">
        <f>IF(VLOOKUP(Dinamika!$C$2,Mus!$B$3:$AQ$66,32,0)="","",VLOOKUP(Dinamika!$C$2,Mus!$B$3:$AQ$66,32,0))</f>
        <v>#N/A</v>
      </c>
      <c r="AD22" s="167" t="e">
        <f>IF(VLOOKUP(Dinamika!$C$2,Mus!$B$3:$AQ$66,33,0)="","",VLOOKUP(Dinamika!$C$2,Mus!$B$3:$AQ$66,33,0))</f>
        <v>#N/A</v>
      </c>
      <c r="AE22" s="15" t="e">
        <f>IF(VLOOKUP(Dinamika!$C$2,Mus!$B$3:$AQ$66,34,0)="","",VLOOKUP(Dinamika!$C$2,Mus!$B$3:$AQ$66,34,0))</f>
        <v>#N/A</v>
      </c>
      <c r="AF22" s="15" t="e">
        <f>IF(VLOOKUP(Dinamika!$C$2,Mus!$B$3:$AQ$66,35,0)="","",VLOOKUP(Dinamika!$C$2,Mus!$B$3:$AQ$66,35,0))</f>
        <v>#N/A</v>
      </c>
      <c r="AG22" s="17" t="e">
        <f>IF(VLOOKUP(Dinamika!$C$2,Mus!$B$3:$AQ$66,36,0)="","",VLOOKUP(Dinamika!$C$2,Mus!$B$3:$AQ$66,36,0))</f>
        <v>#N/A</v>
      </c>
      <c r="AH22" s="18" t="e">
        <f>IF(VLOOKUP(Dinamika!$C$2,Mus!$B$3:$AQ$66,37,0)="","",VLOOKUP(Dinamika!$C$2,Mus!$B$3:$AQ$66,37,0))</f>
        <v>#N/A</v>
      </c>
      <c r="AI22" s="18" t="e">
        <f>IF(VLOOKUP(Dinamika!$C$2,Mus!$B$3:$AQ$66,38,0)="","",VLOOKUP(Dinamika!$C$2,Mus!$B$3:$AQ$66,38,0))</f>
        <v>#N/A</v>
      </c>
      <c r="AJ22" s="18" t="e">
        <f>IF(VLOOKUP(Dinamika!$C$2,Mus!$B$3:$AQ$66,39,0)="","",VLOOKUP(Dinamika!$C$2,Mus!$B$3:$AQ$66,39,0))</f>
        <v>#N/A</v>
      </c>
      <c r="AK22" s="18" t="e">
        <f>IF(VLOOKUP(Dinamika!$C$2,Mus!$B$3:$AQ$66,40,0)="","",VLOOKUP(Dinamika!$C$2,Mus!$B$3:$AQ$66,40,0))</f>
        <v>#N/A</v>
      </c>
      <c r="AL22" s="171" t="e">
        <f>IF(VLOOKUP(Dinamika!$C$2,Mus!$B$3:$AQ$66,41,0)="","",VLOOKUP(Dinamika!$C$2,Mus!$B$3:$AQ$66,41,0))</f>
        <v>#N/A</v>
      </c>
      <c r="AM22" s="155" t="e">
        <f>IF(VLOOKUP(Dinamika!$C$2,Mus!$B$3:$AQ$66,42,0)="","",VLOOKUP(Dinamika!$C$2,Mus!$B$3:$AQ$66,42,0))</f>
        <v>#N/A</v>
      </c>
    </row>
    <row r="23" spans="1:39" ht="18.2" customHeight="1" x14ac:dyDescent="0.25">
      <c r="A23" s="62"/>
      <c r="B23" s="161">
        <f>IF(Müəllimlər!B21="","",Müəllimlər!B21)</f>
        <v>118</v>
      </c>
      <c r="C23" s="161" t="str">
        <f>IF(Müəllimlər!C21="","",Müəllimlər!C21)</f>
        <v>Təsviri incəsənət</v>
      </c>
      <c r="D23" s="161" t="str">
        <f>IF(Müəllimlər!D21="","",Müəllimlər!D21)</f>
        <v>Quliyeva Təranə Xanlar</v>
      </c>
      <c r="E23" s="161">
        <f>IF(Müəllimlər!E21="","",Müəllimlər!E21)</f>
        <v>34</v>
      </c>
      <c r="F23" s="122" t="e">
        <f>VLOOKUP(Dinamika!$C$2,'Təs-i'!$B$3:$AQ$66,9,0)</f>
        <v>#N/A</v>
      </c>
      <c r="G23" s="15" t="e">
        <f>IF(VLOOKUP(Dinamika!$C$2,'Təs-i'!$B$3:$AQ$66,10,0)="","",VLOOKUP(Dinamika!$C$2,'Təs-i'!$B$3:$AQ$66,10,0))</f>
        <v>#N/A</v>
      </c>
      <c r="H23" s="15" t="e">
        <f>IF(VLOOKUP(Dinamika!$C$2,'Təs-i'!$B$3:$AQ$66,11,0)="","",VLOOKUP(Dinamika!$C$2,'Təs-i'!$B$3:$AQ$66,11,0))</f>
        <v>#N/A</v>
      </c>
      <c r="I23" s="15" t="e">
        <f>IF(VLOOKUP(Dinamika!$C$2,'Təs-i'!$B$3:$AQ$66,12,0)="","",VLOOKUP(Dinamika!$C$2,'Təs-i'!$B$3:$AQ$66,12,0))</f>
        <v>#N/A</v>
      </c>
      <c r="J23" s="15" t="e">
        <f>IF(VLOOKUP(Dinamika!$C$2,'Təs-i'!$B$3:$AQ$66,13,0)="","",VLOOKUP(Dinamika!$C$2,'Təs-i'!$B$3:$AQ$66,13,0))</f>
        <v>#N/A</v>
      </c>
      <c r="K23" s="15" t="e">
        <f>IF(VLOOKUP(Dinamika!$C$2,'Təs-i'!$B$3:$AQ$66,14,0)="","",VLOOKUP(Dinamika!$C$2,'Təs-i'!$B$3:$AQ$66,14,0))</f>
        <v>#N/A</v>
      </c>
      <c r="L23" s="15" t="e">
        <f>IF(VLOOKUP(Dinamika!$C$2,'Təs-i'!$B$3:$AQ$66,15,0)="","",VLOOKUP(Dinamika!$C$2,'Təs-i'!$B$3:$AQ$66,15,0))</f>
        <v>#N/A</v>
      </c>
      <c r="M23" s="15" t="e">
        <f>IF(VLOOKUP(Dinamika!$C$2,'Təs-i'!$B$3:$AQ$66,16,0)="","",VLOOKUP(Dinamika!$C$2,'Təs-i'!$B$3:$AQ$66,16,0))</f>
        <v>#N/A</v>
      </c>
      <c r="N23" s="15" t="e">
        <f>IF(VLOOKUP(Dinamika!$C$2,'Təs-i'!$B$3:$AQ$66,17,0)="","",VLOOKUP(Dinamika!$C$2,'Təs-i'!$B$3:$AQ$66,17,0))</f>
        <v>#N/A</v>
      </c>
      <c r="O23" s="151" t="e">
        <f>IF(VLOOKUP(Dinamika!$C$2,'Təs-i'!$B$3:$AQ$66,18,0)="","",VLOOKUP(Dinamika!$C$2,'Təs-i'!$B$3:$AQ$66,18,0))</f>
        <v>#N/A</v>
      </c>
      <c r="P23" s="15" t="e">
        <f>IF(VLOOKUP(Dinamika!$C$2,'Təs-i'!$B$3:$AQ$66,19,0)="","",VLOOKUP(Dinamika!$C$2,'Təs-i'!$B$3:$AQ$66,19,0))</f>
        <v>#N/A</v>
      </c>
      <c r="Q23" s="167" t="e">
        <f>IF(VLOOKUP(Dinamika!$C$2,'Təs-i'!$B$3:$AQ$66,20,0)="","",VLOOKUP(Dinamika!$C$2,'Təs-i'!$B$3:$AQ$66,20,0))</f>
        <v>#N/A</v>
      </c>
      <c r="R23" s="15" t="e">
        <f>IF(VLOOKUP(Dinamika!$C$2,'Təs-i'!$B$3:$AQ$66,21,0)="","",VLOOKUP(Dinamika!$C$2,'Təs-i'!$B$3:$AQ$66,21,0))</f>
        <v>#N/A</v>
      </c>
      <c r="S23" s="15" t="e">
        <f>IF(VLOOKUP(Dinamika!$C$2,'Təs-i'!$B$3:$AQ$66,22,0)="","",VLOOKUP(Dinamika!$C$2,'Təs-i'!$B$3:$AQ$66,22,0))</f>
        <v>#N/A</v>
      </c>
      <c r="T23" s="17" t="e">
        <f>IF(VLOOKUP(Dinamika!$C$2,'Təs-i'!$B$3:$AQ$66,23,0)="","",VLOOKUP(Dinamika!$C$2,'Təs-i'!$B$3:$AQ$66,23,0))</f>
        <v>#N/A</v>
      </c>
      <c r="U23" s="15" t="e">
        <f>IF(VLOOKUP(Dinamika!$C$2,'Təs-i'!$B$3:$AQ$66,24,0)="","",VLOOKUP(Dinamika!$C$2,'Təs-i'!$B$3:$AQ$66,24,0))</f>
        <v>#N/A</v>
      </c>
      <c r="V23" s="15" t="e">
        <f>IF(VLOOKUP(Dinamika!$C$2,'Təs-i'!$B$3:$AQ$66,25,0)="","",VLOOKUP(Dinamika!$C$2,'Təs-i'!$B$3:$AQ$66,25,0))</f>
        <v>#N/A</v>
      </c>
      <c r="W23" s="15" t="e">
        <f>IF(VLOOKUP(Dinamika!$C$2,'Təs-i'!$B$3:$AQ$66,26,0)="","",VLOOKUP(Dinamika!$C$2,'Təs-i'!$B$3:$AQ$66,26,0))</f>
        <v>#N/A</v>
      </c>
      <c r="X23" s="15" t="e">
        <f>IF(VLOOKUP(Dinamika!$C$2,'Təs-i'!$B$3:$AQ$66,27,0)="","",VLOOKUP(Dinamika!$C$2,'Təs-i'!$B$3:$AQ$66,27,0))</f>
        <v>#N/A</v>
      </c>
      <c r="Y23" s="15" t="e">
        <f>IF(VLOOKUP(Dinamika!$C$2,'Təs-i'!$B$3:$AQ$66,28,0)="","",VLOOKUP(Dinamika!$C$2,'Təs-i'!$B$3:$AQ$66,28,0))</f>
        <v>#N/A</v>
      </c>
      <c r="Z23" s="15" t="e">
        <f>IF(VLOOKUP(Dinamika!$C$2,'Təs-i'!$B$3:$AQ$66,29,0)="","",VLOOKUP(Dinamika!$C$2,'Təs-i'!$B$3:$AQ$66,29,0))</f>
        <v>#N/A</v>
      </c>
      <c r="AA23" s="15" t="e">
        <f>IF(VLOOKUP(Dinamika!$C$2,'Təs-i'!$B$3:$AQ$66,30,0)="","",VLOOKUP(Dinamika!$C$2,'Təs-i'!$B$3:$AQ$66,30,0))</f>
        <v>#N/A</v>
      </c>
      <c r="AB23" s="151" t="e">
        <f>IF(VLOOKUP(Dinamika!$C$2,'Təs-i'!$B$3:$AQ$66,31,0)="","",VLOOKUP(Dinamika!$C$2,'Təs-i'!$B$3:$AQ$66,31,0))</f>
        <v>#N/A</v>
      </c>
      <c r="AC23" s="15" t="e">
        <f>IF(VLOOKUP(Dinamika!$C$2,'Təs-i'!$B$3:$AQ$66,32,0)="","",VLOOKUP(Dinamika!$C$2,'Təs-i'!$B$3:$AQ$66,32,0))</f>
        <v>#N/A</v>
      </c>
      <c r="AD23" s="167" t="e">
        <f>IF(VLOOKUP(Dinamika!$C$2,'Təs-i'!$B$3:$AQ$66,33,0)="","",VLOOKUP(Dinamika!$C$2,'Təs-i'!$B$3:$AQ$66,33,0))</f>
        <v>#N/A</v>
      </c>
      <c r="AE23" s="15" t="e">
        <f>IF(VLOOKUP(Dinamika!$C$2,'Təs-i'!$B$3:$AQ$66,34,0)="","",VLOOKUP(Dinamika!$C$2,'Təs-i'!$B$3:$AQ$66,34,0))</f>
        <v>#N/A</v>
      </c>
      <c r="AF23" s="15" t="e">
        <f>IF(VLOOKUP(Dinamika!$C$2,'Təs-i'!$B$3:$AQ$66,35,0)="","",VLOOKUP(Dinamika!$C$2,'Təs-i'!$B$3:$AQ$66,35,0))</f>
        <v>#N/A</v>
      </c>
      <c r="AG23" s="17" t="e">
        <f>IF(VLOOKUP(Dinamika!$C$2,'Təs-i'!$B$3:$AQ$66,36,0)="","",VLOOKUP(Dinamika!$C$2,'Təs-i'!$B$3:$AQ$66,36,0))</f>
        <v>#N/A</v>
      </c>
      <c r="AH23" s="18" t="e">
        <f>IF(VLOOKUP(Dinamika!$C$2,'Təs-i'!$B$3:$AQ$66,37,0)="","",VLOOKUP(Dinamika!$C$2,'Təs-i'!$B$3:$AQ$66,37,0))</f>
        <v>#N/A</v>
      </c>
      <c r="AI23" s="18" t="e">
        <f>IF(VLOOKUP(Dinamika!$C$2,'Təs-i'!$B$3:$AQ$66,38,0)="","",VLOOKUP(Dinamika!$C$2,'Təs-i'!$B$3:$AQ$66,38,0))</f>
        <v>#N/A</v>
      </c>
      <c r="AJ23" s="18" t="e">
        <f>IF(VLOOKUP(Dinamika!$C$2,'Təs-i'!$B$3:$AQ$66,39,0)="","",VLOOKUP(Dinamika!$C$2,'Təs-i'!$B$3:$AQ$66,39,0))</f>
        <v>#N/A</v>
      </c>
      <c r="AK23" s="18" t="e">
        <f>IF(VLOOKUP(Dinamika!$C$2,'Təs-i'!$B$3:$AQ$66,40,0)="","",VLOOKUP(Dinamika!$C$2,'Təs-i'!$B$3:$AQ$66,40,0))</f>
        <v>#N/A</v>
      </c>
      <c r="AL23" s="171" t="e">
        <f>IF(VLOOKUP(Dinamika!$C$2,'Təs-i'!$B$3:$AQ$66,41,0)="","",VLOOKUP(Dinamika!$C$2,'Təs-i'!$B$3:$AQ$66,41,0))</f>
        <v>#N/A</v>
      </c>
      <c r="AM23" s="155" t="e">
        <f>IF(VLOOKUP(Dinamika!$C$2,'Təs-i'!$B$3:$AQ$66,42,0)="","",VLOOKUP(Dinamika!$C$2,'Təs-i'!$B$3:$AQ$66,42,0))</f>
        <v>#N/A</v>
      </c>
    </row>
    <row r="24" spans="1:39" ht="18.2" customHeight="1" x14ac:dyDescent="0.25">
      <c r="A24" s="62"/>
      <c r="B24" s="161">
        <f>IF(Müəllimlər!B22="","",Müəllimlər!B22)</f>
        <v>119</v>
      </c>
      <c r="C24" s="161" t="str">
        <f>IF(Müəllimlər!C22="","",Müəllimlər!C22)</f>
        <v>Çağırışaqədərki hazırlıq</v>
      </c>
      <c r="D24" s="161" t="str">
        <f>IF(Müəllimlər!D22="","",Müəllimlər!D22)</f>
        <v/>
      </c>
      <c r="E24" s="161" t="str">
        <f>IF(Müəllimlər!E22="","",Müəllimlər!E22)</f>
        <v/>
      </c>
      <c r="F24" s="122" t="e">
        <f>VLOOKUP(Dinamika!$C$2,'Ç-h'!$B$3:$AQ$66,9,0)</f>
        <v>#N/A</v>
      </c>
      <c r="G24" s="15" t="e">
        <f>IF(VLOOKUP(Dinamika!$C$2,'Ç-h'!$B$3:$AQ$66,10,0)="","",VLOOKUP(Dinamika!$C$2,'Ç-h'!$B$3:$AQ$66,10,0))</f>
        <v>#N/A</v>
      </c>
      <c r="H24" s="15" t="e">
        <f>IF(VLOOKUP(Dinamika!$C$2,'Ç-h'!$B$3:$AQ$66,11,0)="","",VLOOKUP(Dinamika!$C$2,'Ç-h'!$B$3:$AQ$66,11,0))</f>
        <v>#N/A</v>
      </c>
      <c r="I24" s="15" t="e">
        <f>IF(VLOOKUP(Dinamika!$C$2,'Ç-h'!$B$3:$AQ$66,12,0)="","",VLOOKUP(Dinamika!$C$2,'Ç-h'!$B$3:$AQ$66,12,0))</f>
        <v>#N/A</v>
      </c>
      <c r="J24" s="15" t="e">
        <f>IF(VLOOKUP(Dinamika!$C$2,'Ç-h'!$B$3:$AQ$66,13,0)="","",VLOOKUP(Dinamika!$C$2,'Ç-h'!$B$3:$AQ$66,13,0))</f>
        <v>#N/A</v>
      </c>
      <c r="K24" s="15" t="e">
        <f>IF(VLOOKUP(Dinamika!$C$2,'Ç-h'!$B$3:$AQ$66,14,0)="","",VLOOKUP(Dinamika!$C$2,'Ç-h'!$B$3:$AQ$66,14,0))</f>
        <v>#N/A</v>
      </c>
      <c r="L24" s="15" t="e">
        <f>IF(VLOOKUP(Dinamika!$C$2,'Ç-h'!$B$3:$AQ$66,15,0)="","",VLOOKUP(Dinamika!$C$2,'Ç-h'!$B$3:$AQ$66,15,0))</f>
        <v>#N/A</v>
      </c>
      <c r="M24" s="15" t="e">
        <f>IF(VLOOKUP(Dinamika!$C$2,'Ç-h'!$B$3:$AQ$66,16,0)="","",VLOOKUP(Dinamika!$C$2,'Ç-h'!$B$3:$AQ$66,16,0))</f>
        <v>#N/A</v>
      </c>
      <c r="N24" s="15" t="e">
        <f>IF(VLOOKUP(Dinamika!$C$2,'Ç-h'!$B$3:$AQ$66,17,0)="","",VLOOKUP(Dinamika!$C$2,'Ç-h'!$B$3:$AQ$66,17,0))</f>
        <v>#N/A</v>
      </c>
      <c r="O24" s="151" t="e">
        <f>IF(VLOOKUP(Dinamika!$C$2,'Ç-h'!$B$3:$AQ$66,18,0)="","",VLOOKUP(Dinamika!$C$2,'Ç-h'!$B$3:$AQ$66,18,0))</f>
        <v>#N/A</v>
      </c>
      <c r="P24" s="15" t="e">
        <f>IF(VLOOKUP(Dinamika!$C$2,'Ç-h'!$B$3:$AQ$66,19,0)="","",VLOOKUP(Dinamika!$C$2,'Ç-h'!$B$3:$AQ$66,19,0))</f>
        <v>#N/A</v>
      </c>
      <c r="Q24" s="167" t="e">
        <f>IF(VLOOKUP(Dinamika!$C$2,'Ç-h'!$B$3:$AQ$66,20,0)="","",VLOOKUP(Dinamika!$C$2,'Ç-h'!$B$3:$AQ$66,20,0))</f>
        <v>#N/A</v>
      </c>
      <c r="R24" s="15" t="e">
        <f>IF(VLOOKUP(Dinamika!$C$2,'Ç-h'!$B$3:$AQ$66,21,0)="","",VLOOKUP(Dinamika!$C$2,'Ç-h'!$B$3:$AQ$66,21,0))</f>
        <v>#N/A</v>
      </c>
      <c r="S24" s="15" t="e">
        <f>IF(VLOOKUP(Dinamika!$C$2,'Ç-h'!$B$3:$AQ$66,22,0)="","",VLOOKUP(Dinamika!$C$2,'Ç-h'!$B$3:$AQ$66,22,0))</f>
        <v>#N/A</v>
      </c>
      <c r="T24" s="17" t="e">
        <f>IF(VLOOKUP(Dinamika!$C$2,'Ç-h'!$B$3:$AQ$66,23,0)="","",VLOOKUP(Dinamika!$C$2,'Ç-h'!$B$3:$AQ$66,23,0))</f>
        <v>#N/A</v>
      </c>
      <c r="U24" s="15" t="e">
        <f>IF(VLOOKUP(Dinamika!$C$2,'Ç-h'!$B$3:$AQ$66,24,0)="","",VLOOKUP(Dinamika!$C$2,'Ç-h'!$B$3:$AQ$66,24,0))</f>
        <v>#N/A</v>
      </c>
      <c r="V24" s="15" t="e">
        <f>IF(VLOOKUP(Dinamika!$C$2,'Ç-h'!$B$3:$AQ$66,25,0)="","",VLOOKUP(Dinamika!$C$2,'Ç-h'!$B$3:$AQ$66,25,0))</f>
        <v>#N/A</v>
      </c>
      <c r="W24" s="15" t="e">
        <f>IF(VLOOKUP(Dinamika!$C$2,'Ç-h'!$B$3:$AQ$66,26,0)="","",VLOOKUP(Dinamika!$C$2,'Ç-h'!$B$3:$AQ$66,26,0))</f>
        <v>#N/A</v>
      </c>
      <c r="X24" s="15" t="e">
        <f>IF(VLOOKUP(Dinamika!$C$2,'Ç-h'!$B$3:$AQ$66,27,0)="","",VLOOKUP(Dinamika!$C$2,'Ç-h'!$B$3:$AQ$66,27,0))</f>
        <v>#N/A</v>
      </c>
      <c r="Y24" s="15" t="e">
        <f>IF(VLOOKUP(Dinamika!$C$2,'Ç-h'!$B$3:$AQ$66,28,0)="","",VLOOKUP(Dinamika!$C$2,'Ç-h'!$B$3:$AQ$66,28,0))</f>
        <v>#N/A</v>
      </c>
      <c r="Z24" s="15" t="e">
        <f>IF(VLOOKUP(Dinamika!$C$2,'Ç-h'!$B$3:$AQ$66,29,0)="","",VLOOKUP(Dinamika!$C$2,'Ç-h'!$B$3:$AQ$66,29,0))</f>
        <v>#N/A</v>
      </c>
      <c r="AA24" s="15" t="e">
        <f>IF(VLOOKUP(Dinamika!$C$2,'Ç-h'!$B$3:$AQ$66,30,0)="","",VLOOKUP(Dinamika!$C$2,'Ç-h'!$B$3:$AQ$66,30,0))</f>
        <v>#N/A</v>
      </c>
      <c r="AB24" s="151" t="e">
        <f>IF(VLOOKUP(Dinamika!$C$2,'Ç-h'!$B$3:$AQ$66,31,0)="","",VLOOKUP(Dinamika!$C$2,'Ç-h'!$B$3:$AQ$66,31,0))</f>
        <v>#N/A</v>
      </c>
      <c r="AC24" s="15" t="e">
        <f>IF(VLOOKUP(Dinamika!$C$2,'Ç-h'!$B$3:$AQ$66,32,0)="","",VLOOKUP(Dinamika!$C$2,'Ç-h'!$B$3:$AQ$66,32,0))</f>
        <v>#N/A</v>
      </c>
      <c r="AD24" s="167" t="e">
        <f>IF(VLOOKUP(Dinamika!$C$2,'Ç-h'!$B$3:$AQ$66,33,0)="","",VLOOKUP(Dinamika!$C$2,'Ç-h'!$B$3:$AQ$66,33,0))</f>
        <v>#N/A</v>
      </c>
      <c r="AE24" s="15" t="e">
        <f>IF(VLOOKUP(Dinamika!$C$2,'Ç-h'!$B$3:$AQ$66,34,0)="","",VLOOKUP(Dinamika!$C$2,'Ç-h'!$B$3:$AQ$66,34,0))</f>
        <v>#N/A</v>
      </c>
      <c r="AF24" s="15" t="e">
        <f>IF(VLOOKUP(Dinamika!$C$2,'Ç-h'!$B$3:$AQ$66,35,0)="","",VLOOKUP(Dinamika!$C$2,'Ç-h'!$B$3:$AQ$66,35,0))</f>
        <v>#N/A</v>
      </c>
      <c r="AG24" s="17" t="e">
        <f>IF(VLOOKUP(Dinamika!$C$2,'Ç-h'!$B$3:$AQ$66,36,0)="","",VLOOKUP(Dinamika!$C$2,'Ç-h'!$B$3:$AQ$66,36,0))</f>
        <v>#N/A</v>
      </c>
      <c r="AH24" s="18" t="e">
        <f>IF(VLOOKUP(Dinamika!$C$2,'Ç-h'!$B$3:$AQ$66,37,0)="","",VLOOKUP(Dinamika!$C$2,'Ç-h'!$B$3:$AQ$66,37,0))</f>
        <v>#N/A</v>
      </c>
      <c r="AI24" s="18" t="e">
        <f>IF(VLOOKUP(Dinamika!$C$2,'Ç-h'!$B$3:$AQ$66,38,0)="","",VLOOKUP(Dinamika!$C$2,'Ç-h'!$B$3:$AQ$66,38,0))</f>
        <v>#N/A</v>
      </c>
      <c r="AJ24" s="18" t="e">
        <f>IF(VLOOKUP(Dinamika!$C$2,'Ç-h'!$B$3:$AQ$66,39,0)="","",VLOOKUP(Dinamika!$C$2,'Ç-h'!$B$3:$AQ$66,39,0))</f>
        <v>#N/A</v>
      </c>
      <c r="AK24" s="18" t="e">
        <f>IF(VLOOKUP(Dinamika!$C$2,'Ç-h'!$B$3:$AQ$66,40,0)="","",VLOOKUP(Dinamika!$C$2,'Ç-h'!$B$3:$AQ$66,40,0))</f>
        <v>#N/A</v>
      </c>
      <c r="AL24" s="171" t="e">
        <f>IF(VLOOKUP(Dinamika!$C$2,'Ç-h'!$B$3:$AQ$66,41,0)="","",VLOOKUP(Dinamika!$C$2,'Ç-h'!$B$3:$AQ$66,41,0))</f>
        <v>#N/A</v>
      </c>
      <c r="AM24" s="155" t="e">
        <f>IF(VLOOKUP(Dinamika!$C$2,'Ç-h'!$B$3:$AQ$66,42,0)="","",VLOOKUP(Dinamika!$C$2,'Ç-h'!$B$3:$AQ$66,42,0))</f>
        <v>#N/A</v>
      </c>
    </row>
    <row r="25" spans="1:39" ht="18.2" customHeight="1" x14ac:dyDescent="0.25">
      <c r="A25" s="62"/>
      <c r="B25" s="161">
        <f>IF(Müəllimlər!B23="","",Müəllimlər!B23)</f>
        <v>120</v>
      </c>
      <c r="C25" s="161" t="str">
        <f>IF(Müəllimlər!C23="","",Müəllimlər!C23)</f>
        <v>Əlavə</v>
      </c>
      <c r="D25" s="161" t="str">
        <f>IF(Müəllimlər!D23="","",Müəllimlər!D23)</f>
        <v/>
      </c>
      <c r="E25" s="161" t="str">
        <f>IF(Müəllimlər!E23="","",Müəllimlər!E23)</f>
        <v/>
      </c>
      <c r="F25" s="122" t="e">
        <f>VLOOKUP(Dinamika!$C$2,Əlavə!$B$3:$AQ$66,9,0)</f>
        <v>#N/A</v>
      </c>
      <c r="G25" s="15" t="e">
        <f>IF(VLOOKUP(Dinamika!$C$2,Əlavə!$B$3:$AQ$66,10,0)="","",VLOOKUP(Dinamika!$C$2,Əlavə!$B$3:$AQ$66,10,0))</f>
        <v>#N/A</v>
      </c>
      <c r="H25" s="15" t="e">
        <f>IF(VLOOKUP(Dinamika!$C$2,Əlavə!$B$3:$AQ$66,11,0)="","",VLOOKUP(Dinamika!$C$2,Əlavə!$B$3:$AQ$66,11,0))</f>
        <v>#N/A</v>
      </c>
      <c r="I25" s="15" t="e">
        <f>IF(VLOOKUP(Dinamika!$C$2,Əlavə!$B$3:$AQ$66,12,0)="","",VLOOKUP(Dinamika!$C$2,Əlavə!$B$3:$AQ$66,12,0))</f>
        <v>#N/A</v>
      </c>
      <c r="J25" s="15" t="e">
        <f>IF(VLOOKUP(Dinamika!$C$2,Əlavə!$B$3:$AQ$66,13,0)="","",VLOOKUP(Dinamika!$C$2,Əlavə!$B$3:$AQ$66,13,0))</f>
        <v>#N/A</v>
      </c>
      <c r="K25" s="15" t="e">
        <f>IF(VLOOKUP(Dinamika!$C$2,Əlavə!$B$3:$AQ$66,14,0)="","",VLOOKUP(Dinamika!$C$2,Əlavə!$B$3:$AQ$66,14,0))</f>
        <v>#N/A</v>
      </c>
      <c r="L25" s="15" t="e">
        <f>IF(VLOOKUP(Dinamika!$C$2,Əlavə!$B$3:$AQ$66,15,0)="","",VLOOKUP(Dinamika!$C$2,Əlavə!$B$3:$AQ$66,15,0))</f>
        <v>#N/A</v>
      </c>
      <c r="M25" s="15" t="e">
        <f>IF(VLOOKUP(Dinamika!$C$2,Əlavə!$B$3:$AQ$66,16,0)="","",VLOOKUP(Dinamika!$C$2,Əlavə!$B$3:$AQ$66,16,0))</f>
        <v>#N/A</v>
      </c>
      <c r="N25" s="15" t="e">
        <f>IF(VLOOKUP(Dinamika!$C$2,Əlavə!$B$3:$AQ$66,17,0)="","",VLOOKUP(Dinamika!$C$2,Əlavə!$B$3:$AQ$66,17,0))</f>
        <v>#N/A</v>
      </c>
      <c r="O25" s="151" t="e">
        <f>IF(VLOOKUP(Dinamika!$C$2,Əlavə!$B$3:$AQ$66,18,0)="","",VLOOKUP(Dinamika!$C$2,Əlavə!$B$3:$AQ$66,18,0))</f>
        <v>#N/A</v>
      </c>
      <c r="P25" s="15" t="e">
        <f>IF(VLOOKUP(Dinamika!$C$2,Əlavə!$B$3:$AQ$66,19,0)="","",VLOOKUP(Dinamika!$C$2,Əlavə!$B$3:$AQ$66,19,0))</f>
        <v>#N/A</v>
      </c>
      <c r="Q25" s="167" t="e">
        <f>IF(VLOOKUP(Dinamika!$C$2,Əlavə!$B$3:$AQ$66,20,0)="","",VLOOKUP(Dinamika!$C$2,Əlavə!$B$3:$AQ$66,20,0))</f>
        <v>#N/A</v>
      </c>
      <c r="R25" s="15" t="e">
        <f>IF(VLOOKUP(Dinamika!$C$2,Əlavə!$B$3:$AQ$66,21,0)="","",VLOOKUP(Dinamika!$C$2,Əlavə!$B$3:$AQ$66,21,0))</f>
        <v>#N/A</v>
      </c>
      <c r="S25" s="15" t="e">
        <f>IF(VLOOKUP(Dinamika!$C$2,Əlavə!$B$3:$AQ$66,22,0)="","",VLOOKUP(Dinamika!$C$2,Əlavə!$B$3:$AQ$66,22,0))</f>
        <v>#N/A</v>
      </c>
      <c r="T25" s="17" t="e">
        <f>IF(VLOOKUP(Dinamika!$C$2,Əlavə!$B$3:$AQ$66,23,0)="","",VLOOKUP(Dinamika!$C$2,Əlavə!$B$3:$AQ$66,23,0))</f>
        <v>#N/A</v>
      </c>
      <c r="U25" s="15" t="e">
        <f>IF(VLOOKUP(Dinamika!$C$2,Əlavə!$B$3:$AQ$66,24,0)="","",VLOOKUP(Dinamika!$C$2,Əlavə!$B$3:$AQ$66,24,0))</f>
        <v>#N/A</v>
      </c>
      <c r="V25" s="15" t="e">
        <f>IF(VLOOKUP(Dinamika!$C$2,Əlavə!$B$3:$AQ$66,25,0)="","",VLOOKUP(Dinamika!$C$2,Əlavə!$B$3:$AQ$66,25,0))</f>
        <v>#N/A</v>
      </c>
      <c r="W25" s="15" t="e">
        <f>IF(VLOOKUP(Dinamika!$C$2,Əlavə!$B$3:$AQ$66,26,0)="","",VLOOKUP(Dinamika!$C$2,Əlavə!$B$3:$AQ$66,26,0))</f>
        <v>#N/A</v>
      </c>
      <c r="X25" s="15" t="e">
        <f>IF(VLOOKUP(Dinamika!$C$2,Əlavə!$B$3:$AQ$66,27,0)="","",VLOOKUP(Dinamika!$C$2,Əlavə!$B$3:$AQ$66,27,0))</f>
        <v>#N/A</v>
      </c>
      <c r="Y25" s="15" t="e">
        <f>IF(VLOOKUP(Dinamika!$C$2,Əlavə!$B$3:$AQ$66,28,0)="","",VLOOKUP(Dinamika!$C$2,Əlavə!$B$3:$AQ$66,28,0))</f>
        <v>#N/A</v>
      </c>
      <c r="Z25" s="15" t="e">
        <f>IF(VLOOKUP(Dinamika!$C$2,Əlavə!$B$3:$AQ$66,29,0)="","",VLOOKUP(Dinamika!$C$2,Əlavə!$B$3:$AQ$66,29,0))</f>
        <v>#N/A</v>
      </c>
      <c r="AA25" s="15" t="e">
        <f>IF(VLOOKUP(Dinamika!$C$2,Əlavə!$B$3:$AQ$66,30,0)="","",VLOOKUP(Dinamika!$C$2,Əlavə!$B$3:$AQ$66,30,0))</f>
        <v>#N/A</v>
      </c>
      <c r="AB25" s="151" t="e">
        <f>IF(VLOOKUP(Dinamika!$C$2,Əlavə!$B$3:$AQ$66,31,0)="","",VLOOKUP(Dinamika!$C$2,Əlavə!$B$3:$AQ$66,31,0))</f>
        <v>#N/A</v>
      </c>
      <c r="AC25" s="15" t="e">
        <f>IF(VLOOKUP(Dinamika!$C$2,Əlavə!$B$3:$AQ$66,32,0)="","",VLOOKUP(Dinamika!$C$2,Əlavə!$B$3:$AQ$66,32,0))</f>
        <v>#N/A</v>
      </c>
      <c r="AD25" s="167" t="e">
        <f>IF(VLOOKUP(Dinamika!$C$2,Əlavə!$B$3:$AQ$66,33,0)="","",VLOOKUP(Dinamika!$C$2,Əlavə!$B$3:$AQ$66,33,0))</f>
        <v>#N/A</v>
      </c>
      <c r="AE25" s="15" t="e">
        <f>IF(VLOOKUP(Dinamika!$C$2,Əlavə!$B$3:$AQ$66,34,0)="","",VLOOKUP(Dinamika!$C$2,Əlavə!$B$3:$AQ$66,34,0))</f>
        <v>#N/A</v>
      </c>
      <c r="AF25" s="15" t="e">
        <f>IF(VLOOKUP(Dinamika!$C$2,Əlavə!$B$3:$AQ$66,35,0)="","",VLOOKUP(Dinamika!$C$2,Əlavə!$B$3:$AQ$66,35,0))</f>
        <v>#N/A</v>
      </c>
      <c r="AG25" s="17" t="e">
        <f>IF(VLOOKUP(Dinamika!$C$2,Əlavə!$B$3:$AQ$66,36,0)="","",VLOOKUP(Dinamika!$C$2,Əlavə!$B$3:$AQ$66,36,0))</f>
        <v>#N/A</v>
      </c>
      <c r="AH25" s="18" t="e">
        <f>IF(VLOOKUP(Dinamika!$C$2,Əlavə!$B$3:$AQ$66,37,0)="","",VLOOKUP(Dinamika!$C$2,Əlavə!$B$3:$AQ$66,37,0))</f>
        <v>#N/A</v>
      </c>
      <c r="AI25" s="18" t="e">
        <f>IF(VLOOKUP(Dinamika!$C$2,Əlavə!$B$3:$AQ$66,38,0)="","",VLOOKUP(Dinamika!$C$2,Əlavə!$B$3:$AQ$66,38,0))</f>
        <v>#N/A</v>
      </c>
      <c r="AJ25" s="18" t="e">
        <f>IF(VLOOKUP(Dinamika!$C$2,Əlavə!$B$3:$AQ$66,39,0)="","",VLOOKUP(Dinamika!$C$2,Əlavə!$B$3:$AQ$66,39,0))</f>
        <v>#N/A</v>
      </c>
      <c r="AK25" s="18" t="e">
        <f>IF(VLOOKUP(Dinamika!$C$2,Əlavə!$B$3:$AQ$66,40,0)="","",VLOOKUP(Dinamika!$C$2,Əlavə!$B$3:$AQ$66,40,0))</f>
        <v>#N/A</v>
      </c>
      <c r="AL25" s="171" t="e">
        <f>IF(VLOOKUP(Dinamika!$C$2,Əlavə!$B$3:$AQ$66,41,0)="","",VLOOKUP(Dinamika!$C$2,Əlavə!$B$3:$AQ$66,41,0))</f>
        <v>#N/A</v>
      </c>
      <c r="AM25" s="155" t="e">
        <f>IF(VLOOKUP(Dinamika!$C$2,Əlavə!$B$3:$AQ$66,42,0)="","",VLOOKUP(Dinamika!$C$2,Əlavə!$B$3:$AQ$66,42,0))</f>
        <v>#N/A</v>
      </c>
    </row>
    <row r="26" spans="1:39" ht="18.2" customHeight="1" thickBot="1" x14ac:dyDescent="0.3">
      <c r="A26" s="62"/>
      <c r="B26" s="336" t="s">
        <v>98</v>
      </c>
      <c r="C26" s="337"/>
      <c r="D26" s="338"/>
      <c r="E26" s="134">
        <f>SUM(E6:E25)</f>
        <v>1021.3600000000001</v>
      </c>
      <c r="F26" s="128" t="e">
        <f>SUM(F6:F25)</f>
        <v>#N/A</v>
      </c>
      <c r="G26" s="129" t="str">
        <f>IFERROR(AVERAGE(G5:G25),"")</f>
        <v/>
      </c>
      <c r="H26" s="129" t="str">
        <f t="shared" ref="H26:AM26" si="0">IFERROR(AVERAGE(H5:H25),"")</f>
        <v/>
      </c>
      <c r="I26" s="129" t="str">
        <f t="shared" si="0"/>
        <v/>
      </c>
      <c r="J26" s="129" t="str">
        <f t="shared" si="0"/>
        <v/>
      </c>
      <c r="K26" s="129" t="str">
        <f t="shared" si="0"/>
        <v/>
      </c>
      <c r="L26" s="129" t="str">
        <f t="shared" si="0"/>
        <v/>
      </c>
      <c r="M26" s="129" t="str">
        <f t="shared" si="0"/>
        <v/>
      </c>
      <c r="N26" s="129" t="str">
        <f t="shared" si="0"/>
        <v/>
      </c>
      <c r="O26" s="129" t="str">
        <f t="shared" si="0"/>
        <v/>
      </c>
      <c r="P26" s="129" t="str">
        <f t="shared" si="0"/>
        <v/>
      </c>
      <c r="Q26" s="129" t="str">
        <f t="shared" si="0"/>
        <v/>
      </c>
      <c r="R26" s="129" t="str">
        <f t="shared" si="0"/>
        <v/>
      </c>
      <c r="S26" s="129" t="str">
        <f t="shared" si="0"/>
        <v/>
      </c>
      <c r="T26" s="135" t="str">
        <f t="shared" si="0"/>
        <v/>
      </c>
      <c r="U26" s="129" t="str">
        <f t="shared" si="0"/>
        <v/>
      </c>
      <c r="V26" s="129" t="str">
        <f t="shared" si="0"/>
        <v/>
      </c>
      <c r="W26" s="129" t="str">
        <f t="shared" si="0"/>
        <v/>
      </c>
      <c r="X26" s="129" t="str">
        <f t="shared" si="0"/>
        <v/>
      </c>
      <c r="Y26" s="129" t="str">
        <f t="shared" si="0"/>
        <v/>
      </c>
      <c r="Z26" s="129" t="str">
        <f t="shared" si="0"/>
        <v/>
      </c>
      <c r="AA26" s="129" t="str">
        <f t="shared" si="0"/>
        <v/>
      </c>
      <c r="AB26" s="129" t="str">
        <f t="shared" si="0"/>
        <v/>
      </c>
      <c r="AC26" s="129" t="str">
        <f t="shared" si="0"/>
        <v/>
      </c>
      <c r="AD26" s="129" t="str">
        <f t="shared" si="0"/>
        <v/>
      </c>
      <c r="AE26" s="129" t="str">
        <f t="shared" si="0"/>
        <v/>
      </c>
      <c r="AF26" s="129" t="str">
        <f t="shared" si="0"/>
        <v/>
      </c>
      <c r="AG26" s="135" t="str">
        <f t="shared" si="0"/>
        <v/>
      </c>
      <c r="AH26" s="129" t="str">
        <f t="shared" si="0"/>
        <v/>
      </c>
      <c r="AI26" s="129" t="str">
        <f t="shared" si="0"/>
        <v/>
      </c>
      <c r="AJ26" s="129" t="str">
        <f t="shared" si="0"/>
        <v/>
      </c>
      <c r="AK26" s="129" t="str">
        <f t="shared" si="0"/>
        <v/>
      </c>
      <c r="AL26" s="129" t="str">
        <f t="shared" si="0"/>
        <v/>
      </c>
      <c r="AM26" s="135" t="str">
        <f t="shared" si="0"/>
        <v/>
      </c>
    </row>
    <row r="27" spans="1:39" ht="18.2" customHeight="1" thickTop="1" x14ac:dyDescent="0.25">
      <c r="B27" s="313" t="s">
        <v>35</v>
      </c>
      <c r="C27" s="314"/>
      <c r="D27" s="314"/>
      <c r="E27" s="315"/>
      <c r="F27" s="176" t="s">
        <v>62</v>
      </c>
      <c r="G27" s="138">
        <f t="shared" ref="G27:AM27" si="1">COUNTIFS(G6:G25,"&gt;80",G6:G25,"&lt;=100")</f>
        <v>0</v>
      </c>
      <c r="H27" s="57">
        <f t="shared" si="1"/>
        <v>0</v>
      </c>
      <c r="I27" s="57">
        <f t="shared" si="1"/>
        <v>0</v>
      </c>
      <c r="J27" s="57">
        <f t="shared" si="1"/>
        <v>0</v>
      </c>
      <c r="K27" s="57">
        <f t="shared" si="1"/>
        <v>0</v>
      </c>
      <c r="L27" s="57">
        <f t="shared" si="1"/>
        <v>0</v>
      </c>
      <c r="M27" s="57">
        <f t="shared" si="1"/>
        <v>0</v>
      </c>
      <c r="N27" s="57">
        <f t="shared" si="1"/>
        <v>0</v>
      </c>
      <c r="O27" s="34">
        <f t="shared" si="1"/>
        <v>0</v>
      </c>
      <c r="P27" s="57">
        <f t="shared" si="1"/>
        <v>0</v>
      </c>
      <c r="Q27" s="34">
        <f t="shared" si="1"/>
        <v>0</v>
      </c>
      <c r="R27" s="57">
        <f t="shared" si="1"/>
        <v>0</v>
      </c>
      <c r="S27" s="57">
        <f t="shared" si="1"/>
        <v>0</v>
      </c>
      <c r="T27" s="35">
        <f t="shared" si="1"/>
        <v>0</v>
      </c>
      <c r="U27" s="58">
        <f t="shared" si="1"/>
        <v>0</v>
      </c>
      <c r="V27" s="57">
        <f t="shared" si="1"/>
        <v>0</v>
      </c>
      <c r="W27" s="57">
        <f t="shared" si="1"/>
        <v>0</v>
      </c>
      <c r="X27" s="57">
        <f t="shared" si="1"/>
        <v>0</v>
      </c>
      <c r="Y27" s="57">
        <f t="shared" si="1"/>
        <v>0</v>
      </c>
      <c r="Z27" s="57">
        <f t="shared" si="1"/>
        <v>0</v>
      </c>
      <c r="AA27" s="57">
        <f t="shared" si="1"/>
        <v>0</v>
      </c>
      <c r="AB27" s="34">
        <f t="shared" si="1"/>
        <v>0</v>
      </c>
      <c r="AC27" s="57">
        <f t="shared" si="1"/>
        <v>0</v>
      </c>
      <c r="AD27" s="34">
        <f t="shared" si="1"/>
        <v>0</v>
      </c>
      <c r="AE27" s="57">
        <f t="shared" si="1"/>
        <v>0</v>
      </c>
      <c r="AF27" s="57">
        <f t="shared" si="1"/>
        <v>0</v>
      </c>
      <c r="AG27" s="35">
        <f t="shared" si="1"/>
        <v>0</v>
      </c>
      <c r="AH27" s="36">
        <f t="shared" si="1"/>
        <v>0</v>
      </c>
      <c r="AI27" s="37">
        <f t="shared" si="1"/>
        <v>0</v>
      </c>
      <c r="AJ27" s="37">
        <f t="shared" si="1"/>
        <v>0</v>
      </c>
      <c r="AK27" s="37">
        <f t="shared" si="1"/>
        <v>0</v>
      </c>
      <c r="AL27" s="37">
        <f t="shared" si="1"/>
        <v>0</v>
      </c>
      <c r="AM27" s="158">
        <f t="shared" si="1"/>
        <v>0</v>
      </c>
    </row>
    <row r="28" spans="1:39" ht="18.2" customHeight="1" x14ac:dyDescent="0.25">
      <c r="B28" s="316"/>
      <c r="C28" s="317"/>
      <c r="D28" s="317"/>
      <c r="E28" s="318"/>
      <c r="F28" s="178" t="s">
        <v>61</v>
      </c>
      <c r="G28" s="139">
        <f t="shared" ref="G28:AM28" si="2">COUNTIFS(G6:G25,"&gt;60",G6:G25,"&lt;=80")</f>
        <v>0</v>
      </c>
      <c r="H28" s="6">
        <f t="shared" si="2"/>
        <v>0</v>
      </c>
      <c r="I28" s="6">
        <f t="shared" si="2"/>
        <v>0</v>
      </c>
      <c r="J28" s="6">
        <f t="shared" si="2"/>
        <v>0</v>
      </c>
      <c r="K28" s="6">
        <f t="shared" si="2"/>
        <v>0</v>
      </c>
      <c r="L28" s="6">
        <f t="shared" si="2"/>
        <v>0</v>
      </c>
      <c r="M28" s="6">
        <f t="shared" si="2"/>
        <v>0</v>
      </c>
      <c r="N28" s="6">
        <f t="shared" si="2"/>
        <v>0</v>
      </c>
      <c r="O28" s="8">
        <f t="shared" si="2"/>
        <v>0</v>
      </c>
      <c r="P28" s="6">
        <f t="shared" si="2"/>
        <v>0</v>
      </c>
      <c r="Q28" s="8">
        <f t="shared" si="2"/>
        <v>0</v>
      </c>
      <c r="R28" s="6">
        <f t="shared" si="2"/>
        <v>0</v>
      </c>
      <c r="S28" s="6">
        <f t="shared" si="2"/>
        <v>0</v>
      </c>
      <c r="T28" s="21">
        <f t="shared" si="2"/>
        <v>0</v>
      </c>
      <c r="U28" s="20">
        <f t="shared" si="2"/>
        <v>0</v>
      </c>
      <c r="V28" s="6">
        <f t="shared" si="2"/>
        <v>0</v>
      </c>
      <c r="W28" s="6">
        <f t="shared" si="2"/>
        <v>0</v>
      </c>
      <c r="X28" s="6">
        <f t="shared" si="2"/>
        <v>0</v>
      </c>
      <c r="Y28" s="6">
        <f t="shared" si="2"/>
        <v>0</v>
      </c>
      <c r="Z28" s="6">
        <f t="shared" si="2"/>
        <v>0</v>
      </c>
      <c r="AA28" s="6">
        <f t="shared" si="2"/>
        <v>0</v>
      </c>
      <c r="AB28" s="8">
        <f t="shared" si="2"/>
        <v>0</v>
      </c>
      <c r="AC28" s="6">
        <f t="shared" si="2"/>
        <v>0</v>
      </c>
      <c r="AD28" s="8">
        <f t="shared" si="2"/>
        <v>0</v>
      </c>
      <c r="AE28" s="6">
        <f t="shared" si="2"/>
        <v>0</v>
      </c>
      <c r="AF28" s="6">
        <f t="shared" si="2"/>
        <v>0</v>
      </c>
      <c r="AG28" s="21">
        <f t="shared" si="2"/>
        <v>0</v>
      </c>
      <c r="AH28" s="22">
        <f t="shared" si="2"/>
        <v>0</v>
      </c>
      <c r="AI28" s="7">
        <f t="shared" si="2"/>
        <v>0</v>
      </c>
      <c r="AJ28" s="7">
        <f t="shared" si="2"/>
        <v>0</v>
      </c>
      <c r="AK28" s="7">
        <f t="shared" si="2"/>
        <v>0</v>
      </c>
      <c r="AL28" s="7">
        <f t="shared" si="2"/>
        <v>0</v>
      </c>
      <c r="AM28" s="153">
        <f t="shared" si="2"/>
        <v>0</v>
      </c>
    </row>
    <row r="29" spans="1:39" ht="18.2" customHeight="1" x14ac:dyDescent="0.25">
      <c r="B29" s="316"/>
      <c r="C29" s="317"/>
      <c r="D29" s="317"/>
      <c r="E29" s="318"/>
      <c r="F29" s="140" t="s">
        <v>60</v>
      </c>
      <c r="G29" s="139">
        <f t="shared" ref="G29:AM29" si="3">COUNTIFS(G6:G25,"&gt;30",G6:G25,"&lt;=60")</f>
        <v>0</v>
      </c>
      <c r="H29" s="6">
        <f t="shared" si="3"/>
        <v>0</v>
      </c>
      <c r="I29" s="6">
        <f t="shared" si="3"/>
        <v>0</v>
      </c>
      <c r="J29" s="6">
        <f t="shared" si="3"/>
        <v>0</v>
      </c>
      <c r="K29" s="6">
        <f t="shared" si="3"/>
        <v>0</v>
      </c>
      <c r="L29" s="6">
        <f t="shared" si="3"/>
        <v>0</v>
      </c>
      <c r="M29" s="6">
        <f t="shared" si="3"/>
        <v>0</v>
      </c>
      <c r="N29" s="6">
        <f t="shared" si="3"/>
        <v>0</v>
      </c>
      <c r="O29" s="8">
        <f t="shared" si="3"/>
        <v>0</v>
      </c>
      <c r="P29" s="6">
        <f t="shared" si="3"/>
        <v>0</v>
      </c>
      <c r="Q29" s="8">
        <f t="shared" si="3"/>
        <v>0</v>
      </c>
      <c r="R29" s="6">
        <f t="shared" si="3"/>
        <v>0</v>
      </c>
      <c r="S29" s="6">
        <f t="shared" si="3"/>
        <v>0</v>
      </c>
      <c r="T29" s="21">
        <f t="shared" si="3"/>
        <v>0</v>
      </c>
      <c r="U29" s="20">
        <f t="shared" si="3"/>
        <v>0</v>
      </c>
      <c r="V29" s="6">
        <f t="shared" si="3"/>
        <v>0</v>
      </c>
      <c r="W29" s="6">
        <f t="shared" si="3"/>
        <v>0</v>
      </c>
      <c r="X29" s="6">
        <f t="shared" si="3"/>
        <v>0</v>
      </c>
      <c r="Y29" s="6">
        <f t="shared" si="3"/>
        <v>0</v>
      </c>
      <c r="Z29" s="6">
        <f t="shared" si="3"/>
        <v>0</v>
      </c>
      <c r="AA29" s="6">
        <f t="shared" si="3"/>
        <v>0</v>
      </c>
      <c r="AB29" s="8">
        <f t="shared" si="3"/>
        <v>0</v>
      </c>
      <c r="AC29" s="6">
        <f t="shared" si="3"/>
        <v>0</v>
      </c>
      <c r="AD29" s="8">
        <f t="shared" si="3"/>
        <v>0</v>
      </c>
      <c r="AE29" s="6">
        <f t="shared" si="3"/>
        <v>0</v>
      </c>
      <c r="AF29" s="6">
        <f t="shared" si="3"/>
        <v>0</v>
      </c>
      <c r="AG29" s="21">
        <f t="shared" si="3"/>
        <v>0</v>
      </c>
      <c r="AH29" s="22">
        <f t="shared" si="3"/>
        <v>0</v>
      </c>
      <c r="AI29" s="7">
        <f t="shared" si="3"/>
        <v>0</v>
      </c>
      <c r="AJ29" s="7">
        <f t="shared" si="3"/>
        <v>0</v>
      </c>
      <c r="AK29" s="7">
        <f t="shared" si="3"/>
        <v>0</v>
      </c>
      <c r="AL29" s="7">
        <f t="shared" si="3"/>
        <v>0</v>
      </c>
      <c r="AM29" s="153">
        <f t="shared" si="3"/>
        <v>0</v>
      </c>
    </row>
    <row r="30" spans="1:39" ht="18.2" customHeight="1" x14ac:dyDescent="0.25">
      <c r="B30" s="316"/>
      <c r="C30" s="317"/>
      <c r="D30" s="317"/>
      <c r="E30" s="318"/>
      <c r="F30" s="142" t="s">
        <v>59</v>
      </c>
      <c r="G30" s="139">
        <f t="shared" ref="G30:AM30" si="4">COUNTIFS(G6:G25,"&gt;=0",G6:G25,"&lt;=30")</f>
        <v>0</v>
      </c>
      <c r="H30" s="6">
        <f t="shared" si="4"/>
        <v>0</v>
      </c>
      <c r="I30" s="6">
        <f t="shared" si="4"/>
        <v>0</v>
      </c>
      <c r="J30" s="6">
        <f t="shared" si="4"/>
        <v>0</v>
      </c>
      <c r="K30" s="6">
        <f t="shared" si="4"/>
        <v>0</v>
      </c>
      <c r="L30" s="6">
        <f t="shared" si="4"/>
        <v>0</v>
      </c>
      <c r="M30" s="6">
        <f t="shared" si="4"/>
        <v>0</v>
      </c>
      <c r="N30" s="6">
        <f t="shared" si="4"/>
        <v>0</v>
      </c>
      <c r="O30" s="8">
        <f t="shared" si="4"/>
        <v>0</v>
      </c>
      <c r="P30" s="6">
        <f t="shared" si="4"/>
        <v>0</v>
      </c>
      <c r="Q30" s="8">
        <f t="shared" si="4"/>
        <v>0</v>
      </c>
      <c r="R30" s="6">
        <f t="shared" si="4"/>
        <v>0</v>
      </c>
      <c r="S30" s="6">
        <f t="shared" si="4"/>
        <v>0</v>
      </c>
      <c r="T30" s="21">
        <f t="shared" si="4"/>
        <v>0</v>
      </c>
      <c r="U30" s="20">
        <f t="shared" si="4"/>
        <v>0</v>
      </c>
      <c r="V30" s="6">
        <f t="shared" si="4"/>
        <v>0</v>
      </c>
      <c r="W30" s="6">
        <f t="shared" si="4"/>
        <v>0</v>
      </c>
      <c r="X30" s="6">
        <f t="shared" si="4"/>
        <v>0</v>
      </c>
      <c r="Y30" s="6">
        <f t="shared" si="4"/>
        <v>0</v>
      </c>
      <c r="Z30" s="6">
        <f t="shared" si="4"/>
        <v>0</v>
      </c>
      <c r="AA30" s="6">
        <f t="shared" si="4"/>
        <v>0</v>
      </c>
      <c r="AB30" s="8">
        <f t="shared" si="4"/>
        <v>0</v>
      </c>
      <c r="AC30" s="6">
        <f t="shared" si="4"/>
        <v>0</v>
      </c>
      <c r="AD30" s="8">
        <f t="shared" si="4"/>
        <v>0</v>
      </c>
      <c r="AE30" s="6">
        <f t="shared" si="4"/>
        <v>0</v>
      </c>
      <c r="AF30" s="6">
        <f t="shared" si="4"/>
        <v>0</v>
      </c>
      <c r="AG30" s="21">
        <f t="shared" si="4"/>
        <v>0</v>
      </c>
      <c r="AH30" s="22">
        <f t="shared" si="4"/>
        <v>0</v>
      </c>
      <c r="AI30" s="7">
        <f t="shared" si="4"/>
        <v>0</v>
      </c>
      <c r="AJ30" s="7">
        <f t="shared" si="4"/>
        <v>0</v>
      </c>
      <c r="AK30" s="7">
        <f t="shared" si="4"/>
        <v>0</v>
      </c>
      <c r="AL30" s="7">
        <f t="shared" si="4"/>
        <v>0</v>
      </c>
      <c r="AM30" s="153">
        <f t="shared" si="4"/>
        <v>0</v>
      </c>
    </row>
    <row r="31" spans="1:39" ht="18.2" customHeight="1" thickBot="1" x14ac:dyDescent="0.3">
      <c r="B31" s="319"/>
      <c r="C31" s="320"/>
      <c r="D31" s="320"/>
      <c r="E31" s="321"/>
      <c r="F31" s="141" t="s">
        <v>23</v>
      </c>
      <c r="G31" s="40">
        <f>SUM(G27:G30)</f>
        <v>0</v>
      </c>
      <c r="H31" s="38">
        <f t="shared" ref="H31:AM31" si="5">SUM(H27:H30)</f>
        <v>0</v>
      </c>
      <c r="I31" s="38">
        <f t="shared" si="5"/>
        <v>0</v>
      </c>
      <c r="J31" s="38">
        <f t="shared" si="5"/>
        <v>0</v>
      </c>
      <c r="K31" s="38">
        <f t="shared" si="5"/>
        <v>0</v>
      </c>
      <c r="L31" s="38">
        <f t="shared" si="5"/>
        <v>0</v>
      </c>
      <c r="M31" s="38">
        <f t="shared" si="5"/>
        <v>0</v>
      </c>
      <c r="N31" s="38">
        <f t="shared" si="5"/>
        <v>0</v>
      </c>
      <c r="O31" s="38">
        <f t="shared" si="5"/>
        <v>0</v>
      </c>
      <c r="P31" s="38">
        <f t="shared" si="5"/>
        <v>0</v>
      </c>
      <c r="Q31" s="38">
        <f t="shared" si="5"/>
        <v>0</v>
      </c>
      <c r="R31" s="38">
        <f t="shared" si="5"/>
        <v>0</v>
      </c>
      <c r="S31" s="38">
        <f t="shared" si="5"/>
        <v>0</v>
      </c>
      <c r="T31" s="39">
        <f t="shared" si="5"/>
        <v>0</v>
      </c>
      <c r="U31" s="40">
        <f t="shared" si="5"/>
        <v>0</v>
      </c>
      <c r="V31" s="38">
        <f t="shared" si="5"/>
        <v>0</v>
      </c>
      <c r="W31" s="38">
        <f t="shared" si="5"/>
        <v>0</v>
      </c>
      <c r="X31" s="38">
        <f t="shared" si="5"/>
        <v>0</v>
      </c>
      <c r="Y31" s="38">
        <f t="shared" si="5"/>
        <v>0</v>
      </c>
      <c r="Z31" s="38">
        <f t="shared" si="5"/>
        <v>0</v>
      </c>
      <c r="AA31" s="38">
        <f t="shared" si="5"/>
        <v>0</v>
      </c>
      <c r="AB31" s="38">
        <f t="shared" si="5"/>
        <v>0</v>
      </c>
      <c r="AC31" s="38">
        <f t="shared" si="5"/>
        <v>0</v>
      </c>
      <c r="AD31" s="38">
        <f t="shared" si="5"/>
        <v>0</v>
      </c>
      <c r="AE31" s="38">
        <f t="shared" si="5"/>
        <v>0</v>
      </c>
      <c r="AF31" s="38">
        <f t="shared" si="5"/>
        <v>0</v>
      </c>
      <c r="AG31" s="39">
        <f t="shared" si="5"/>
        <v>0</v>
      </c>
      <c r="AH31" s="40">
        <f t="shared" si="5"/>
        <v>0</v>
      </c>
      <c r="AI31" s="38">
        <f t="shared" si="5"/>
        <v>0</v>
      </c>
      <c r="AJ31" s="38">
        <f t="shared" si="5"/>
        <v>0</v>
      </c>
      <c r="AK31" s="38">
        <f t="shared" si="5"/>
        <v>0</v>
      </c>
      <c r="AL31" s="38">
        <f t="shared" si="5"/>
        <v>0</v>
      </c>
      <c r="AM31" s="39">
        <f t="shared" si="5"/>
        <v>0</v>
      </c>
    </row>
    <row r="32" spans="1:39" ht="18.2" customHeight="1" thickTop="1" x14ac:dyDescent="0.25">
      <c r="B32" s="313" t="s">
        <v>28</v>
      </c>
      <c r="C32" s="314"/>
      <c r="D32" s="314"/>
      <c r="E32" s="315"/>
      <c r="F32" s="176" t="s">
        <v>62</v>
      </c>
      <c r="G32" s="42" t="str">
        <f>IFERROR(G27*100/G31,"")</f>
        <v/>
      </c>
      <c r="H32" s="64" t="str">
        <f t="shared" ref="H32:AM32" si="6">IFERROR(H27*100/H31,"")</f>
        <v/>
      </c>
      <c r="I32" s="64" t="str">
        <f t="shared" si="6"/>
        <v/>
      </c>
      <c r="J32" s="64" t="str">
        <f t="shared" si="6"/>
        <v/>
      </c>
      <c r="K32" s="64" t="str">
        <f t="shared" si="6"/>
        <v/>
      </c>
      <c r="L32" s="64" t="str">
        <f t="shared" si="6"/>
        <v/>
      </c>
      <c r="M32" s="64" t="str">
        <f t="shared" si="6"/>
        <v/>
      </c>
      <c r="N32" s="64" t="str">
        <f t="shared" si="6"/>
        <v/>
      </c>
      <c r="O32" s="44" t="str">
        <f t="shared" si="6"/>
        <v/>
      </c>
      <c r="P32" s="64" t="str">
        <f t="shared" si="6"/>
        <v/>
      </c>
      <c r="Q32" s="44" t="str">
        <f t="shared" si="6"/>
        <v/>
      </c>
      <c r="R32" s="64" t="str">
        <f t="shared" si="6"/>
        <v/>
      </c>
      <c r="S32" s="64" t="str">
        <f t="shared" si="6"/>
        <v/>
      </c>
      <c r="T32" s="45" t="str">
        <f t="shared" si="6"/>
        <v/>
      </c>
      <c r="U32" s="42" t="str">
        <f t="shared" si="6"/>
        <v/>
      </c>
      <c r="V32" s="64" t="str">
        <f t="shared" si="6"/>
        <v/>
      </c>
      <c r="W32" s="64" t="str">
        <f t="shared" si="6"/>
        <v/>
      </c>
      <c r="X32" s="64" t="str">
        <f t="shared" si="6"/>
        <v/>
      </c>
      <c r="Y32" s="64" t="str">
        <f t="shared" si="6"/>
        <v/>
      </c>
      <c r="Z32" s="64" t="str">
        <f t="shared" si="6"/>
        <v/>
      </c>
      <c r="AA32" s="64" t="str">
        <f t="shared" si="6"/>
        <v/>
      </c>
      <c r="AB32" s="44" t="str">
        <f t="shared" si="6"/>
        <v/>
      </c>
      <c r="AC32" s="64" t="str">
        <f t="shared" si="6"/>
        <v/>
      </c>
      <c r="AD32" s="44" t="str">
        <f t="shared" si="6"/>
        <v/>
      </c>
      <c r="AE32" s="64" t="str">
        <f t="shared" si="6"/>
        <v/>
      </c>
      <c r="AF32" s="64" t="str">
        <f t="shared" si="6"/>
        <v/>
      </c>
      <c r="AG32" s="45" t="str">
        <f t="shared" si="6"/>
        <v/>
      </c>
      <c r="AH32" s="47" t="str">
        <f t="shared" si="6"/>
        <v/>
      </c>
      <c r="AI32" s="48" t="str">
        <f t="shared" si="6"/>
        <v/>
      </c>
      <c r="AJ32" s="48" t="str">
        <f t="shared" si="6"/>
        <v/>
      </c>
      <c r="AK32" s="48" t="str">
        <f t="shared" si="6"/>
        <v/>
      </c>
      <c r="AL32" s="48" t="str">
        <f t="shared" si="6"/>
        <v/>
      </c>
      <c r="AM32" s="154" t="str">
        <f t="shared" si="6"/>
        <v/>
      </c>
    </row>
    <row r="33" spans="2:39" ht="18.2" customHeight="1" x14ac:dyDescent="0.25">
      <c r="B33" s="316"/>
      <c r="C33" s="317"/>
      <c r="D33" s="317"/>
      <c r="E33" s="318"/>
      <c r="F33" s="178" t="s">
        <v>61</v>
      </c>
      <c r="G33" s="19" t="str">
        <f>IFERROR(G28*100/G31,"")</f>
        <v/>
      </c>
      <c r="H33" s="66" t="str">
        <f t="shared" ref="H33:AM33" si="7">IFERROR(H28*100/H31,"")</f>
        <v/>
      </c>
      <c r="I33" s="66" t="str">
        <f t="shared" si="7"/>
        <v/>
      </c>
      <c r="J33" s="66" t="str">
        <f t="shared" si="7"/>
        <v/>
      </c>
      <c r="K33" s="66" t="str">
        <f t="shared" si="7"/>
        <v/>
      </c>
      <c r="L33" s="66" t="str">
        <f t="shared" si="7"/>
        <v/>
      </c>
      <c r="M33" s="66" t="str">
        <f t="shared" si="7"/>
        <v/>
      </c>
      <c r="N33" s="66" t="str">
        <f t="shared" si="7"/>
        <v/>
      </c>
      <c r="O33" s="4" t="str">
        <f t="shared" si="7"/>
        <v/>
      </c>
      <c r="P33" s="66" t="str">
        <f t="shared" si="7"/>
        <v/>
      </c>
      <c r="Q33" s="4" t="str">
        <f t="shared" si="7"/>
        <v/>
      </c>
      <c r="R33" s="66" t="str">
        <f t="shared" si="7"/>
        <v/>
      </c>
      <c r="S33" s="66" t="str">
        <f t="shared" si="7"/>
        <v/>
      </c>
      <c r="T33" s="17" t="str">
        <f t="shared" si="7"/>
        <v/>
      </c>
      <c r="U33" s="19" t="str">
        <f t="shared" si="7"/>
        <v/>
      </c>
      <c r="V33" s="66" t="str">
        <f t="shared" si="7"/>
        <v/>
      </c>
      <c r="W33" s="66" t="str">
        <f t="shared" si="7"/>
        <v/>
      </c>
      <c r="X33" s="66" t="str">
        <f t="shared" si="7"/>
        <v/>
      </c>
      <c r="Y33" s="66" t="str">
        <f t="shared" si="7"/>
        <v/>
      </c>
      <c r="Z33" s="66" t="str">
        <f t="shared" si="7"/>
        <v/>
      </c>
      <c r="AA33" s="66" t="str">
        <f t="shared" si="7"/>
        <v/>
      </c>
      <c r="AB33" s="4" t="str">
        <f t="shared" si="7"/>
        <v/>
      </c>
      <c r="AC33" s="66" t="str">
        <f t="shared" si="7"/>
        <v/>
      </c>
      <c r="AD33" s="4" t="str">
        <f t="shared" si="7"/>
        <v/>
      </c>
      <c r="AE33" s="66" t="str">
        <f t="shared" si="7"/>
        <v/>
      </c>
      <c r="AF33" s="66" t="str">
        <f t="shared" si="7"/>
        <v/>
      </c>
      <c r="AG33" s="17" t="str">
        <f t="shared" si="7"/>
        <v/>
      </c>
      <c r="AH33" s="18" t="str">
        <f t="shared" si="7"/>
        <v/>
      </c>
      <c r="AI33" s="5" t="str">
        <f t="shared" si="7"/>
        <v/>
      </c>
      <c r="AJ33" s="5" t="str">
        <f t="shared" si="7"/>
        <v/>
      </c>
      <c r="AK33" s="5" t="str">
        <f t="shared" si="7"/>
        <v/>
      </c>
      <c r="AL33" s="5" t="str">
        <f t="shared" si="7"/>
        <v/>
      </c>
      <c r="AM33" s="155" t="str">
        <f t="shared" si="7"/>
        <v/>
      </c>
    </row>
    <row r="34" spans="2:39" ht="18.2" customHeight="1" x14ac:dyDescent="0.25">
      <c r="B34" s="316"/>
      <c r="C34" s="317"/>
      <c r="D34" s="317"/>
      <c r="E34" s="318"/>
      <c r="F34" s="140" t="s">
        <v>60</v>
      </c>
      <c r="G34" s="19" t="str">
        <f>IFERROR(G29*100/G31,"")</f>
        <v/>
      </c>
      <c r="H34" s="66" t="str">
        <f t="shared" ref="H34:AM34" si="8">IFERROR(H29*100/H31,"")</f>
        <v/>
      </c>
      <c r="I34" s="66" t="str">
        <f t="shared" si="8"/>
        <v/>
      </c>
      <c r="J34" s="66" t="str">
        <f t="shared" si="8"/>
        <v/>
      </c>
      <c r="K34" s="66" t="str">
        <f t="shared" si="8"/>
        <v/>
      </c>
      <c r="L34" s="66" t="str">
        <f t="shared" si="8"/>
        <v/>
      </c>
      <c r="M34" s="66" t="str">
        <f t="shared" si="8"/>
        <v/>
      </c>
      <c r="N34" s="66" t="str">
        <f t="shared" si="8"/>
        <v/>
      </c>
      <c r="O34" s="4" t="str">
        <f t="shared" si="8"/>
        <v/>
      </c>
      <c r="P34" s="66" t="str">
        <f t="shared" si="8"/>
        <v/>
      </c>
      <c r="Q34" s="4" t="str">
        <f t="shared" si="8"/>
        <v/>
      </c>
      <c r="R34" s="66" t="str">
        <f t="shared" si="8"/>
        <v/>
      </c>
      <c r="S34" s="66" t="str">
        <f t="shared" si="8"/>
        <v/>
      </c>
      <c r="T34" s="17" t="str">
        <f t="shared" si="8"/>
        <v/>
      </c>
      <c r="U34" s="19" t="str">
        <f t="shared" si="8"/>
        <v/>
      </c>
      <c r="V34" s="66" t="str">
        <f t="shared" si="8"/>
        <v/>
      </c>
      <c r="W34" s="66" t="str">
        <f t="shared" si="8"/>
        <v/>
      </c>
      <c r="X34" s="66" t="str">
        <f t="shared" si="8"/>
        <v/>
      </c>
      <c r="Y34" s="66" t="str">
        <f t="shared" si="8"/>
        <v/>
      </c>
      <c r="Z34" s="66" t="str">
        <f t="shared" si="8"/>
        <v/>
      </c>
      <c r="AA34" s="66" t="str">
        <f t="shared" si="8"/>
        <v/>
      </c>
      <c r="AB34" s="4" t="str">
        <f t="shared" si="8"/>
        <v/>
      </c>
      <c r="AC34" s="66" t="str">
        <f t="shared" si="8"/>
        <v/>
      </c>
      <c r="AD34" s="4" t="str">
        <f t="shared" si="8"/>
        <v/>
      </c>
      <c r="AE34" s="66" t="str">
        <f t="shared" si="8"/>
        <v/>
      </c>
      <c r="AF34" s="66" t="str">
        <f t="shared" si="8"/>
        <v/>
      </c>
      <c r="AG34" s="17" t="str">
        <f t="shared" si="8"/>
        <v/>
      </c>
      <c r="AH34" s="18" t="str">
        <f t="shared" si="8"/>
        <v/>
      </c>
      <c r="AI34" s="5" t="str">
        <f t="shared" si="8"/>
        <v/>
      </c>
      <c r="AJ34" s="5" t="str">
        <f t="shared" si="8"/>
        <v/>
      </c>
      <c r="AK34" s="5" t="str">
        <f t="shared" si="8"/>
        <v/>
      </c>
      <c r="AL34" s="5" t="str">
        <f t="shared" si="8"/>
        <v/>
      </c>
      <c r="AM34" s="155" t="str">
        <f t="shared" si="8"/>
        <v/>
      </c>
    </row>
    <row r="35" spans="2:39" ht="18.2" customHeight="1" thickBot="1" x14ac:dyDescent="0.3">
      <c r="B35" s="319"/>
      <c r="C35" s="320"/>
      <c r="D35" s="320"/>
      <c r="E35" s="321"/>
      <c r="F35" s="177" t="s">
        <v>59</v>
      </c>
      <c r="G35" s="71" t="str">
        <f>IFERROR(G30*100/G31,"")</f>
        <v/>
      </c>
      <c r="H35" s="68" t="str">
        <f t="shared" ref="H35:AM35" si="9">IFERROR(H30*100/H31,"")</f>
        <v/>
      </c>
      <c r="I35" s="68" t="str">
        <f t="shared" si="9"/>
        <v/>
      </c>
      <c r="J35" s="68" t="str">
        <f t="shared" si="9"/>
        <v/>
      </c>
      <c r="K35" s="68" t="str">
        <f t="shared" si="9"/>
        <v/>
      </c>
      <c r="L35" s="68" t="str">
        <f t="shared" si="9"/>
        <v/>
      </c>
      <c r="M35" s="68" t="str">
        <f t="shared" si="9"/>
        <v/>
      </c>
      <c r="N35" s="68" t="str">
        <f t="shared" si="9"/>
        <v/>
      </c>
      <c r="O35" s="69" t="str">
        <f t="shared" si="9"/>
        <v/>
      </c>
      <c r="P35" s="68" t="str">
        <f t="shared" si="9"/>
        <v/>
      </c>
      <c r="Q35" s="69" t="str">
        <f t="shared" si="9"/>
        <v/>
      </c>
      <c r="R35" s="68" t="str">
        <f t="shared" si="9"/>
        <v/>
      </c>
      <c r="S35" s="68" t="str">
        <f t="shared" si="9"/>
        <v/>
      </c>
      <c r="T35" s="70" t="str">
        <f t="shared" si="9"/>
        <v/>
      </c>
      <c r="U35" s="71" t="str">
        <f t="shared" si="9"/>
        <v/>
      </c>
      <c r="V35" s="68" t="str">
        <f t="shared" si="9"/>
        <v/>
      </c>
      <c r="W35" s="68" t="str">
        <f t="shared" si="9"/>
        <v/>
      </c>
      <c r="X35" s="68" t="str">
        <f t="shared" si="9"/>
        <v/>
      </c>
      <c r="Y35" s="68" t="str">
        <f t="shared" si="9"/>
        <v/>
      </c>
      <c r="Z35" s="68" t="str">
        <f t="shared" si="9"/>
        <v/>
      </c>
      <c r="AA35" s="68" t="str">
        <f t="shared" si="9"/>
        <v/>
      </c>
      <c r="AB35" s="69" t="str">
        <f t="shared" si="9"/>
        <v/>
      </c>
      <c r="AC35" s="68" t="str">
        <f t="shared" si="9"/>
        <v/>
      </c>
      <c r="AD35" s="69" t="str">
        <f t="shared" si="9"/>
        <v/>
      </c>
      <c r="AE35" s="68" t="str">
        <f t="shared" si="9"/>
        <v/>
      </c>
      <c r="AF35" s="68" t="str">
        <f t="shared" si="9"/>
        <v/>
      </c>
      <c r="AG35" s="70" t="str">
        <f t="shared" si="9"/>
        <v/>
      </c>
      <c r="AH35" s="72" t="str">
        <f t="shared" si="9"/>
        <v/>
      </c>
      <c r="AI35" s="73" t="str">
        <f t="shared" si="9"/>
        <v/>
      </c>
      <c r="AJ35" s="73" t="str">
        <f t="shared" si="9"/>
        <v/>
      </c>
      <c r="AK35" s="73" t="str">
        <f t="shared" si="9"/>
        <v/>
      </c>
      <c r="AL35" s="73" t="str">
        <f t="shared" si="9"/>
        <v/>
      </c>
      <c r="AM35" s="156" t="str">
        <f t="shared" si="9"/>
        <v/>
      </c>
    </row>
    <row r="36" spans="2:39" s="159" customFormat="1" ht="14.45" customHeight="1" thickTop="1" x14ac:dyDescent="0.25">
      <c r="B36" s="11"/>
      <c r="C36" s="11"/>
      <c r="D36" s="11"/>
      <c r="E36" s="11"/>
      <c r="F36" s="174"/>
      <c r="G36" s="173"/>
      <c r="H36" s="173"/>
      <c r="I36" s="173"/>
      <c r="AE36" s="173"/>
      <c r="AF36" s="173"/>
      <c r="AG36" s="173"/>
      <c r="AH36" s="173"/>
      <c r="AI36" s="173"/>
      <c r="AJ36" s="173"/>
      <c r="AK36" s="173"/>
      <c r="AL36" s="175"/>
      <c r="AM36" s="173"/>
    </row>
    <row r="37" spans="2:39" s="159" customFormat="1" ht="14.45" customHeight="1" x14ac:dyDescent="0.25">
      <c r="B37" s="11"/>
      <c r="C37" s="11"/>
      <c r="D37" s="11"/>
      <c r="E37" s="11"/>
      <c r="F37" s="174"/>
      <c r="G37" s="173"/>
      <c r="H37" s="173"/>
      <c r="I37" s="173"/>
      <c r="AE37" s="173"/>
      <c r="AF37" s="173"/>
      <c r="AG37" s="173"/>
      <c r="AH37" s="173"/>
      <c r="AI37" s="173"/>
      <c r="AJ37" s="173"/>
      <c r="AK37" s="173"/>
      <c r="AL37" s="175"/>
      <c r="AM37" s="173"/>
    </row>
    <row r="38" spans="2:39" s="159" customFormat="1" ht="14.45" customHeight="1" x14ac:dyDescent="0.25">
      <c r="B38" s="11"/>
      <c r="C38" s="11"/>
      <c r="D38" s="11"/>
      <c r="E38" s="11"/>
      <c r="F38" s="174"/>
      <c r="G38" s="173"/>
      <c r="H38" s="173"/>
      <c r="I38" s="173"/>
      <c r="AE38" s="173"/>
      <c r="AF38" s="173"/>
      <c r="AG38" s="173"/>
      <c r="AH38" s="173"/>
      <c r="AI38" s="173"/>
      <c r="AJ38" s="173"/>
      <c r="AK38" s="173"/>
      <c r="AL38" s="175"/>
      <c r="AM38" s="173"/>
    </row>
    <row r="39" spans="2:39" s="159" customFormat="1" ht="14.45" customHeight="1" x14ac:dyDescent="0.25">
      <c r="B39" s="11"/>
      <c r="C39" s="11"/>
      <c r="D39" s="11"/>
      <c r="E39" s="11"/>
      <c r="F39" s="174"/>
      <c r="G39" s="173"/>
      <c r="H39" s="173"/>
      <c r="I39" s="173"/>
      <c r="AE39" s="173"/>
      <c r="AF39" s="173"/>
      <c r="AG39" s="173"/>
      <c r="AH39" s="173"/>
      <c r="AI39" s="173"/>
      <c r="AJ39" s="173"/>
      <c r="AK39" s="173"/>
      <c r="AL39" s="175"/>
      <c r="AM39" s="173"/>
    </row>
    <row r="40" spans="2:39" s="159" customFormat="1" ht="14.45" customHeight="1" x14ac:dyDescent="0.25">
      <c r="B40" s="11"/>
      <c r="C40" s="11"/>
      <c r="D40" s="11"/>
      <c r="E40" s="11"/>
      <c r="F40" s="174"/>
      <c r="G40" s="173"/>
      <c r="H40" s="173"/>
      <c r="I40" s="173"/>
      <c r="AE40" s="173"/>
      <c r="AF40" s="173"/>
      <c r="AG40" s="173"/>
      <c r="AH40" s="173"/>
      <c r="AI40" s="173"/>
      <c r="AJ40" s="173"/>
      <c r="AK40" s="173"/>
      <c r="AL40" s="175"/>
      <c r="AM40" s="173"/>
    </row>
    <row r="41" spans="2:39" s="159" customFormat="1" ht="14.45" customHeight="1" x14ac:dyDescent="0.25">
      <c r="B41" s="11"/>
      <c r="C41" s="11"/>
      <c r="D41" s="11"/>
      <c r="E41" s="11"/>
      <c r="F41" s="174"/>
      <c r="G41" s="173"/>
      <c r="H41" s="173"/>
      <c r="I41" s="173"/>
      <c r="AE41" s="173"/>
      <c r="AF41" s="173"/>
      <c r="AG41" s="173"/>
      <c r="AH41" s="173"/>
      <c r="AI41" s="173"/>
      <c r="AJ41" s="173"/>
      <c r="AK41" s="173"/>
      <c r="AL41" s="175"/>
      <c r="AM41" s="173"/>
    </row>
    <row r="42" spans="2:39" s="159" customFormat="1" ht="14.45" customHeight="1" x14ac:dyDescent="0.25">
      <c r="B42" s="11"/>
      <c r="C42" s="11"/>
      <c r="D42" s="11"/>
      <c r="E42" s="11"/>
      <c r="F42" s="174"/>
      <c r="G42" s="173"/>
      <c r="H42" s="173"/>
      <c r="I42" s="173"/>
      <c r="AE42" s="173"/>
      <c r="AF42" s="173"/>
      <c r="AG42" s="173"/>
      <c r="AH42" s="173"/>
      <c r="AI42" s="173"/>
      <c r="AJ42" s="173"/>
      <c r="AK42" s="173"/>
      <c r="AL42" s="175"/>
      <c r="AM42" s="173"/>
    </row>
    <row r="43" spans="2:39" s="159" customFormat="1" ht="14.45" customHeight="1" x14ac:dyDescent="0.25">
      <c r="B43" s="11"/>
      <c r="C43" s="11"/>
      <c r="D43" s="11"/>
      <c r="E43" s="11"/>
      <c r="F43" s="174"/>
      <c r="G43" s="173"/>
      <c r="H43" s="173"/>
      <c r="I43" s="173"/>
      <c r="AE43" s="173"/>
      <c r="AF43" s="173"/>
      <c r="AG43" s="173"/>
      <c r="AH43" s="173"/>
      <c r="AI43" s="173"/>
      <c r="AJ43" s="173"/>
      <c r="AK43" s="173"/>
      <c r="AL43" s="175"/>
      <c r="AM43" s="173"/>
    </row>
    <row r="44" spans="2:39" s="159" customFormat="1" ht="14.45" customHeight="1" x14ac:dyDescent="0.25">
      <c r="B44" s="11"/>
      <c r="C44" s="11"/>
      <c r="D44" s="11"/>
      <c r="E44" s="11"/>
      <c r="F44" s="174"/>
      <c r="G44" s="173"/>
      <c r="H44" s="173"/>
      <c r="I44" s="173"/>
      <c r="AE44" s="173"/>
      <c r="AF44" s="173"/>
      <c r="AG44" s="173"/>
      <c r="AH44" s="173"/>
      <c r="AI44" s="173"/>
      <c r="AJ44" s="173"/>
      <c r="AK44" s="173"/>
      <c r="AL44" s="175"/>
      <c r="AM44" s="173"/>
    </row>
    <row r="45" spans="2:39" s="159" customFormat="1" ht="14.45" customHeight="1" x14ac:dyDescent="0.25">
      <c r="B45" s="11"/>
      <c r="C45" s="11"/>
      <c r="D45" s="11"/>
      <c r="E45" s="11"/>
      <c r="F45" s="174"/>
      <c r="G45" s="173"/>
      <c r="H45" s="173"/>
      <c r="I45" s="173"/>
      <c r="AE45" s="173"/>
      <c r="AF45" s="173"/>
      <c r="AG45" s="173"/>
      <c r="AH45" s="173"/>
      <c r="AI45" s="173"/>
      <c r="AJ45" s="173"/>
      <c r="AK45" s="173"/>
      <c r="AL45" s="175"/>
      <c r="AM45" s="173"/>
    </row>
    <row r="46" spans="2:39" s="159" customFormat="1" ht="14.45" customHeight="1" x14ac:dyDescent="0.25">
      <c r="B46" s="11"/>
      <c r="C46" s="11"/>
      <c r="D46" s="11"/>
      <c r="E46" s="11"/>
      <c r="F46" s="174"/>
      <c r="G46" s="173"/>
      <c r="H46" s="173"/>
      <c r="I46" s="173"/>
      <c r="AE46" s="173"/>
      <c r="AF46" s="173"/>
      <c r="AG46" s="173"/>
      <c r="AH46" s="173"/>
      <c r="AI46" s="173"/>
      <c r="AJ46" s="173"/>
      <c r="AK46" s="173"/>
      <c r="AL46" s="175"/>
      <c r="AM46" s="173"/>
    </row>
    <row r="47" spans="2:39" s="159" customFormat="1" ht="14.45" customHeight="1" x14ac:dyDescent="0.25">
      <c r="B47" s="11"/>
      <c r="C47" s="11"/>
      <c r="D47" s="11"/>
      <c r="E47" s="11"/>
      <c r="F47" s="174"/>
      <c r="G47" s="173"/>
      <c r="H47" s="173"/>
      <c r="I47" s="173"/>
      <c r="AE47" s="173"/>
      <c r="AF47" s="173"/>
      <c r="AG47" s="173"/>
      <c r="AH47" s="173"/>
      <c r="AI47" s="173"/>
      <c r="AJ47" s="173"/>
      <c r="AK47" s="173"/>
      <c r="AL47" s="175"/>
      <c r="AM47" s="173"/>
    </row>
    <row r="48" spans="2:39" s="159" customFormat="1" ht="14.45" customHeight="1" x14ac:dyDescent="0.25">
      <c r="B48" s="11"/>
      <c r="C48" s="11"/>
      <c r="D48" s="11"/>
      <c r="E48" s="11"/>
      <c r="F48" s="174"/>
      <c r="G48" s="173"/>
      <c r="H48" s="173"/>
      <c r="I48" s="173"/>
      <c r="AE48" s="173"/>
      <c r="AF48" s="173"/>
      <c r="AG48" s="173"/>
      <c r="AH48" s="173"/>
      <c r="AI48" s="173"/>
      <c r="AJ48" s="173"/>
      <c r="AK48" s="173"/>
      <c r="AL48" s="175"/>
      <c r="AM48" s="173"/>
    </row>
    <row r="49" spans="2:39" s="159" customFormat="1" ht="14.45" customHeight="1" x14ac:dyDescent="0.25">
      <c r="B49" s="11"/>
      <c r="C49" s="11"/>
      <c r="D49" s="11"/>
      <c r="E49" s="11"/>
      <c r="F49" s="174"/>
      <c r="G49" s="173"/>
      <c r="H49" s="173"/>
      <c r="I49" s="173"/>
      <c r="AE49" s="173"/>
      <c r="AF49" s="173"/>
      <c r="AG49" s="173"/>
      <c r="AH49" s="173"/>
      <c r="AI49" s="173"/>
      <c r="AJ49" s="173"/>
      <c r="AK49" s="173"/>
      <c r="AL49" s="175"/>
      <c r="AM49" s="173"/>
    </row>
    <row r="50" spans="2:39" s="159" customFormat="1" ht="14.45" customHeight="1" x14ac:dyDescent="0.25">
      <c r="B50" s="11"/>
      <c r="C50" s="11"/>
      <c r="D50" s="11"/>
      <c r="E50" s="11"/>
      <c r="F50" s="174"/>
      <c r="G50" s="173"/>
      <c r="H50" s="173"/>
      <c r="I50" s="173"/>
      <c r="AE50" s="173"/>
      <c r="AF50" s="173"/>
      <c r="AG50" s="173"/>
      <c r="AH50" s="173"/>
      <c r="AI50" s="173"/>
      <c r="AJ50" s="173"/>
      <c r="AK50" s="173"/>
      <c r="AL50" s="175"/>
      <c r="AM50" s="173"/>
    </row>
    <row r="51" spans="2:39" s="159" customFormat="1" ht="14.45" customHeight="1" x14ac:dyDescent="0.25">
      <c r="B51" s="11"/>
      <c r="C51" s="11"/>
      <c r="D51" s="11"/>
      <c r="E51" s="11"/>
      <c r="F51" s="174"/>
      <c r="G51" s="173"/>
      <c r="H51" s="173"/>
      <c r="I51" s="173"/>
      <c r="AE51" s="173"/>
      <c r="AF51" s="173"/>
      <c r="AG51" s="173"/>
      <c r="AH51" s="173"/>
      <c r="AI51" s="173"/>
      <c r="AJ51" s="173"/>
      <c r="AK51" s="173"/>
      <c r="AL51" s="175"/>
      <c r="AM51" s="173"/>
    </row>
    <row r="52" spans="2:39" s="159" customFormat="1" ht="14.45" customHeight="1" x14ac:dyDescent="0.25">
      <c r="B52" s="11"/>
      <c r="C52" s="11"/>
      <c r="D52" s="11"/>
      <c r="E52" s="11"/>
      <c r="F52" s="174"/>
      <c r="G52" s="173"/>
      <c r="H52" s="173"/>
      <c r="I52" s="173"/>
      <c r="AE52" s="173"/>
      <c r="AF52" s="173"/>
      <c r="AG52" s="173"/>
      <c r="AH52" s="173"/>
      <c r="AI52" s="173"/>
      <c r="AJ52" s="173"/>
      <c r="AK52" s="173"/>
      <c r="AL52" s="175"/>
      <c r="AM52" s="173"/>
    </row>
    <row r="53" spans="2:39" s="159" customFormat="1" ht="14.45" customHeight="1" x14ac:dyDescent="0.25">
      <c r="B53" s="11"/>
      <c r="C53" s="11"/>
      <c r="D53" s="11"/>
      <c r="E53" s="11"/>
      <c r="F53" s="174"/>
      <c r="G53" s="173"/>
      <c r="H53" s="173"/>
      <c r="I53" s="173"/>
      <c r="AE53" s="173"/>
      <c r="AF53" s="173"/>
      <c r="AG53" s="173"/>
      <c r="AH53" s="173"/>
      <c r="AI53" s="173"/>
      <c r="AJ53" s="173"/>
      <c r="AK53" s="173"/>
      <c r="AL53" s="175"/>
      <c r="AM53" s="173"/>
    </row>
    <row r="54" spans="2:39" s="159" customFormat="1" ht="14.45" customHeight="1" x14ac:dyDescent="0.25">
      <c r="B54" s="11"/>
      <c r="C54" s="11"/>
      <c r="D54" s="11"/>
      <c r="E54" s="11"/>
      <c r="F54" s="174"/>
      <c r="G54" s="173"/>
      <c r="H54" s="173"/>
      <c r="I54" s="173"/>
      <c r="AE54" s="173"/>
      <c r="AF54" s="173"/>
      <c r="AG54" s="173"/>
      <c r="AH54" s="173"/>
      <c r="AI54" s="173"/>
      <c r="AJ54" s="173"/>
      <c r="AK54" s="173"/>
      <c r="AL54" s="175"/>
      <c r="AM54" s="173"/>
    </row>
    <row r="55" spans="2:39" s="159" customFormat="1" ht="14.45" customHeight="1" x14ac:dyDescent="0.25">
      <c r="B55" s="11"/>
      <c r="C55" s="11"/>
      <c r="D55" s="11"/>
      <c r="E55" s="11"/>
      <c r="F55" s="174"/>
      <c r="G55" s="173"/>
      <c r="H55" s="173"/>
      <c r="I55" s="173"/>
      <c r="AE55" s="173"/>
      <c r="AF55" s="173"/>
      <c r="AG55" s="173"/>
      <c r="AH55" s="173"/>
      <c r="AI55" s="173"/>
      <c r="AJ55" s="173"/>
      <c r="AK55" s="173"/>
      <c r="AL55" s="175"/>
      <c r="AM55" s="173"/>
    </row>
    <row r="56" spans="2:39" s="159" customFormat="1" ht="14.45" customHeight="1" x14ac:dyDescent="0.25">
      <c r="B56" s="11"/>
      <c r="C56" s="11"/>
      <c r="D56" s="11"/>
      <c r="E56" s="11"/>
      <c r="F56" s="174"/>
      <c r="G56" s="173"/>
      <c r="H56" s="173"/>
      <c r="I56" s="173"/>
      <c r="AE56" s="173"/>
      <c r="AF56" s="173"/>
      <c r="AG56" s="173"/>
      <c r="AH56" s="173"/>
      <c r="AI56" s="173"/>
      <c r="AJ56" s="173"/>
      <c r="AK56" s="173"/>
      <c r="AL56" s="175"/>
      <c r="AM56" s="173"/>
    </row>
    <row r="57" spans="2:39" s="159" customFormat="1" ht="14.45" customHeight="1" x14ac:dyDescent="0.25">
      <c r="B57" s="11"/>
      <c r="C57" s="11"/>
      <c r="D57" s="11"/>
      <c r="E57" s="11"/>
      <c r="F57" s="174"/>
      <c r="G57" s="173"/>
      <c r="H57" s="173"/>
      <c r="I57" s="173"/>
      <c r="AE57" s="173"/>
      <c r="AF57" s="173"/>
      <c r="AG57" s="173"/>
      <c r="AH57" s="173"/>
      <c r="AI57" s="173"/>
      <c r="AJ57" s="173"/>
      <c r="AK57" s="173"/>
      <c r="AL57" s="175"/>
      <c r="AM57" s="173"/>
    </row>
    <row r="58" spans="2:39" s="159" customFormat="1" ht="14.45" customHeight="1" x14ac:dyDescent="0.25">
      <c r="B58" s="11"/>
      <c r="C58" s="11"/>
      <c r="D58" s="11"/>
      <c r="E58" s="11"/>
      <c r="F58" s="174"/>
      <c r="G58" s="173"/>
      <c r="H58" s="173"/>
      <c r="I58" s="173"/>
      <c r="AE58" s="173"/>
      <c r="AF58" s="173"/>
      <c r="AG58" s="173"/>
      <c r="AH58" s="173"/>
      <c r="AI58" s="173"/>
      <c r="AJ58" s="173"/>
      <c r="AK58" s="173"/>
      <c r="AL58" s="175"/>
      <c r="AM58" s="173"/>
    </row>
    <row r="59" spans="2:39" s="159" customFormat="1" ht="14.45" customHeight="1" x14ac:dyDescent="0.25">
      <c r="B59" s="11"/>
      <c r="C59" s="11"/>
      <c r="D59" s="11"/>
      <c r="E59" s="11"/>
      <c r="F59" s="174"/>
      <c r="G59" s="173"/>
      <c r="H59" s="173"/>
      <c r="I59" s="173"/>
      <c r="AE59" s="173"/>
      <c r="AF59" s="173"/>
      <c r="AG59" s="173"/>
      <c r="AH59" s="173"/>
      <c r="AI59" s="173"/>
      <c r="AJ59" s="173"/>
      <c r="AK59" s="173"/>
      <c r="AL59" s="175"/>
      <c r="AM59" s="173"/>
    </row>
    <row r="60" spans="2:39" s="159" customFormat="1" ht="14.45" customHeight="1" x14ac:dyDescent="0.25">
      <c r="B60" s="11"/>
      <c r="C60" s="11"/>
      <c r="D60" s="11"/>
      <c r="E60" s="11"/>
      <c r="F60" s="174"/>
      <c r="G60" s="173"/>
      <c r="H60" s="173"/>
      <c r="I60" s="173"/>
      <c r="AE60" s="173"/>
      <c r="AF60" s="173"/>
      <c r="AG60" s="173"/>
      <c r="AH60" s="173"/>
      <c r="AI60" s="173"/>
      <c r="AJ60" s="173"/>
      <c r="AK60" s="173"/>
      <c r="AL60" s="175"/>
      <c r="AM60" s="173"/>
    </row>
    <row r="61" spans="2:39" s="159" customFormat="1" ht="14.45" customHeight="1" x14ac:dyDescent="0.25">
      <c r="B61" s="11"/>
      <c r="C61" s="11"/>
      <c r="D61" s="11"/>
      <c r="E61" s="11"/>
      <c r="F61" s="174"/>
      <c r="G61" s="173"/>
      <c r="H61" s="173"/>
      <c r="I61" s="173"/>
      <c r="AE61" s="173"/>
      <c r="AF61" s="173"/>
      <c r="AG61" s="173"/>
      <c r="AH61" s="173"/>
      <c r="AI61" s="173"/>
      <c r="AJ61" s="173"/>
      <c r="AK61" s="173"/>
      <c r="AL61" s="175"/>
      <c r="AM61" s="173"/>
    </row>
    <row r="62" spans="2:39" s="159" customFormat="1" ht="14.45" customHeight="1" x14ac:dyDescent="0.25">
      <c r="B62" s="11"/>
      <c r="C62" s="11"/>
      <c r="D62" s="11"/>
      <c r="E62" s="11"/>
      <c r="F62" s="174"/>
      <c r="G62" s="173"/>
      <c r="H62" s="173"/>
      <c r="I62" s="173"/>
      <c r="AE62" s="173"/>
      <c r="AF62" s="173"/>
      <c r="AG62" s="173"/>
      <c r="AH62" s="173"/>
      <c r="AI62" s="173"/>
      <c r="AJ62" s="173"/>
      <c r="AK62" s="173"/>
      <c r="AL62" s="175"/>
      <c r="AM62" s="173"/>
    </row>
    <row r="63" spans="2:39" s="159" customFormat="1" ht="14.45" customHeight="1" x14ac:dyDescent="0.25">
      <c r="B63" s="11"/>
      <c r="C63" s="11"/>
      <c r="D63" s="11"/>
      <c r="E63" s="11"/>
      <c r="F63" s="174"/>
      <c r="G63" s="173"/>
      <c r="H63" s="173"/>
      <c r="I63" s="173"/>
      <c r="AE63" s="173"/>
      <c r="AF63" s="173"/>
      <c r="AG63" s="173"/>
      <c r="AH63" s="173"/>
      <c r="AI63" s="173"/>
      <c r="AJ63" s="173"/>
      <c r="AK63" s="173"/>
      <c r="AL63" s="175"/>
      <c r="AM63" s="173"/>
    </row>
    <row r="64" spans="2:39" s="159" customFormat="1" ht="14.45" customHeight="1" x14ac:dyDescent="0.25">
      <c r="B64" s="11"/>
      <c r="C64" s="11"/>
      <c r="D64" s="11"/>
      <c r="E64" s="11"/>
      <c r="F64" s="174"/>
      <c r="G64" s="173"/>
      <c r="H64" s="173"/>
      <c r="I64" s="173"/>
      <c r="AE64" s="173"/>
      <c r="AF64" s="173"/>
      <c r="AG64" s="173"/>
      <c r="AH64" s="173"/>
      <c r="AI64" s="173"/>
      <c r="AJ64" s="173"/>
      <c r="AK64" s="173"/>
      <c r="AL64" s="175"/>
      <c r="AM64" s="173"/>
    </row>
    <row r="65" spans="2:39" s="159" customFormat="1" ht="14.45" customHeight="1" x14ac:dyDescent="0.25">
      <c r="B65" s="11"/>
      <c r="C65" s="11"/>
      <c r="D65" s="11"/>
      <c r="E65" s="11"/>
      <c r="F65" s="174"/>
      <c r="G65" s="173"/>
      <c r="H65" s="173"/>
      <c r="I65" s="173"/>
      <c r="AE65" s="173"/>
      <c r="AF65" s="173"/>
      <c r="AG65" s="173"/>
      <c r="AH65" s="173"/>
      <c r="AI65" s="173"/>
      <c r="AJ65" s="173"/>
      <c r="AK65" s="173"/>
      <c r="AL65" s="175"/>
      <c r="AM65" s="173"/>
    </row>
    <row r="66" spans="2:39" s="159" customFormat="1" ht="14.45" customHeight="1" x14ac:dyDescent="0.25">
      <c r="B66" s="11"/>
      <c r="C66" s="11"/>
      <c r="D66" s="11"/>
      <c r="E66" s="11"/>
      <c r="F66" s="174"/>
      <c r="G66" s="173"/>
      <c r="H66" s="173"/>
      <c r="I66" s="173"/>
      <c r="AE66" s="173"/>
      <c r="AF66" s="173"/>
      <c r="AG66" s="173"/>
      <c r="AH66" s="173"/>
      <c r="AI66" s="173"/>
      <c r="AJ66" s="173"/>
      <c r="AK66" s="173"/>
      <c r="AL66" s="175"/>
      <c r="AM66" s="173"/>
    </row>
    <row r="67" spans="2:39" s="159" customFormat="1" ht="14.45" customHeight="1" x14ac:dyDescent="0.25">
      <c r="B67" s="11"/>
      <c r="C67" s="11"/>
      <c r="D67" s="11"/>
      <c r="E67" s="11"/>
      <c r="F67" s="174"/>
      <c r="G67" s="173"/>
      <c r="H67" s="173"/>
      <c r="I67" s="173"/>
      <c r="AE67" s="173"/>
      <c r="AF67" s="173"/>
      <c r="AG67" s="173"/>
      <c r="AH67" s="173"/>
      <c r="AI67" s="173"/>
      <c r="AJ67" s="173"/>
      <c r="AK67" s="173"/>
      <c r="AL67" s="175"/>
      <c r="AM67" s="173"/>
    </row>
    <row r="68" spans="2:39" s="159" customFormat="1" ht="14.45" customHeight="1" x14ac:dyDescent="0.25">
      <c r="B68" s="11"/>
      <c r="C68" s="11"/>
      <c r="D68" s="11"/>
      <c r="E68" s="11"/>
      <c r="F68" s="174"/>
      <c r="G68" s="173"/>
      <c r="H68" s="173"/>
      <c r="I68" s="173"/>
      <c r="AE68" s="173"/>
      <c r="AF68" s="173"/>
      <c r="AG68" s="173"/>
      <c r="AH68" s="173"/>
      <c r="AI68" s="173"/>
      <c r="AJ68" s="173"/>
      <c r="AK68" s="173"/>
      <c r="AL68" s="175"/>
      <c r="AM68" s="173"/>
    </row>
    <row r="69" spans="2:39" s="159" customFormat="1" ht="14.45" customHeight="1" x14ac:dyDescent="0.25">
      <c r="B69" s="11"/>
      <c r="C69" s="11"/>
      <c r="D69" s="11"/>
      <c r="E69" s="11"/>
      <c r="F69" s="174"/>
      <c r="G69" s="173"/>
      <c r="H69" s="173"/>
      <c r="I69" s="173"/>
      <c r="AE69" s="173"/>
      <c r="AF69" s="173"/>
      <c r="AG69" s="173"/>
      <c r="AH69" s="173"/>
      <c r="AI69" s="173"/>
      <c r="AJ69" s="173"/>
      <c r="AK69" s="173"/>
      <c r="AL69" s="175"/>
      <c r="AM69" s="173"/>
    </row>
    <row r="70" spans="2:39" s="159" customFormat="1" ht="14.45" customHeight="1" x14ac:dyDescent="0.25">
      <c r="B70" s="11"/>
      <c r="C70" s="11"/>
      <c r="D70" s="11"/>
      <c r="E70" s="11"/>
      <c r="F70" s="174"/>
      <c r="G70" s="173"/>
      <c r="H70" s="173"/>
      <c r="I70" s="173"/>
      <c r="AE70" s="173"/>
      <c r="AF70" s="173"/>
      <c r="AG70" s="173"/>
      <c r="AH70" s="173"/>
      <c r="AI70" s="173"/>
      <c r="AJ70" s="173"/>
      <c r="AK70" s="173"/>
      <c r="AL70" s="175"/>
      <c r="AM70" s="173"/>
    </row>
    <row r="71" spans="2:39" s="159" customFormat="1" ht="14.45" customHeight="1" x14ac:dyDescent="0.25">
      <c r="B71" s="11"/>
      <c r="C71" s="11"/>
      <c r="D71" s="11"/>
      <c r="E71" s="11"/>
      <c r="F71" s="174"/>
      <c r="G71" s="173"/>
      <c r="H71" s="173"/>
      <c r="I71" s="173"/>
      <c r="AE71" s="173"/>
      <c r="AF71" s="173"/>
      <c r="AG71" s="173"/>
      <c r="AH71" s="173"/>
      <c r="AI71" s="173"/>
      <c r="AJ71" s="173"/>
      <c r="AK71" s="173"/>
      <c r="AL71" s="175"/>
      <c r="AM71" s="173"/>
    </row>
    <row r="72" spans="2:39" s="159" customFormat="1" ht="14.45" customHeight="1" x14ac:dyDescent="0.25">
      <c r="B72" s="11"/>
      <c r="C72" s="11"/>
      <c r="D72" s="11"/>
      <c r="E72" s="11"/>
      <c r="F72" s="174"/>
      <c r="G72" s="173"/>
      <c r="H72" s="173"/>
      <c r="I72" s="173"/>
      <c r="AE72" s="173"/>
      <c r="AF72" s="173"/>
      <c r="AG72" s="173"/>
      <c r="AH72" s="173"/>
      <c r="AI72" s="173"/>
      <c r="AJ72" s="173"/>
      <c r="AK72" s="173"/>
      <c r="AL72" s="175"/>
      <c r="AM72" s="173"/>
    </row>
    <row r="73" spans="2:39" s="159" customFormat="1" ht="14.45" customHeight="1" x14ac:dyDescent="0.25">
      <c r="B73" s="11"/>
      <c r="C73" s="11"/>
      <c r="D73" s="11"/>
      <c r="E73" s="11"/>
      <c r="F73" s="174"/>
      <c r="G73" s="173"/>
      <c r="H73" s="173"/>
      <c r="I73" s="173"/>
      <c r="AE73" s="173"/>
      <c r="AF73" s="173"/>
      <c r="AG73" s="173"/>
      <c r="AH73" s="173"/>
      <c r="AI73" s="173"/>
      <c r="AJ73" s="173"/>
      <c r="AK73" s="173"/>
      <c r="AL73" s="175"/>
      <c r="AM73" s="173"/>
    </row>
    <row r="74" spans="2:39" s="159" customFormat="1" ht="14.45" customHeight="1" x14ac:dyDescent="0.25">
      <c r="B74" s="11"/>
      <c r="C74" s="11"/>
      <c r="D74" s="11"/>
      <c r="E74" s="11"/>
      <c r="F74" s="174"/>
      <c r="G74" s="173"/>
      <c r="H74" s="173"/>
      <c r="I74" s="173"/>
      <c r="AE74" s="173"/>
      <c r="AF74" s="173"/>
      <c r="AG74" s="173"/>
      <c r="AH74" s="173"/>
      <c r="AI74" s="173"/>
      <c r="AJ74" s="173"/>
      <c r="AK74" s="173"/>
      <c r="AL74" s="175"/>
      <c r="AM74" s="173"/>
    </row>
    <row r="75" spans="2:39" s="159" customFormat="1" ht="14.45" customHeight="1" x14ac:dyDescent="0.25">
      <c r="B75" s="11"/>
      <c r="C75" s="11"/>
      <c r="D75" s="11"/>
      <c r="E75" s="11"/>
      <c r="F75" s="174"/>
      <c r="G75" s="173"/>
      <c r="H75" s="173"/>
      <c r="I75" s="173"/>
      <c r="AE75" s="173"/>
      <c r="AF75" s="173"/>
      <c r="AG75" s="173"/>
      <c r="AH75" s="173"/>
      <c r="AI75" s="173"/>
      <c r="AJ75" s="173"/>
      <c r="AK75" s="173"/>
      <c r="AL75" s="175"/>
      <c r="AM75" s="173"/>
    </row>
    <row r="76" spans="2:39" s="159" customFormat="1" ht="14.45" customHeight="1" x14ac:dyDescent="0.25">
      <c r="B76" s="11"/>
      <c r="C76" s="11"/>
      <c r="D76" s="11"/>
      <c r="E76" s="11"/>
      <c r="F76" s="174"/>
      <c r="G76" s="173"/>
      <c r="H76" s="173"/>
      <c r="I76" s="173"/>
      <c r="AE76" s="173"/>
      <c r="AF76" s="173"/>
      <c r="AG76" s="173"/>
      <c r="AH76" s="173"/>
      <c r="AI76" s="173"/>
      <c r="AJ76" s="173"/>
      <c r="AK76" s="173"/>
      <c r="AL76" s="175"/>
      <c r="AM76" s="173"/>
    </row>
    <row r="77" spans="2:39" s="159" customFormat="1" ht="14.45" customHeight="1" x14ac:dyDescent="0.25">
      <c r="B77" s="11"/>
      <c r="C77" s="11"/>
      <c r="D77" s="11"/>
      <c r="E77" s="11"/>
      <c r="F77" s="174"/>
      <c r="G77" s="173"/>
      <c r="H77" s="173"/>
      <c r="I77" s="173"/>
      <c r="AE77" s="173"/>
      <c r="AF77" s="173"/>
      <c r="AG77" s="173"/>
      <c r="AH77" s="173"/>
      <c r="AI77" s="173"/>
      <c r="AJ77" s="173"/>
      <c r="AK77" s="173"/>
      <c r="AL77" s="175"/>
      <c r="AM77" s="173"/>
    </row>
    <row r="78" spans="2:39" s="159" customFormat="1" ht="14.45" customHeight="1" x14ac:dyDescent="0.25">
      <c r="B78" s="11"/>
      <c r="C78" s="11"/>
      <c r="D78" s="11"/>
      <c r="E78" s="11"/>
      <c r="F78" s="174"/>
      <c r="G78" s="173"/>
      <c r="H78" s="173"/>
      <c r="I78" s="173"/>
      <c r="AE78" s="173"/>
      <c r="AF78" s="173"/>
      <c r="AG78" s="173"/>
      <c r="AH78" s="173"/>
      <c r="AI78" s="173"/>
      <c r="AJ78" s="173"/>
      <c r="AK78" s="173"/>
      <c r="AL78" s="175"/>
      <c r="AM78" s="173"/>
    </row>
    <row r="79" spans="2:39" s="159" customFormat="1" ht="14.45" customHeight="1" x14ac:dyDescent="0.25">
      <c r="B79" s="11"/>
      <c r="C79" s="11"/>
      <c r="D79" s="11"/>
      <c r="E79" s="11"/>
      <c r="F79" s="174"/>
      <c r="G79" s="173"/>
      <c r="H79" s="173"/>
      <c r="I79" s="173"/>
      <c r="AE79" s="173"/>
      <c r="AF79" s="173"/>
      <c r="AG79" s="173"/>
      <c r="AH79" s="173"/>
      <c r="AI79" s="173"/>
      <c r="AJ79" s="173"/>
      <c r="AK79" s="173"/>
      <c r="AL79" s="175"/>
      <c r="AM79" s="173"/>
    </row>
    <row r="80" spans="2:39" s="159" customFormat="1" ht="14.45" customHeight="1" x14ac:dyDescent="0.25">
      <c r="B80" s="11"/>
      <c r="C80" s="11"/>
      <c r="D80" s="11"/>
      <c r="E80" s="11"/>
      <c r="F80" s="174"/>
      <c r="G80" s="173"/>
      <c r="H80" s="173"/>
      <c r="I80" s="173"/>
      <c r="AE80" s="173"/>
      <c r="AF80" s="173"/>
      <c r="AG80" s="173"/>
      <c r="AH80" s="173"/>
      <c r="AI80" s="173"/>
      <c r="AJ80" s="173"/>
      <c r="AK80" s="173"/>
      <c r="AL80" s="175"/>
      <c r="AM80" s="173"/>
    </row>
    <row r="81" spans="2:39" s="159" customFormat="1" ht="14.45" customHeight="1" x14ac:dyDescent="0.25">
      <c r="B81" s="11"/>
      <c r="C81" s="11"/>
      <c r="D81" s="11"/>
      <c r="E81" s="11"/>
      <c r="F81" s="174"/>
      <c r="G81" s="173"/>
      <c r="H81" s="173"/>
      <c r="I81" s="173"/>
      <c r="AE81" s="173"/>
      <c r="AF81" s="173"/>
      <c r="AG81" s="173"/>
      <c r="AH81" s="173"/>
      <c r="AI81" s="173"/>
      <c r="AJ81" s="173"/>
      <c r="AK81" s="173"/>
      <c r="AL81" s="175"/>
      <c r="AM81" s="173"/>
    </row>
    <row r="82" spans="2:39" s="159" customFormat="1" ht="14.45" customHeight="1" x14ac:dyDescent="0.25">
      <c r="B82" s="11"/>
      <c r="C82" s="11"/>
      <c r="D82" s="11"/>
      <c r="E82" s="11"/>
      <c r="F82" s="174"/>
      <c r="G82" s="173"/>
      <c r="H82" s="173"/>
      <c r="I82" s="173"/>
      <c r="AE82" s="173"/>
      <c r="AF82" s="173"/>
      <c r="AG82" s="173"/>
      <c r="AH82" s="173"/>
      <c r="AI82" s="173"/>
      <c r="AJ82" s="173"/>
      <c r="AK82" s="173"/>
      <c r="AL82" s="175"/>
      <c r="AM82" s="173"/>
    </row>
    <row r="83" spans="2:39" s="159" customFormat="1" ht="14.45" customHeight="1" x14ac:dyDescent="0.25">
      <c r="B83" s="11"/>
      <c r="C83" s="11"/>
      <c r="D83" s="11"/>
      <c r="E83" s="11"/>
      <c r="F83" s="174"/>
      <c r="G83" s="173"/>
      <c r="H83" s="173"/>
      <c r="I83" s="173"/>
      <c r="AE83" s="173"/>
      <c r="AF83" s="173"/>
      <c r="AG83" s="173"/>
      <c r="AH83" s="173"/>
      <c r="AI83" s="173"/>
      <c r="AJ83" s="173"/>
      <c r="AK83" s="173"/>
      <c r="AL83" s="175"/>
      <c r="AM83" s="173"/>
    </row>
    <row r="84" spans="2:39" s="159" customFormat="1" ht="14.45" customHeight="1" x14ac:dyDescent="0.25">
      <c r="B84" s="11"/>
      <c r="C84" s="11"/>
      <c r="D84" s="11"/>
      <c r="E84" s="11"/>
      <c r="F84" s="174"/>
      <c r="G84" s="173"/>
      <c r="H84" s="173"/>
      <c r="I84" s="173"/>
      <c r="AE84" s="173"/>
      <c r="AF84" s="173"/>
      <c r="AG84" s="173"/>
      <c r="AH84" s="173"/>
      <c r="AI84" s="173"/>
      <c r="AJ84" s="173"/>
      <c r="AK84" s="173"/>
      <c r="AL84" s="175"/>
      <c r="AM84" s="173"/>
    </row>
    <row r="85" spans="2:39" s="159" customFormat="1" ht="14.45" customHeight="1" x14ac:dyDescent="0.25">
      <c r="B85" s="11"/>
      <c r="C85" s="11"/>
      <c r="D85" s="11"/>
      <c r="E85" s="11"/>
      <c r="F85" s="174"/>
      <c r="G85" s="173"/>
      <c r="H85" s="173"/>
      <c r="I85" s="173"/>
      <c r="AE85" s="173"/>
      <c r="AF85" s="173"/>
      <c r="AG85" s="173"/>
      <c r="AH85" s="173"/>
      <c r="AI85" s="173"/>
      <c r="AJ85" s="173"/>
      <c r="AK85" s="173"/>
      <c r="AL85" s="175"/>
      <c r="AM85" s="173"/>
    </row>
    <row r="86" spans="2:39" s="159" customFormat="1" ht="14.45" customHeight="1" x14ac:dyDescent="0.25">
      <c r="B86" s="11"/>
      <c r="C86" s="11"/>
      <c r="D86" s="11"/>
      <c r="E86" s="11"/>
      <c r="F86" s="174"/>
      <c r="G86" s="173"/>
      <c r="H86" s="173"/>
      <c r="I86" s="173"/>
      <c r="AE86" s="173"/>
      <c r="AF86" s="173"/>
      <c r="AG86" s="173"/>
      <c r="AH86" s="173"/>
      <c r="AI86" s="173"/>
      <c r="AJ86" s="173"/>
      <c r="AK86" s="173"/>
      <c r="AL86" s="175"/>
      <c r="AM86" s="173"/>
    </row>
    <row r="87" spans="2:39" s="159" customFormat="1" ht="14.45" customHeight="1" x14ac:dyDescent="0.25">
      <c r="B87" s="11"/>
      <c r="C87" s="11"/>
      <c r="D87" s="11"/>
      <c r="E87" s="11"/>
      <c r="F87" s="174"/>
      <c r="G87" s="173"/>
      <c r="H87" s="173"/>
      <c r="I87" s="173"/>
      <c r="AE87" s="173"/>
      <c r="AF87" s="173"/>
      <c r="AG87" s="173"/>
      <c r="AH87" s="173"/>
      <c r="AI87" s="173"/>
      <c r="AJ87" s="173"/>
      <c r="AK87" s="173"/>
      <c r="AL87" s="175"/>
      <c r="AM87" s="173"/>
    </row>
    <row r="88" spans="2:39" s="159" customFormat="1" ht="14.45" customHeight="1" x14ac:dyDescent="0.25">
      <c r="B88" s="11"/>
      <c r="C88" s="11"/>
      <c r="D88" s="11"/>
      <c r="E88" s="11"/>
      <c r="F88" s="174"/>
      <c r="G88" s="173"/>
      <c r="H88" s="173"/>
      <c r="I88" s="173"/>
      <c r="AE88" s="173"/>
      <c r="AF88" s="173"/>
      <c r="AG88" s="173"/>
      <c r="AH88" s="173"/>
      <c r="AI88" s="173"/>
      <c r="AJ88" s="173"/>
      <c r="AK88" s="173"/>
      <c r="AL88" s="175"/>
      <c r="AM88" s="173"/>
    </row>
    <row r="89" spans="2:39" s="159" customFormat="1" ht="14.45" customHeight="1" x14ac:dyDescent="0.25">
      <c r="B89" s="11"/>
      <c r="C89" s="11"/>
      <c r="D89" s="11"/>
      <c r="E89" s="11"/>
      <c r="F89" s="174"/>
      <c r="G89" s="173"/>
      <c r="H89" s="173"/>
      <c r="I89" s="173"/>
      <c r="AE89" s="173"/>
      <c r="AF89" s="173"/>
      <c r="AG89" s="173"/>
      <c r="AH89" s="173"/>
      <c r="AI89" s="173"/>
      <c r="AJ89" s="173"/>
      <c r="AK89" s="173"/>
      <c r="AL89" s="175"/>
      <c r="AM89" s="173"/>
    </row>
    <row r="90" spans="2:39" s="159" customFormat="1" ht="14.45" customHeight="1" x14ac:dyDescent="0.25">
      <c r="B90" s="11"/>
      <c r="C90" s="11"/>
      <c r="D90" s="11"/>
      <c r="E90" s="11"/>
      <c r="F90" s="174"/>
      <c r="G90" s="173"/>
      <c r="H90" s="173"/>
      <c r="I90" s="173"/>
      <c r="AE90" s="173"/>
      <c r="AF90" s="173"/>
      <c r="AG90" s="173"/>
      <c r="AH90" s="173"/>
      <c r="AI90" s="173"/>
      <c r="AJ90" s="173"/>
      <c r="AK90" s="173"/>
      <c r="AL90" s="175"/>
      <c r="AM90" s="173"/>
    </row>
    <row r="91" spans="2:39" ht="14.45" customHeight="1" x14ac:dyDescent="0.25">
      <c r="B91" s="180"/>
      <c r="C91" s="180"/>
      <c r="D91" s="83"/>
    </row>
    <row r="92" spans="2:39" ht="14.45" customHeight="1" x14ac:dyDescent="0.25">
      <c r="B92" s="180"/>
      <c r="C92" s="180"/>
      <c r="D92" s="83"/>
      <c r="G92" s="179"/>
      <c r="H92" s="179"/>
      <c r="I92" s="179"/>
      <c r="J92" s="179"/>
    </row>
    <row r="93" spans="2:39" ht="14.45" customHeight="1" x14ac:dyDescent="0.25">
      <c r="B93" s="180"/>
      <c r="C93" s="180"/>
      <c r="D93" s="83"/>
      <c r="G93" s="179"/>
      <c r="H93" s="179"/>
      <c r="I93" s="179"/>
      <c r="J93" s="179"/>
      <c r="K93" s="159"/>
    </row>
    <row r="94" spans="2:39" ht="14.45" customHeight="1" x14ac:dyDescent="0.25">
      <c r="B94" s="180"/>
      <c r="C94" s="180"/>
      <c r="D94" s="83"/>
      <c r="G94" s="179"/>
      <c r="H94" s="179"/>
      <c r="I94" s="179"/>
      <c r="J94" s="179"/>
      <c r="K94" s="159"/>
    </row>
    <row r="95" spans="2:39" ht="14.45" customHeight="1" x14ac:dyDescent="0.25">
      <c r="B95" s="180"/>
      <c r="C95" s="180"/>
      <c r="D95" s="83"/>
      <c r="G95" s="179"/>
      <c r="H95" s="179"/>
      <c r="I95" s="179"/>
      <c r="J95" s="179"/>
      <c r="K95" s="159"/>
    </row>
    <row r="96" spans="2:39" ht="14.45" customHeight="1" x14ac:dyDescent="0.25">
      <c r="B96" s="180"/>
      <c r="C96" s="180"/>
      <c r="D96" s="83"/>
      <c r="G96" s="179"/>
      <c r="H96" s="179"/>
      <c r="I96" s="179"/>
      <c r="J96" s="179"/>
      <c r="K96" s="159"/>
    </row>
    <row r="97" spans="2:11" ht="14.45" customHeight="1" x14ac:dyDescent="0.25">
      <c r="B97" s="180"/>
      <c r="C97" s="180"/>
      <c r="D97" s="83"/>
      <c r="G97" s="179"/>
      <c r="H97" s="179"/>
      <c r="I97" s="179"/>
      <c r="J97" s="179"/>
      <c r="K97" s="159"/>
    </row>
    <row r="98" spans="2:11" ht="14.45" customHeight="1" x14ac:dyDescent="0.25">
      <c r="B98" s="180"/>
      <c r="C98" s="180"/>
      <c r="G98" s="179"/>
      <c r="H98" s="179"/>
      <c r="I98" s="179"/>
      <c r="J98" s="179"/>
      <c r="K98" s="159"/>
    </row>
    <row r="99" spans="2:11" ht="14.45" customHeight="1" x14ac:dyDescent="0.25">
      <c r="B99" s="180"/>
      <c r="C99" s="180"/>
      <c r="G99" s="179"/>
      <c r="H99" s="179"/>
      <c r="I99" s="179"/>
      <c r="J99" s="179"/>
      <c r="K99" s="159"/>
    </row>
    <row r="100" spans="2:11" ht="14.45" customHeight="1" x14ac:dyDescent="0.25">
      <c r="B100" s="180"/>
      <c r="C100" s="180"/>
      <c r="G100" s="179"/>
      <c r="H100" s="179"/>
      <c r="I100" s="179"/>
      <c r="J100" s="179"/>
      <c r="K100" s="159"/>
    </row>
    <row r="101" spans="2:11" ht="14.45" customHeight="1" x14ac:dyDescent="0.25">
      <c r="B101" s="180"/>
      <c r="C101" s="180"/>
      <c r="G101" s="179"/>
      <c r="H101" s="179"/>
      <c r="I101" s="179"/>
      <c r="J101" s="179"/>
      <c r="K101" s="159"/>
    </row>
    <row r="102" spans="2:11" ht="14.45" customHeight="1" x14ac:dyDescent="0.25">
      <c r="B102" s="180"/>
      <c r="C102" s="180"/>
      <c r="G102" s="179"/>
      <c r="H102" s="179"/>
      <c r="I102" s="179"/>
      <c r="J102" s="179"/>
      <c r="K102" s="159"/>
    </row>
    <row r="103" spans="2:11" ht="14.45" customHeight="1" x14ac:dyDescent="0.25">
      <c r="B103" s="180"/>
      <c r="C103" s="180"/>
      <c r="G103" s="179"/>
      <c r="H103" s="179"/>
      <c r="I103" s="179"/>
      <c r="J103" s="179"/>
      <c r="K103" s="159"/>
    </row>
    <row r="104" spans="2:11" ht="14.45" customHeight="1" x14ac:dyDescent="0.25">
      <c r="B104" s="180"/>
      <c r="C104" s="180"/>
      <c r="G104" s="179"/>
      <c r="H104" s="179"/>
      <c r="I104" s="179"/>
      <c r="J104" s="179"/>
      <c r="K104" s="159"/>
    </row>
    <row r="105" spans="2:11" ht="14.45" customHeight="1" x14ac:dyDescent="0.25">
      <c r="B105" s="180"/>
      <c r="C105" s="180"/>
      <c r="G105" s="179"/>
      <c r="H105" s="179"/>
      <c r="I105" s="179"/>
      <c r="J105" s="179"/>
      <c r="K105" s="159"/>
    </row>
    <row r="106" spans="2:11" ht="14.45" customHeight="1" x14ac:dyDescent="0.25">
      <c r="B106" s="180"/>
      <c r="C106" s="180"/>
      <c r="G106" s="179"/>
      <c r="H106" s="179"/>
      <c r="I106" s="179"/>
      <c r="J106" s="179"/>
      <c r="K106" s="159"/>
    </row>
    <row r="107" spans="2:11" ht="14.45" customHeight="1" x14ac:dyDescent="0.25">
      <c r="B107" s="180"/>
      <c r="C107" s="180"/>
      <c r="G107" s="179"/>
      <c r="H107" s="179"/>
      <c r="I107" s="179"/>
      <c r="J107" s="179"/>
      <c r="K107" s="159"/>
    </row>
    <row r="108" spans="2:11" ht="14.45" customHeight="1" x14ac:dyDescent="0.25">
      <c r="B108" s="180"/>
      <c r="C108" s="180"/>
      <c r="G108" s="179"/>
      <c r="H108" s="179"/>
      <c r="I108" s="179"/>
      <c r="J108" s="179"/>
      <c r="K108" s="159"/>
    </row>
    <row r="109" spans="2:11" ht="14.45" customHeight="1" x14ac:dyDescent="0.25">
      <c r="B109" s="180"/>
      <c r="C109" s="180"/>
      <c r="G109" s="179"/>
      <c r="H109" s="179"/>
      <c r="I109" s="179"/>
      <c r="J109" s="179"/>
      <c r="K109" s="159"/>
    </row>
    <row r="110" spans="2:11" ht="14.45" customHeight="1" x14ac:dyDescent="0.25">
      <c r="B110" s="180"/>
      <c r="C110" s="180"/>
      <c r="G110" s="179"/>
      <c r="H110" s="179"/>
      <c r="I110" s="179"/>
      <c r="J110" s="179"/>
      <c r="K110" s="159"/>
    </row>
    <row r="111" spans="2:11" ht="14.45" customHeight="1" x14ac:dyDescent="0.25">
      <c r="B111" s="180"/>
      <c r="C111" s="180"/>
      <c r="G111" s="179"/>
      <c r="H111" s="179"/>
      <c r="I111" s="179"/>
      <c r="J111" s="179"/>
      <c r="K111" s="159"/>
    </row>
    <row r="112" spans="2:11" ht="14.45" customHeight="1" x14ac:dyDescent="0.25">
      <c r="B112" s="180"/>
      <c r="C112" s="180"/>
      <c r="G112" s="149"/>
      <c r="H112" s="149"/>
      <c r="I112" s="149"/>
      <c r="J112" s="149"/>
      <c r="K112" s="159"/>
    </row>
    <row r="113" spans="2:3" ht="14.45" customHeight="1" x14ac:dyDescent="0.25">
      <c r="B113" s="180"/>
      <c r="C113" s="180"/>
    </row>
    <row r="114" spans="2:3" ht="14.45" customHeight="1" x14ac:dyDescent="0.25">
      <c r="B114" s="180"/>
      <c r="C114" s="180"/>
    </row>
    <row r="115" spans="2:3" ht="14.45" customHeight="1" x14ac:dyDescent="0.25">
      <c r="B115" s="180"/>
      <c r="C115" s="180"/>
    </row>
  </sheetData>
  <mergeCells count="21">
    <mergeCell ref="B27:E31"/>
    <mergeCell ref="B32:E35"/>
    <mergeCell ref="B26:D26"/>
    <mergeCell ref="E2:L2"/>
    <mergeCell ref="M2:V2"/>
    <mergeCell ref="E3:E5"/>
    <mergeCell ref="D3:D5"/>
    <mergeCell ref="C3:C5"/>
    <mergeCell ref="H3:T3"/>
    <mergeCell ref="U3:AG3"/>
    <mergeCell ref="B3:B5"/>
    <mergeCell ref="F3:F5"/>
    <mergeCell ref="G3:G4"/>
    <mergeCell ref="W2:AM2"/>
    <mergeCell ref="B1:AM1"/>
    <mergeCell ref="AH3:AM3"/>
    <mergeCell ref="I4:Q4"/>
    <mergeCell ref="R4:T4"/>
    <mergeCell ref="V4:AD4"/>
    <mergeCell ref="AE4:AG4"/>
    <mergeCell ref="AH4:AM4"/>
  </mergeCells>
  <conditionalFormatting sqref="G6:AM26">
    <cfRule type="cellIs" dxfId="3" priority="4" operator="between">
      <formula>0</formula>
      <formula>30</formula>
    </cfRule>
    <cfRule type="cellIs" dxfId="2" priority="3" operator="between">
      <formula>30.000000001</formula>
      <formula>60</formula>
    </cfRule>
    <cfRule type="cellIs" dxfId="1" priority="2" operator="between">
      <formula>60.0000000001</formula>
      <formula>80</formula>
    </cfRule>
    <cfRule type="cellIs" dxfId="0" priority="1" operator="between">
      <formula>80.0000000001</formula>
      <formula>100</formula>
    </cfRule>
  </conditionalFormatting>
  <printOptions horizontalCentered="1"/>
  <pageMargins left="0" right="0" top="0" bottom="0" header="0" footer="0"/>
  <pageSetup paperSize="9" scale="35" fitToWidth="0" orientation="landscape" verticalDpi="0" r:id="rId1"/>
  <headerFooter scaleWithDoc="0" alignWithMargins="0"/>
  <ignoredErrors>
    <ignoredError sqref="D2:V2 F6 F26:AM26 G6:AM6 B6:E25" emptyCellReference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809"/>
  <sheetViews>
    <sheetView zoomScale="65" zoomScaleNormal="65" workbookViewId="0">
      <selection activeCell="B1" sqref="B1:AG1"/>
    </sheetView>
  </sheetViews>
  <sheetFormatPr defaultColWidth="8.85546875" defaultRowHeight="16.5" x14ac:dyDescent="0.25"/>
  <cols>
    <col min="1" max="1" width="1.7109375" style="93" customWidth="1"/>
    <col min="2" max="3" width="8.85546875" style="93" customWidth="1"/>
    <col min="4" max="4" width="23.85546875" style="93" customWidth="1"/>
    <col min="5" max="5" width="44.42578125" style="93" customWidth="1"/>
    <col min="6" max="6" width="8.85546875" style="93" customWidth="1"/>
    <col min="7" max="7" width="13" style="93" customWidth="1"/>
    <col min="8" max="32" width="7.7109375" style="93" customWidth="1"/>
    <col min="33" max="33" width="11.42578125" style="93" customWidth="1"/>
    <col min="34" max="34" width="1.7109375" style="93" customWidth="1"/>
    <col min="35" max="16384" width="8.85546875" style="93"/>
  </cols>
  <sheetData>
    <row r="1" spans="2:33" ht="39.75" x14ac:dyDescent="0.25">
      <c r="B1" s="352" t="s">
        <v>96</v>
      </c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</row>
    <row r="2" spans="2:33" ht="15.6" customHeight="1" x14ac:dyDescent="0.25">
      <c r="B2" s="355" t="s">
        <v>95</v>
      </c>
      <c r="C2" s="355"/>
      <c r="D2" s="355"/>
      <c r="E2" s="355"/>
      <c r="F2" s="355"/>
      <c r="G2" s="355"/>
      <c r="H2" s="356" t="s">
        <v>36</v>
      </c>
      <c r="I2" s="356"/>
      <c r="J2" s="356"/>
      <c r="K2" s="356" t="s">
        <v>44</v>
      </c>
      <c r="L2" s="356"/>
      <c r="M2" s="356"/>
      <c r="N2" s="215"/>
      <c r="O2" s="356" t="s">
        <v>56</v>
      </c>
      <c r="P2" s="356"/>
      <c r="Q2" s="356"/>
      <c r="R2" s="356"/>
      <c r="S2" s="356"/>
      <c r="T2" s="356"/>
      <c r="U2" s="356" t="s">
        <v>57</v>
      </c>
      <c r="V2" s="356"/>
      <c r="W2" s="356"/>
      <c r="X2" s="356"/>
      <c r="Y2" s="356"/>
      <c r="Z2" s="356"/>
      <c r="AA2" s="356" t="s">
        <v>58</v>
      </c>
      <c r="AB2" s="356"/>
      <c r="AC2" s="356"/>
      <c r="AD2" s="356"/>
      <c r="AE2" s="356"/>
      <c r="AF2" s="356"/>
      <c r="AG2" s="353"/>
    </row>
    <row r="3" spans="2:33" ht="91.5" x14ac:dyDescent="0.25">
      <c r="B3" s="214" t="s">
        <v>29</v>
      </c>
      <c r="C3" s="214" t="s">
        <v>41</v>
      </c>
      <c r="D3" s="214" t="s">
        <v>30</v>
      </c>
      <c r="E3" s="214" t="s">
        <v>31</v>
      </c>
      <c r="F3" s="92" t="s">
        <v>65</v>
      </c>
      <c r="G3" s="92" t="s">
        <v>63</v>
      </c>
      <c r="H3" s="92" t="s">
        <v>42</v>
      </c>
      <c r="I3" s="92" t="s">
        <v>45</v>
      </c>
      <c r="J3" s="92" t="s">
        <v>43</v>
      </c>
      <c r="K3" s="92" t="s">
        <v>42</v>
      </c>
      <c r="L3" s="92" t="s">
        <v>45</v>
      </c>
      <c r="M3" s="92" t="s">
        <v>43</v>
      </c>
      <c r="N3" s="92" t="s">
        <v>32</v>
      </c>
      <c r="O3" s="92" t="s">
        <v>46</v>
      </c>
      <c r="P3" s="92" t="s">
        <v>47</v>
      </c>
      <c r="Q3" s="92" t="s">
        <v>48</v>
      </c>
      <c r="R3" s="92" t="s">
        <v>8</v>
      </c>
      <c r="S3" s="92" t="s">
        <v>7</v>
      </c>
      <c r="T3" s="92" t="s">
        <v>107</v>
      </c>
      <c r="U3" s="92" t="s">
        <v>49</v>
      </c>
      <c r="V3" s="92" t="s">
        <v>50</v>
      </c>
      <c r="W3" s="92" t="s">
        <v>51</v>
      </c>
      <c r="X3" s="92" t="s">
        <v>8</v>
      </c>
      <c r="Y3" s="92" t="s">
        <v>7</v>
      </c>
      <c r="Z3" s="92" t="s">
        <v>108</v>
      </c>
      <c r="AA3" s="92" t="s">
        <v>55</v>
      </c>
      <c r="AB3" s="92" t="s">
        <v>54</v>
      </c>
      <c r="AC3" s="92" t="s">
        <v>52</v>
      </c>
      <c r="AD3" s="92" t="s">
        <v>53</v>
      </c>
      <c r="AE3" s="92" t="s">
        <v>15</v>
      </c>
      <c r="AF3" s="92" t="s">
        <v>16</v>
      </c>
      <c r="AG3" s="354"/>
    </row>
    <row r="4" spans="2:33" x14ac:dyDescent="0.25">
      <c r="B4" s="101">
        <f>'Tədris dili'!B157</f>
        <v>8</v>
      </c>
      <c r="C4" s="101" t="str">
        <f>'Tədris dili'!C157</f>
        <v>e</v>
      </c>
      <c r="D4" s="101" t="str">
        <f>'Tədris dili'!D157</f>
        <v>Tədris dili</v>
      </c>
      <c r="E4" s="101" t="str">
        <f>'Tədris dili'!E157</f>
        <v>Səfərova Elnarə Yəhya</v>
      </c>
      <c r="F4" s="101">
        <f>'Tədris dili'!F157</f>
        <v>102</v>
      </c>
      <c r="G4" s="101" t="str">
        <f>'Tədris dili'!G157</f>
        <v>Azərbaycan</v>
      </c>
      <c r="H4" s="101">
        <f>'Tədris dili'!H157</f>
        <v>13</v>
      </c>
      <c r="I4" s="101">
        <f>'Tədris dili'!I157</f>
        <v>7</v>
      </c>
      <c r="J4" s="101">
        <f>'Tədris dili'!J157</f>
        <v>20</v>
      </c>
      <c r="K4" s="102">
        <f>'Tədris dili'!K157</f>
        <v>0</v>
      </c>
      <c r="L4" s="102">
        <f>'Tədris dili'!L157</f>
        <v>0</v>
      </c>
      <c r="M4" s="218">
        <f>'Tədris dili'!M157</f>
        <v>0</v>
      </c>
      <c r="N4" s="102">
        <f>'Tədris dili'!N157</f>
        <v>63.75</v>
      </c>
      <c r="O4" s="102" t="str">
        <f>'Tədris dili'!O157</f>
        <v/>
      </c>
      <c r="P4" s="102" t="str">
        <f>'Tədris dili'!P157</f>
        <v/>
      </c>
      <c r="Q4" s="102" t="str">
        <f>'Tədris dili'!Q157</f>
        <v/>
      </c>
      <c r="R4" s="102">
        <f>'Tədris dili'!R157</f>
        <v>60.724999999999987</v>
      </c>
      <c r="S4" s="102">
        <f>'Tədris dili'!S157</f>
        <v>56.6</v>
      </c>
      <c r="T4" s="102">
        <f>'Tədris dili'!T157</f>
        <v>58.250000000000014</v>
      </c>
      <c r="U4" s="102" t="str">
        <f>'Tədris dili'!U157</f>
        <v/>
      </c>
      <c r="V4" s="102" t="str">
        <f>'Tədris dili'!V157</f>
        <v/>
      </c>
      <c r="W4" s="102" t="str">
        <f>'Tədris dili'!W157</f>
        <v/>
      </c>
      <c r="X4" s="102" t="str">
        <f>'Tədris dili'!X157</f>
        <v/>
      </c>
      <c r="Y4" s="102" t="str">
        <f>'Tədris dili'!Y157</f>
        <v/>
      </c>
      <c r="Z4" s="102" t="str">
        <f>'Tədris dili'!Z157</f>
        <v/>
      </c>
      <c r="AA4" s="102" t="str">
        <f>'Tədris dili'!AA157</f>
        <v/>
      </c>
      <c r="AB4" s="102" t="str">
        <f>'Tədris dili'!AB157</f>
        <v/>
      </c>
      <c r="AC4" s="102">
        <f>'Tədris dili'!AC157</f>
        <v>60.724999999999987</v>
      </c>
      <c r="AD4" s="102">
        <f>'Tədris dili'!AD157</f>
        <v>56.6</v>
      </c>
      <c r="AE4" s="102">
        <f>'Tədris dili'!AE157</f>
        <v>58.250000000000014</v>
      </c>
      <c r="AF4" s="102" t="str">
        <f>'Tədris dili'!AF157</f>
        <v/>
      </c>
      <c r="AG4" s="101" t="str">
        <f>'Tədris dili'!AG157</f>
        <v>Ümumi</v>
      </c>
    </row>
    <row r="5" spans="2:33" x14ac:dyDescent="0.25">
      <c r="B5" s="116"/>
      <c r="C5" s="106"/>
      <c r="D5" s="106"/>
      <c r="E5" s="106" t="s">
        <v>111</v>
      </c>
      <c r="F5" s="106">
        <f>Müəllimlər!J4</f>
        <v>0</v>
      </c>
      <c r="G5" s="106">
        <f>Müəllimlər!K4</f>
        <v>0</v>
      </c>
      <c r="H5" s="106">
        <f>Müəllimlər!L4</f>
        <v>0</v>
      </c>
      <c r="I5" s="106">
        <f>Müəllimlər!M4</f>
        <v>0</v>
      </c>
      <c r="J5" s="106">
        <f>Müəllimlər!N4</f>
        <v>0</v>
      </c>
      <c r="K5" s="101">
        <f>'Tədris dili'!K158</f>
        <v>0</v>
      </c>
      <c r="L5" s="101">
        <f>'Tədris dili'!L158</f>
        <v>0</v>
      </c>
      <c r="M5" s="103">
        <f>'Tədris dili'!M158</f>
        <v>0</v>
      </c>
      <c r="N5" s="102">
        <f>'Tədris dili'!N158</f>
        <v>57.307692307692307</v>
      </c>
      <c r="O5" s="102">
        <f>'Tədris dili'!O158</f>
        <v>0</v>
      </c>
      <c r="P5" s="102">
        <f>'Tədris dili'!P158</f>
        <v>0</v>
      </c>
      <c r="Q5" s="102">
        <f>'Tədris dili'!Q158</f>
        <v>0</v>
      </c>
      <c r="R5" s="102">
        <f>'Tədris dili'!R158</f>
        <v>53.423076923076934</v>
      </c>
      <c r="S5" s="102">
        <f>'Tədris dili'!S158</f>
        <v>49.53846153846154</v>
      </c>
      <c r="T5" s="102">
        <f>'Tədris dili'!T158</f>
        <v>51.092307692307685</v>
      </c>
      <c r="U5" s="102">
        <f>'Tədris dili'!U158</f>
        <v>0</v>
      </c>
      <c r="V5" s="102">
        <f>'Tədris dili'!V158</f>
        <v>0</v>
      </c>
      <c r="W5" s="102">
        <f>'Tədris dili'!W158</f>
        <v>0</v>
      </c>
      <c r="X5" s="102">
        <f>'Tədris dili'!X158</f>
        <v>0</v>
      </c>
      <c r="Y5" s="102">
        <f>'Tədris dili'!Y158</f>
        <v>0</v>
      </c>
      <c r="Z5" s="102">
        <f>'Tədris dili'!Z158</f>
        <v>0</v>
      </c>
      <c r="AA5" s="102">
        <f>'Tədris dili'!AA158</f>
        <v>0</v>
      </c>
      <c r="AB5" s="102">
        <f>'Tədris dili'!AB158</f>
        <v>0</v>
      </c>
      <c r="AC5" s="102">
        <f>'Tədris dili'!AC158</f>
        <v>53.423076923076934</v>
      </c>
      <c r="AD5" s="102">
        <f>'Tədris dili'!AD158</f>
        <v>49.53846153846154</v>
      </c>
      <c r="AE5" s="102">
        <f>'Tədris dili'!AE158</f>
        <v>51.092307692307685</v>
      </c>
      <c r="AF5" s="102">
        <f>'Tədris dili'!AF158</f>
        <v>0</v>
      </c>
      <c r="AG5" s="101" t="str">
        <f>'Tədris dili'!AG158</f>
        <v>Oğlanlar</v>
      </c>
    </row>
    <row r="6" spans="2:33" x14ac:dyDescent="0.25">
      <c r="B6" s="117"/>
      <c r="C6" s="106"/>
      <c r="D6" s="106"/>
      <c r="E6" s="106" t="s">
        <v>113</v>
      </c>
      <c r="F6" s="106">
        <f>Müəllimlər!O4</f>
        <v>0</v>
      </c>
      <c r="G6" s="106">
        <f>Müəllimlər!P4</f>
        <v>0</v>
      </c>
      <c r="H6" s="106">
        <f>Müəllimlər!Q4</f>
        <v>0</v>
      </c>
      <c r="I6" s="106">
        <f>Müəllimlər!R4</f>
        <v>0</v>
      </c>
      <c r="J6" s="106">
        <f>Müəllimlər!S4</f>
        <v>0</v>
      </c>
      <c r="K6" s="106"/>
      <c r="L6" s="106"/>
      <c r="M6" s="106"/>
      <c r="N6" s="102">
        <f>'Tədris dili'!N159</f>
        <v>75.714285714285708</v>
      </c>
      <c r="O6" s="102">
        <f>'Tədris dili'!O159</f>
        <v>0</v>
      </c>
      <c r="P6" s="102">
        <f>'Tədris dili'!P159</f>
        <v>0</v>
      </c>
      <c r="Q6" s="102">
        <f>'Tədris dili'!Q159</f>
        <v>0</v>
      </c>
      <c r="R6" s="102">
        <f>'Tədris dili'!R159</f>
        <v>74.285714285714292</v>
      </c>
      <c r="S6" s="102">
        <f>'Tədris dili'!S159</f>
        <v>69.714285714285708</v>
      </c>
      <c r="T6" s="102">
        <f>'Tədris dili'!T159</f>
        <v>71.542857142857144</v>
      </c>
      <c r="U6" s="102">
        <f>'Tədris dili'!U159</f>
        <v>0</v>
      </c>
      <c r="V6" s="102">
        <f>'Tədris dili'!V159</f>
        <v>0</v>
      </c>
      <c r="W6" s="102">
        <f>'Tədris dili'!W159</f>
        <v>0</v>
      </c>
      <c r="X6" s="102">
        <f>'Tədris dili'!X159</f>
        <v>0</v>
      </c>
      <c r="Y6" s="102">
        <f>'Tədris dili'!Y159</f>
        <v>0</v>
      </c>
      <c r="Z6" s="102">
        <f>'Tədris dili'!Z159</f>
        <v>0</v>
      </c>
      <c r="AA6" s="102">
        <f>'Tədris dili'!AA159</f>
        <v>0</v>
      </c>
      <c r="AB6" s="102">
        <f>'Tədris dili'!AB159</f>
        <v>0</v>
      </c>
      <c r="AC6" s="102">
        <f>'Tədris dili'!AC159</f>
        <v>74.285714285714292</v>
      </c>
      <c r="AD6" s="102">
        <f>'Tədris dili'!AD159</f>
        <v>69.714285714285708</v>
      </c>
      <c r="AE6" s="102">
        <f>'Tədris dili'!AE159</f>
        <v>71.542857142857144</v>
      </c>
      <c r="AF6" s="102">
        <f>'Tədris dili'!AF159</f>
        <v>0</v>
      </c>
      <c r="AG6" s="101" t="str">
        <f>'Tədris dili'!AG159</f>
        <v>Qızlar</v>
      </c>
    </row>
    <row r="7" spans="2:33" x14ac:dyDescent="0.25">
      <c r="B7" s="117"/>
      <c r="C7" s="106"/>
      <c r="D7" s="106"/>
      <c r="E7" s="106" t="s">
        <v>122</v>
      </c>
      <c r="F7" s="106">
        <f>Müəllimlər!T4</f>
        <v>0</v>
      </c>
      <c r="G7" s="106">
        <f>Müəllimlər!U4</f>
        <v>0</v>
      </c>
      <c r="H7" s="106">
        <f>Müəllimlər!V4</f>
        <v>0</v>
      </c>
      <c r="I7" s="106">
        <f>Müəllimlər!W4</f>
        <v>0</v>
      </c>
      <c r="J7" s="106">
        <f>Müəllimlər!X4</f>
        <v>0</v>
      </c>
      <c r="K7" s="106"/>
      <c r="L7" s="106"/>
      <c r="M7" s="106"/>
      <c r="N7" s="102">
        <f>'Tədris dili'!N160</f>
        <v>15</v>
      </c>
      <c r="O7" s="216" t="str">
        <f>'Tədris dili'!O160</f>
        <v/>
      </c>
      <c r="P7" s="102" t="str">
        <f>'Tədris dili'!P160</f>
        <v/>
      </c>
      <c r="Q7" s="102" t="str">
        <f>'Tədris dili'!Q160</f>
        <v/>
      </c>
      <c r="R7" s="102">
        <f>'Tədris dili'!R160</f>
        <v>10</v>
      </c>
      <c r="S7" s="102">
        <f>'Tədris dili'!S160</f>
        <v>10</v>
      </c>
      <c r="T7" s="102">
        <f>'Tədris dili'!T160</f>
        <v>10</v>
      </c>
      <c r="U7" s="102" t="str">
        <f>'Tədris dili'!U160</f>
        <v/>
      </c>
      <c r="V7" s="102" t="str">
        <f>'Tədris dili'!V160</f>
        <v/>
      </c>
      <c r="W7" s="102" t="str">
        <f>'Tədris dili'!W160</f>
        <v/>
      </c>
      <c r="X7" s="102" t="str">
        <f>'Tədris dili'!X160</f>
        <v/>
      </c>
      <c r="Y7" s="102" t="str">
        <f>'Tədris dili'!Y160</f>
        <v/>
      </c>
      <c r="Z7" s="102" t="str">
        <f>'Tədris dili'!Z160</f>
        <v/>
      </c>
      <c r="AA7" s="102" t="str">
        <f>'Tədris dili'!AA160</f>
        <v/>
      </c>
      <c r="AB7" s="102" t="str">
        <f>'Tədris dili'!AB160</f>
        <v/>
      </c>
      <c r="AC7" s="102">
        <f>'Tədris dili'!AC160</f>
        <v>10</v>
      </c>
      <c r="AD7" s="102">
        <f>'Tədris dili'!AD160</f>
        <v>10</v>
      </c>
      <c r="AE7" s="102">
        <f>'Tədris dili'!AE160</f>
        <v>10</v>
      </c>
      <c r="AF7" s="102" t="str">
        <f>'Tədris dili'!AF160</f>
        <v/>
      </c>
      <c r="AG7" s="101" t="str">
        <f>'Tədris dili'!AG160</f>
        <v>(80-100]</v>
      </c>
    </row>
    <row r="8" spans="2:33" x14ac:dyDescent="0.25">
      <c r="B8" s="117"/>
      <c r="C8" s="106"/>
      <c r="D8" s="106"/>
      <c r="E8" s="106" t="s">
        <v>119</v>
      </c>
      <c r="F8" s="106">
        <f>Müəllimlər!Y4</f>
        <v>0</v>
      </c>
      <c r="G8" s="106">
        <f>Müəllimlər!Z4</f>
        <v>0</v>
      </c>
      <c r="H8" s="106">
        <f>Müəllimlər!AA4</f>
        <v>0</v>
      </c>
      <c r="I8" s="106">
        <f>Müəllimlər!AB4</f>
        <v>0</v>
      </c>
      <c r="J8" s="106">
        <f>Müəllimlər!AC4</f>
        <v>0</v>
      </c>
      <c r="K8" s="106"/>
      <c r="L8" s="106"/>
      <c r="M8" s="106"/>
      <c r="N8" s="102">
        <f>'Tədris dili'!N161</f>
        <v>40</v>
      </c>
      <c r="O8" s="216" t="str">
        <f>'Tədris dili'!O161</f>
        <v/>
      </c>
      <c r="P8" s="102" t="str">
        <f>'Tədris dili'!P161</f>
        <v/>
      </c>
      <c r="Q8" s="102" t="str">
        <f>'Tədris dili'!Q161</f>
        <v/>
      </c>
      <c r="R8" s="102">
        <f>'Tədris dili'!R161</f>
        <v>40</v>
      </c>
      <c r="S8" s="102">
        <f>'Tədris dili'!S161</f>
        <v>40</v>
      </c>
      <c r="T8" s="102">
        <f>'Tədris dili'!T161</f>
        <v>40</v>
      </c>
      <c r="U8" s="102" t="str">
        <f>'Tədris dili'!U161</f>
        <v/>
      </c>
      <c r="V8" s="102" t="str">
        <f>'Tədris dili'!V161</f>
        <v/>
      </c>
      <c r="W8" s="102" t="str">
        <f>'Tədris dili'!W161</f>
        <v/>
      </c>
      <c r="X8" s="102" t="str">
        <f>'Tədris dili'!X161</f>
        <v/>
      </c>
      <c r="Y8" s="102" t="str">
        <f>'Tədris dili'!Y161</f>
        <v/>
      </c>
      <c r="Z8" s="102" t="str">
        <f>'Tədris dili'!Z161</f>
        <v/>
      </c>
      <c r="AA8" s="102" t="str">
        <f>'Tədris dili'!AA161</f>
        <v/>
      </c>
      <c r="AB8" s="102" t="str">
        <f>'Tədris dili'!AB161</f>
        <v/>
      </c>
      <c r="AC8" s="102">
        <f>'Tədris dili'!AC161</f>
        <v>40</v>
      </c>
      <c r="AD8" s="102">
        <f>'Tədris dili'!AD161</f>
        <v>40</v>
      </c>
      <c r="AE8" s="102">
        <f>'Tədris dili'!AE161</f>
        <v>40</v>
      </c>
      <c r="AF8" s="102" t="str">
        <f>'Tədris dili'!AF161</f>
        <v/>
      </c>
      <c r="AG8" s="101" t="str">
        <f>'Tədris dili'!AG161</f>
        <v>(60-80]</v>
      </c>
    </row>
    <row r="9" spans="2:33" x14ac:dyDescent="0.25">
      <c r="B9" s="117"/>
      <c r="C9" s="106"/>
      <c r="D9" s="106"/>
      <c r="E9" s="106" t="s">
        <v>120</v>
      </c>
      <c r="F9" s="106">
        <f>Müəllimlər!AD4</f>
        <v>0</v>
      </c>
      <c r="G9" s="106">
        <f>Müəllimlər!AE4</f>
        <v>0</v>
      </c>
      <c r="H9" s="106">
        <f>Müəllimlər!AF4</f>
        <v>0</v>
      </c>
      <c r="I9" s="106">
        <f>Müəllimlər!AG4</f>
        <v>0</v>
      </c>
      <c r="J9" s="106">
        <f>Müəllimlər!AH4</f>
        <v>0</v>
      </c>
      <c r="K9" s="106"/>
      <c r="L9" s="106"/>
      <c r="M9" s="106"/>
      <c r="N9" s="102">
        <f>'Tədris dili'!N162</f>
        <v>45</v>
      </c>
      <c r="O9" s="102" t="str">
        <f>'Tədris dili'!O162</f>
        <v/>
      </c>
      <c r="P9" s="102" t="str">
        <f>'Tədris dili'!P162</f>
        <v/>
      </c>
      <c r="Q9" s="102" t="str">
        <f>'Tədris dili'!Q162</f>
        <v/>
      </c>
      <c r="R9" s="102">
        <f>'Tədris dili'!R162</f>
        <v>50</v>
      </c>
      <c r="S9" s="102">
        <f>'Tədris dili'!S162</f>
        <v>50</v>
      </c>
      <c r="T9" s="102">
        <f>'Tədris dili'!T162</f>
        <v>50</v>
      </c>
      <c r="U9" s="102" t="str">
        <f>'Tədris dili'!U162</f>
        <v/>
      </c>
      <c r="V9" s="102" t="str">
        <f>'Tədris dili'!V162</f>
        <v/>
      </c>
      <c r="W9" s="102" t="str">
        <f>'Tədris dili'!W162</f>
        <v/>
      </c>
      <c r="X9" s="102" t="str">
        <f>'Tədris dili'!X162</f>
        <v/>
      </c>
      <c r="Y9" s="102" t="str">
        <f>'Tədris dili'!Y162</f>
        <v/>
      </c>
      <c r="Z9" s="102" t="str">
        <f>'Tədris dili'!Z162</f>
        <v/>
      </c>
      <c r="AA9" s="102" t="str">
        <f>'Tədris dili'!AA162</f>
        <v/>
      </c>
      <c r="AB9" s="102" t="str">
        <f>'Tədris dili'!AB162</f>
        <v/>
      </c>
      <c r="AC9" s="102">
        <f>'Tədris dili'!AC162</f>
        <v>50</v>
      </c>
      <c r="AD9" s="102">
        <f>'Tədris dili'!AD162</f>
        <v>50</v>
      </c>
      <c r="AE9" s="102">
        <f>'Tədris dili'!AE162</f>
        <v>50</v>
      </c>
      <c r="AF9" s="102" t="str">
        <f>'Tədris dili'!AF162</f>
        <v/>
      </c>
      <c r="AG9" s="101" t="str">
        <f>'Tədris dili'!AG162</f>
        <v>(30-60]</v>
      </c>
    </row>
    <row r="10" spans="2:33" ht="28.5" x14ac:dyDescent="0.25">
      <c r="B10" s="118"/>
      <c r="C10" s="106"/>
      <c r="D10" s="106"/>
      <c r="E10" s="221" t="s">
        <v>121</v>
      </c>
      <c r="F10" s="106">
        <f>Müəllimlər!AI4</f>
        <v>0</v>
      </c>
      <c r="G10" s="106">
        <f>Müəllimlər!AJ4</f>
        <v>0</v>
      </c>
      <c r="H10" s="106">
        <f>Müəllimlər!AK4</f>
        <v>0</v>
      </c>
      <c r="I10" s="106">
        <f>Müəllimlər!AL4</f>
        <v>0</v>
      </c>
      <c r="J10" s="106">
        <f>Müəllimlər!AM4</f>
        <v>0</v>
      </c>
      <c r="K10" s="106"/>
      <c r="L10" s="106"/>
      <c r="M10" s="106"/>
      <c r="N10" s="102">
        <f>'Tədris dili'!N163</f>
        <v>0</v>
      </c>
      <c r="O10" s="104" t="str">
        <f>'Tədris dili'!O163</f>
        <v/>
      </c>
      <c r="P10" s="104" t="str">
        <f>'Tədris dili'!P163</f>
        <v/>
      </c>
      <c r="Q10" s="104" t="str">
        <f>'Tədris dili'!Q163</f>
        <v/>
      </c>
      <c r="R10" s="104">
        <f>'Tədris dili'!R163</f>
        <v>0</v>
      </c>
      <c r="S10" s="104">
        <f>'Tədris dili'!S163</f>
        <v>0</v>
      </c>
      <c r="T10" s="104">
        <f>'Tədris dili'!T163</f>
        <v>0</v>
      </c>
      <c r="U10" s="104" t="str">
        <f>'Tədris dili'!U163</f>
        <v/>
      </c>
      <c r="V10" s="104" t="str">
        <f>'Tədris dili'!V163</f>
        <v/>
      </c>
      <c r="W10" s="104" t="str">
        <f>'Tədris dili'!W163</f>
        <v/>
      </c>
      <c r="X10" s="104" t="str">
        <f>'Tədris dili'!X163</f>
        <v/>
      </c>
      <c r="Y10" s="104" t="str">
        <f>'Tədris dili'!Y163</f>
        <v/>
      </c>
      <c r="Z10" s="104" t="str">
        <f>'Tədris dili'!Z163</f>
        <v/>
      </c>
      <c r="AA10" s="104" t="str">
        <f>'Tədris dili'!AA163</f>
        <v/>
      </c>
      <c r="AB10" s="104" t="str">
        <f>'Tədris dili'!AB163</f>
        <v/>
      </c>
      <c r="AC10" s="104">
        <f>'Tədris dili'!AC163</f>
        <v>0</v>
      </c>
      <c r="AD10" s="104">
        <f>'Tədris dili'!AD163</f>
        <v>0</v>
      </c>
      <c r="AE10" s="104">
        <f>'Tədris dili'!AE163</f>
        <v>0</v>
      </c>
      <c r="AF10" s="104" t="str">
        <f>'Tədris dili'!AF163</f>
        <v/>
      </c>
      <c r="AG10" s="105" t="str">
        <f>'Tədris dili'!AG163</f>
        <v>[0-30]</v>
      </c>
    </row>
    <row r="11" spans="2:33" x14ac:dyDescent="0.25">
      <c r="B11" s="98">
        <f>Əd!B157</f>
        <v>8</v>
      </c>
      <c r="C11" s="98" t="str">
        <f>Əd!C157</f>
        <v>e</v>
      </c>
      <c r="D11" s="98" t="str">
        <f>Əd!D157</f>
        <v>Ədəbiyyat</v>
      </c>
      <c r="E11" s="98" t="str">
        <f>Əd!E157</f>
        <v>Səfərova Elnarə Yəhya</v>
      </c>
      <c r="F11" s="98">
        <f>Əd!F157</f>
        <v>68</v>
      </c>
      <c r="G11" s="98" t="str">
        <f>Əd!G157</f>
        <v>Azərbaycan</v>
      </c>
      <c r="H11" s="98">
        <f>Əd!H157</f>
        <v>13</v>
      </c>
      <c r="I11" s="98">
        <f>Əd!I157</f>
        <v>7</v>
      </c>
      <c r="J11" s="98">
        <f>Əd!J157</f>
        <v>20</v>
      </c>
      <c r="K11" s="99">
        <f>Əd!K157</f>
        <v>0.11312217194570136</v>
      </c>
      <c r="L11" s="99">
        <f>Əd!L157</f>
        <v>0</v>
      </c>
      <c r="M11" s="219">
        <f>Əd!M157</f>
        <v>7.3529411764705885E-2</v>
      </c>
      <c r="N11" s="99">
        <f>Əd!N157</f>
        <v>63.2</v>
      </c>
      <c r="O11" s="99" t="str">
        <f>Əd!O157</f>
        <v/>
      </c>
      <c r="P11" s="99" t="str">
        <f>Əd!P157</f>
        <v/>
      </c>
      <c r="Q11" s="99" t="str">
        <f>Əd!Q157</f>
        <v/>
      </c>
      <c r="R11" s="99">
        <f>Əd!R157</f>
        <v>60.016666666666666</v>
      </c>
      <c r="S11" s="99" t="str">
        <f>Əd!S157</f>
        <v/>
      </c>
      <c r="T11" s="99">
        <f>Əd!T157</f>
        <v>60.016666666666666</v>
      </c>
      <c r="U11" s="99" t="str">
        <f>Əd!U157</f>
        <v/>
      </c>
      <c r="V11" s="99" t="str">
        <f>Əd!V157</f>
        <v/>
      </c>
      <c r="W11" s="99" t="str">
        <f>Əd!W157</f>
        <v/>
      </c>
      <c r="X11" s="99" t="str">
        <f>Əd!X157</f>
        <v/>
      </c>
      <c r="Y11" s="99" t="str">
        <f>Əd!Y157</f>
        <v/>
      </c>
      <c r="Z11" s="99" t="str">
        <f>Əd!Z157</f>
        <v/>
      </c>
      <c r="AA11" s="99" t="str">
        <f>Əd!AA157</f>
        <v/>
      </c>
      <c r="AB11" s="99" t="str">
        <f>Əd!AB157</f>
        <v/>
      </c>
      <c r="AC11" s="99">
        <f>Əd!AC157</f>
        <v>60.016666666666666</v>
      </c>
      <c r="AD11" s="99" t="str">
        <f>Əd!AD157</f>
        <v/>
      </c>
      <c r="AE11" s="99">
        <f>Əd!AE157</f>
        <v>60.016666666666666</v>
      </c>
      <c r="AF11" s="99" t="str">
        <f>Əd!AF157</f>
        <v/>
      </c>
      <c r="AG11" s="99" t="str">
        <f>Əd!AG157</f>
        <v>Ümumi</v>
      </c>
    </row>
    <row r="12" spans="2:33" x14ac:dyDescent="0.25">
      <c r="B12" s="119"/>
      <c r="C12" s="100"/>
      <c r="D12" s="100"/>
      <c r="E12" s="100" t="s">
        <v>111</v>
      </c>
      <c r="F12" s="100">
        <f>Müəllimlər!J5</f>
        <v>0</v>
      </c>
      <c r="G12" s="100">
        <f>Müəllimlər!K5</f>
        <v>0</v>
      </c>
      <c r="H12" s="100">
        <f>Müəllimlər!L5</f>
        <v>0</v>
      </c>
      <c r="I12" s="100">
        <f>Müəllimlər!M5</f>
        <v>0</v>
      </c>
      <c r="J12" s="100">
        <f>Müəllimlər!N5</f>
        <v>0</v>
      </c>
      <c r="K12" s="98">
        <f>Əd!K158</f>
        <v>1</v>
      </c>
      <c r="L12" s="98">
        <f>Əd!L158</f>
        <v>0</v>
      </c>
      <c r="M12" s="112">
        <f>Əd!M158</f>
        <v>1</v>
      </c>
      <c r="N12" s="99">
        <f>Əd!N158</f>
        <v>58.92307692307692</v>
      </c>
      <c r="O12" s="99">
        <f>Əd!O158</f>
        <v>0</v>
      </c>
      <c r="P12" s="99">
        <f>Əd!P158</f>
        <v>0</v>
      </c>
      <c r="Q12" s="99">
        <f>Əd!Q158</f>
        <v>0</v>
      </c>
      <c r="R12" s="99">
        <f>Əd!R158</f>
        <v>53.589743589743598</v>
      </c>
      <c r="S12" s="99">
        <f>Əd!S158</f>
        <v>0</v>
      </c>
      <c r="T12" s="99">
        <f>Əd!T158</f>
        <v>53.589743589743598</v>
      </c>
      <c r="U12" s="99">
        <f>Əd!U158</f>
        <v>0</v>
      </c>
      <c r="V12" s="99">
        <f>Əd!V158</f>
        <v>0</v>
      </c>
      <c r="W12" s="99">
        <f>Əd!W158</f>
        <v>0</v>
      </c>
      <c r="X12" s="99">
        <f>Əd!X158</f>
        <v>0</v>
      </c>
      <c r="Y12" s="99">
        <f>Əd!Y158</f>
        <v>0</v>
      </c>
      <c r="Z12" s="99">
        <f>Əd!Z158</f>
        <v>0</v>
      </c>
      <c r="AA12" s="99">
        <f>Əd!AA158</f>
        <v>0</v>
      </c>
      <c r="AB12" s="99">
        <f>Əd!AB158</f>
        <v>0</v>
      </c>
      <c r="AC12" s="99">
        <f>Əd!AC158</f>
        <v>53.589743589743598</v>
      </c>
      <c r="AD12" s="99">
        <f>Əd!AD158</f>
        <v>0</v>
      </c>
      <c r="AE12" s="99">
        <f>Əd!AE158</f>
        <v>53.589743589743598</v>
      </c>
      <c r="AF12" s="99">
        <f>Əd!AF158</f>
        <v>0</v>
      </c>
      <c r="AG12" s="99" t="str">
        <f>Əd!AG158</f>
        <v>Oğlanlar</v>
      </c>
    </row>
    <row r="13" spans="2:33" x14ac:dyDescent="0.25">
      <c r="B13" s="119"/>
      <c r="C13" s="100"/>
      <c r="D13" s="100"/>
      <c r="E13" s="100" t="s">
        <v>113</v>
      </c>
      <c r="F13" s="100">
        <f>Müəllimlər!O5</f>
        <v>0</v>
      </c>
      <c r="G13" s="100">
        <f>Müəllimlər!P5</f>
        <v>0</v>
      </c>
      <c r="H13" s="100">
        <f>Müəllimlər!Q5</f>
        <v>0</v>
      </c>
      <c r="I13" s="100">
        <f>Müəllimlər!R5</f>
        <v>0</v>
      </c>
      <c r="J13" s="100">
        <f>Müəllimlər!S5</f>
        <v>0</v>
      </c>
      <c r="K13" s="100"/>
      <c r="L13" s="100"/>
      <c r="M13" s="100"/>
      <c r="N13" s="99">
        <f>Əd!N159</f>
        <v>71.142857142857139</v>
      </c>
      <c r="O13" s="99">
        <f>Əd!O159</f>
        <v>0</v>
      </c>
      <c r="P13" s="99">
        <f>Əd!P159</f>
        <v>0</v>
      </c>
      <c r="Q13" s="99">
        <f>Əd!Q159</f>
        <v>0</v>
      </c>
      <c r="R13" s="99">
        <f>Əd!R159</f>
        <v>71.952380952380963</v>
      </c>
      <c r="S13" s="99">
        <f>Əd!S159</f>
        <v>0</v>
      </c>
      <c r="T13" s="99">
        <f>Əd!T159</f>
        <v>71.952380952380963</v>
      </c>
      <c r="U13" s="99">
        <f>Əd!U159</f>
        <v>0</v>
      </c>
      <c r="V13" s="99">
        <f>Əd!V159</f>
        <v>0</v>
      </c>
      <c r="W13" s="99">
        <f>Əd!W159</f>
        <v>0</v>
      </c>
      <c r="X13" s="99">
        <f>Əd!X159</f>
        <v>0</v>
      </c>
      <c r="Y13" s="99">
        <f>Əd!Y159</f>
        <v>0</v>
      </c>
      <c r="Z13" s="99">
        <f>Əd!Z159</f>
        <v>0</v>
      </c>
      <c r="AA13" s="99">
        <f>Əd!AA159</f>
        <v>0</v>
      </c>
      <c r="AB13" s="99">
        <f>Əd!AB159</f>
        <v>0</v>
      </c>
      <c r="AC13" s="99">
        <f>Əd!AC159</f>
        <v>71.952380952380963</v>
      </c>
      <c r="AD13" s="99">
        <f>Əd!AD159</f>
        <v>0</v>
      </c>
      <c r="AE13" s="99">
        <f>Əd!AE159</f>
        <v>71.952380952380963</v>
      </c>
      <c r="AF13" s="99">
        <f>Əd!AF159</f>
        <v>0</v>
      </c>
      <c r="AG13" s="99" t="str">
        <f>Əd!AG159</f>
        <v>Qızlar</v>
      </c>
    </row>
    <row r="14" spans="2:33" x14ac:dyDescent="0.25">
      <c r="B14" s="224"/>
      <c r="C14" s="222"/>
      <c r="D14" s="222"/>
      <c r="E14" s="222" t="s">
        <v>122</v>
      </c>
      <c r="F14" s="222">
        <f>Müəllimlər!T5</f>
        <v>0</v>
      </c>
      <c r="G14" s="222">
        <f>Müəllimlər!U5</f>
        <v>0</v>
      </c>
      <c r="H14" s="222">
        <f>Müəllimlər!V5</f>
        <v>0</v>
      </c>
      <c r="I14" s="222">
        <f>Müəllimlər!W5</f>
        <v>0</v>
      </c>
      <c r="J14" s="222">
        <f>Müəllimlər!X5</f>
        <v>0</v>
      </c>
      <c r="K14" s="222"/>
      <c r="L14" s="222"/>
      <c r="M14" s="222"/>
      <c r="N14" s="99">
        <f>Əd!N160</f>
        <v>20</v>
      </c>
      <c r="O14" s="99" t="str">
        <f>Əd!O160</f>
        <v/>
      </c>
      <c r="P14" s="99" t="str">
        <f>Əd!P160</f>
        <v/>
      </c>
      <c r="Q14" s="99" t="str">
        <f>Əd!Q160</f>
        <v/>
      </c>
      <c r="R14" s="99">
        <f>Əd!R160</f>
        <v>10</v>
      </c>
      <c r="S14" s="99" t="str">
        <f>Əd!S160</f>
        <v/>
      </c>
      <c r="T14" s="99">
        <f>Əd!T160</f>
        <v>10</v>
      </c>
      <c r="U14" s="99" t="str">
        <f>Əd!U160</f>
        <v/>
      </c>
      <c r="V14" s="99" t="str">
        <f>Əd!V160</f>
        <v/>
      </c>
      <c r="W14" s="99" t="str">
        <f>Əd!W160</f>
        <v/>
      </c>
      <c r="X14" s="99" t="str">
        <f>Əd!X160</f>
        <v/>
      </c>
      <c r="Y14" s="99" t="str">
        <f>Əd!Y160</f>
        <v/>
      </c>
      <c r="Z14" s="99" t="str">
        <f>Əd!Z160</f>
        <v/>
      </c>
      <c r="AA14" s="99" t="str">
        <f>Əd!AA160</f>
        <v/>
      </c>
      <c r="AB14" s="99" t="str">
        <f>Əd!AB160</f>
        <v/>
      </c>
      <c r="AC14" s="99">
        <f>Əd!AC160</f>
        <v>10</v>
      </c>
      <c r="AD14" s="99" t="str">
        <f>Əd!AD160</f>
        <v/>
      </c>
      <c r="AE14" s="99">
        <f>Əd!AE160</f>
        <v>10</v>
      </c>
      <c r="AF14" s="99" t="str">
        <f>Əd!AF160</f>
        <v/>
      </c>
      <c r="AG14" s="99" t="str">
        <f>Əd!AG160</f>
        <v>(80-100]</v>
      </c>
    </row>
    <row r="15" spans="2:33" x14ac:dyDescent="0.25">
      <c r="B15" s="224"/>
      <c r="C15" s="222"/>
      <c r="D15" s="222"/>
      <c r="E15" s="222" t="s">
        <v>119</v>
      </c>
      <c r="F15" s="222">
        <f>Müəllimlər!Y5</f>
        <v>0</v>
      </c>
      <c r="G15" s="222">
        <f>Müəllimlər!Z5</f>
        <v>0</v>
      </c>
      <c r="H15" s="222">
        <f>Müəllimlər!AA5</f>
        <v>0</v>
      </c>
      <c r="I15" s="222">
        <f>Müəllimlər!AB5</f>
        <v>0</v>
      </c>
      <c r="J15" s="222">
        <f>Müəllimlər!AC5</f>
        <v>0</v>
      </c>
      <c r="K15" s="222"/>
      <c r="L15" s="222"/>
      <c r="M15" s="222"/>
      <c r="N15" s="99">
        <f>Əd!N161</f>
        <v>25</v>
      </c>
      <c r="O15" s="99" t="str">
        <f>Əd!O161</f>
        <v/>
      </c>
      <c r="P15" s="99" t="str">
        <f>Əd!P161</f>
        <v/>
      </c>
      <c r="Q15" s="99" t="str">
        <f>Əd!Q161</f>
        <v/>
      </c>
      <c r="R15" s="99">
        <f>Əd!R161</f>
        <v>40</v>
      </c>
      <c r="S15" s="99" t="str">
        <f>Əd!S161</f>
        <v/>
      </c>
      <c r="T15" s="99">
        <f>Əd!T161</f>
        <v>40</v>
      </c>
      <c r="U15" s="99" t="str">
        <f>Əd!U161</f>
        <v/>
      </c>
      <c r="V15" s="99" t="str">
        <f>Əd!V161</f>
        <v/>
      </c>
      <c r="W15" s="99" t="str">
        <f>Əd!W161</f>
        <v/>
      </c>
      <c r="X15" s="99" t="str">
        <f>Əd!X161</f>
        <v/>
      </c>
      <c r="Y15" s="99" t="str">
        <f>Əd!Y161</f>
        <v/>
      </c>
      <c r="Z15" s="99" t="str">
        <f>Əd!Z161</f>
        <v/>
      </c>
      <c r="AA15" s="99" t="str">
        <f>Əd!AA161</f>
        <v/>
      </c>
      <c r="AB15" s="99" t="str">
        <f>Əd!AB161</f>
        <v/>
      </c>
      <c r="AC15" s="99">
        <f>Əd!AC161</f>
        <v>40</v>
      </c>
      <c r="AD15" s="99" t="str">
        <f>Əd!AD161</f>
        <v/>
      </c>
      <c r="AE15" s="99">
        <f>Əd!AE161</f>
        <v>40</v>
      </c>
      <c r="AF15" s="99" t="str">
        <f>Əd!AF161</f>
        <v/>
      </c>
      <c r="AG15" s="99" t="str">
        <f>Əd!AG161</f>
        <v>(60-80]</v>
      </c>
    </row>
    <row r="16" spans="2:33" x14ac:dyDescent="0.25">
      <c r="B16" s="119"/>
      <c r="C16" s="100"/>
      <c r="D16" s="100"/>
      <c r="E16" s="100" t="s">
        <v>120</v>
      </c>
      <c r="F16" s="100">
        <f>Müəllimlər!AD5</f>
        <v>0</v>
      </c>
      <c r="G16" s="100">
        <f>Müəllimlər!AE5</f>
        <v>0</v>
      </c>
      <c r="H16" s="100">
        <f>Müəllimlər!AF5</f>
        <v>0</v>
      </c>
      <c r="I16" s="100">
        <f>Müəllimlər!AG5</f>
        <v>0</v>
      </c>
      <c r="J16" s="100">
        <f>Müəllimlər!AH5</f>
        <v>0</v>
      </c>
      <c r="K16" s="100"/>
      <c r="L16" s="100"/>
      <c r="M16" s="100"/>
      <c r="N16" s="99">
        <f>Əd!N162</f>
        <v>55</v>
      </c>
      <c r="O16" s="99" t="str">
        <f>Əd!O162</f>
        <v/>
      </c>
      <c r="P16" s="99" t="str">
        <f>Əd!P162</f>
        <v/>
      </c>
      <c r="Q16" s="99" t="str">
        <f>Əd!Q162</f>
        <v/>
      </c>
      <c r="R16" s="99">
        <f>Əd!R162</f>
        <v>50</v>
      </c>
      <c r="S16" s="99" t="str">
        <f>Əd!S162</f>
        <v/>
      </c>
      <c r="T16" s="99">
        <f>Əd!T162</f>
        <v>50</v>
      </c>
      <c r="U16" s="99" t="str">
        <f>Əd!U162</f>
        <v/>
      </c>
      <c r="V16" s="99" t="str">
        <f>Əd!V162</f>
        <v/>
      </c>
      <c r="W16" s="99" t="str">
        <f>Əd!W162</f>
        <v/>
      </c>
      <c r="X16" s="99" t="str">
        <f>Əd!X162</f>
        <v/>
      </c>
      <c r="Y16" s="99" t="str">
        <f>Əd!Y162</f>
        <v/>
      </c>
      <c r="Z16" s="99" t="str">
        <f>Əd!Z162</f>
        <v/>
      </c>
      <c r="AA16" s="99" t="str">
        <f>Əd!AA162</f>
        <v/>
      </c>
      <c r="AB16" s="99" t="str">
        <f>Əd!AB162</f>
        <v/>
      </c>
      <c r="AC16" s="99">
        <f>Əd!AC162</f>
        <v>50</v>
      </c>
      <c r="AD16" s="99" t="str">
        <f>Əd!AD162</f>
        <v/>
      </c>
      <c r="AE16" s="99">
        <f>Əd!AE162</f>
        <v>50</v>
      </c>
      <c r="AF16" s="99" t="str">
        <f>Əd!AF162</f>
        <v/>
      </c>
      <c r="AG16" s="99" t="str">
        <f>Əd!AG162</f>
        <v>(30-60]</v>
      </c>
    </row>
    <row r="17" spans="2:33" x14ac:dyDescent="0.25">
      <c r="B17" s="119"/>
      <c r="C17" s="100"/>
      <c r="D17" s="100"/>
      <c r="E17" s="223" t="s">
        <v>121</v>
      </c>
      <c r="F17" s="100">
        <f>Müəllimlər!AI5</f>
        <v>0</v>
      </c>
      <c r="G17" s="100">
        <f>Müəllimlər!AJ5</f>
        <v>0</v>
      </c>
      <c r="H17" s="100">
        <f>Müəllimlər!AK5</f>
        <v>0</v>
      </c>
      <c r="I17" s="100">
        <f>Müəllimlər!AL5</f>
        <v>0</v>
      </c>
      <c r="J17" s="100">
        <f>Müəllimlər!AM5</f>
        <v>0</v>
      </c>
      <c r="K17" s="100"/>
      <c r="L17" s="100"/>
      <c r="M17" s="100"/>
      <c r="N17" s="99">
        <f>Əd!N163</f>
        <v>0</v>
      </c>
      <c r="O17" s="99" t="str">
        <f>Əd!O163</f>
        <v/>
      </c>
      <c r="P17" s="99" t="str">
        <f>Əd!P163</f>
        <v/>
      </c>
      <c r="Q17" s="99" t="str">
        <f>Əd!Q163</f>
        <v/>
      </c>
      <c r="R17" s="99">
        <f>Əd!R163</f>
        <v>0</v>
      </c>
      <c r="S17" s="99" t="str">
        <f>Əd!S163</f>
        <v/>
      </c>
      <c r="T17" s="99">
        <f>Əd!T163</f>
        <v>0</v>
      </c>
      <c r="U17" s="99" t="str">
        <f>Əd!U163</f>
        <v/>
      </c>
      <c r="V17" s="99" t="str">
        <f>Əd!V163</f>
        <v/>
      </c>
      <c r="W17" s="99" t="str">
        <f>Əd!W163</f>
        <v/>
      </c>
      <c r="X17" s="99" t="str">
        <f>Əd!X163</f>
        <v/>
      </c>
      <c r="Y17" s="99" t="str">
        <f>Əd!Y163</f>
        <v/>
      </c>
      <c r="Z17" s="99" t="str">
        <f>Əd!Z163</f>
        <v/>
      </c>
      <c r="AA17" s="99" t="str">
        <f>Əd!AA163</f>
        <v/>
      </c>
      <c r="AB17" s="99" t="str">
        <f>Əd!AB163</f>
        <v/>
      </c>
      <c r="AC17" s="99">
        <f>Əd!AC163</f>
        <v>0</v>
      </c>
      <c r="AD17" s="99" t="str">
        <f>Əd!AD163</f>
        <v/>
      </c>
      <c r="AE17" s="99">
        <f>Əd!AE163</f>
        <v>0</v>
      </c>
      <c r="AF17" s="99" t="str">
        <f>Əd!AF163</f>
        <v/>
      </c>
      <c r="AG17" s="99" t="str">
        <f>Əd!AG163</f>
        <v>[0-30]</v>
      </c>
    </row>
    <row r="18" spans="2:33" x14ac:dyDescent="0.25">
      <c r="B18" s="95">
        <f>'Dövlət dili'!B157</f>
        <v>8</v>
      </c>
      <c r="C18" s="95" t="str">
        <f>'Dövlət dili'!C157</f>
        <v>e</v>
      </c>
      <c r="D18" s="95" t="str">
        <f>'Dövlət dili'!D157</f>
        <v>Dövlət dili</v>
      </c>
      <c r="E18" s="95">
        <f>'Dövlət dili'!E157</f>
        <v>0</v>
      </c>
      <c r="F18" s="95">
        <f>'Dövlət dili'!F157</f>
        <v>0</v>
      </c>
      <c r="G18" s="95" t="str">
        <f>'Dövlət dili'!G157</f>
        <v>Azərbaycan</v>
      </c>
      <c r="H18" s="95">
        <f>'Dövlət dili'!H157</f>
        <v>13</v>
      </c>
      <c r="I18" s="95">
        <f>'Dövlət dili'!I157</f>
        <v>7</v>
      </c>
      <c r="J18" s="95">
        <f>'Dövlət dili'!J157</f>
        <v>20</v>
      </c>
      <c r="K18" s="96" t="e">
        <f>'Dövlət dili'!K157</f>
        <v>#DIV/0!</v>
      </c>
      <c r="L18" s="96" t="e">
        <f>'Dövlət dili'!L157</f>
        <v>#DIV/0!</v>
      </c>
      <c r="M18" s="113" t="e">
        <f>'Dövlət dili'!M157</f>
        <v>#DIV/0!</v>
      </c>
      <c r="N18" s="96" t="str">
        <f>'Dövlət dili'!N157</f>
        <v/>
      </c>
      <c r="O18" s="96" t="str">
        <f>'Dövlət dili'!O157</f>
        <v/>
      </c>
      <c r="P18" s="96" t="str">
        <f>'Dövlət dili'!P157</f>
        <v/>
      </c>
      <c r="Q18" s="96" t="str">
        <f>'Dövlət dili'!Q157</f>
        <v/>
      </c>
      <c r="R18" s="96" t="str">
        <f>'Dövlət dili'!R157</f>
        <v/>
      </c>
      <c r="S18" s="96" t="str">
        <f>'Dövlət dili'!S157</f>
        <v/>
      </c>
      <c r="T18" s="96" t="str">
        <f>'Dövlət dili'!T157</f>
        <v/>
      </c>
      <c r="U18" s="96" t="str">
        <f>'Dövlət dili'!U157</f>
        <v/>
      </c>
      <c r="V18" s="96" t="str">
        <f>'Dövlət dili'!V157</f>
        <v/>
      </c>
      <c r="W18" s="96" t="str">
        <f>'Dövlət dili'!W157</f>
        <v/>
      </c>
      <c r="X18" s="96" t="str">
        <f>'Dövlət dili'!X157</f>
        <v/>
      </c>
      <c r="Y18" s="96" t="str">
        <f>'Dövlət dili'!Y157</f>
        <v/>
      </c>
      <c r="Z18" s="96" t="str">
        <f>'Dövlət dili'!Z157</f>
        <v/>
      </c>
      <c r="AA18" s="96" t="str">
        <f>'Dövlət dili'!AA157</f>
        <v/>
      </c>
      <c r="AB18" s="96" t="str">
        <f>'Dövlət dili'!AB157</f>
        <v/>
      </c>
      <c r="AC18" s="96" t="str">
        <f>'Dövlət dili'!AC157</f>
        <v/>
      </c>
      <c r="AD18" s="96" t="str">
        <f>'Dövlət dili'!AD157</f>
        <v/>
      </c>
      <c r="AE18" s="96" t="str">
        <f>'Dövlət dili'!AE157</f>
        <v/>
      </c>
      <c r="AF18" s="96" t="str">
        <f>'Dövlət dili'!AF157</f>
        <v/>
      </c>
      <c r="AG18" s="95" t="str">
        <f>'Dövlət dili'!AG157</f>
        <v>Ümumi</v>
      </c>
    </row>
    <row r="19" spans="2:33" x14ac:dyDescent="0.25">
      <c r="B19" s="120"/>
      <c r="C19" s="97"/>
      <c r="D19" s="97"/>
      <c r="E19" s="97" t="s">
        <v>111</v>
      </c>
      <c r="F19" s="97">
        <f>Müəllimlər!J6</f>
        <v>0</v>
      </c>
      <c r="G19" s="97">
        <f>Müəllimlər!K6</f>
        <v>0</v>
      </c>
      <c r="H19" s="97">
        <f>Müəllimlər!L6</f>
        <v>0</v>
      </c>
      <c r="I19" s="97">
        <f>Müəllimlər!M6</f>
        <v>0</v>
      </c>
      <c r="J19" s="97">
        <f>Müəllimlər!N6</f>
        <v>0</v>
      </c>
      <c r="K19" s="95">
        <f>'Dövlət dili'!K158</f>
        <v>0</v>
      </c>
      <c r="L19" s="95">
        <f>'Dövlət dili'!L158</f>
        <v>0</v>
      </c>
      <c r="M19" s="109">
        <f>'Dövlət dili'!M158</f>
        <v>0</v>
      </c>
      <c r="N19" s="96">
        <f>'Dövlət dili'!N158</f>
        <v>0</v>
      </c>
      <c r="O19" s="96">
        <f>'Dövlət dili'!O158</f>
        <v>0</v>
      </c>
      <c r="P19" s="96">
        <f>'Dövlət dili'!P158</f>
        <v>0</v>
      </c>
      <c r="Q19" s="96">
        <f>'Dövlət dili'!Q158</f>
        <v>0</v>
      </c>
      <c r="R19" s="96">
        <f>'Dövlət dili'!R158</f>
        <v>0</v>
      </c>
      <c r="S19" s="96">
        <f>'Dövlət dili'!S158</f>
        <v>0</v>
      </c>
      <c r="T19" s="96">
        <f>'Dövlət dili'!T158</f>
        <v>0</v>
      </c>
      <c r="U19" s="96">
        <f>'Dövlət dili'!U158</f>
        <v>0</v>
      </c>
      <c r="V19" s="96">
        <f>'Dövlət dili'!V158</f>
        <v>0</v>
      </c>
      <c r="W19" s="96">
        <f>'Dövlət dili'!W158</f>
        <v>0</v>
      </c>
      <c r="X19" s="96">
        <f>'Dövlət dili'!X158</f>
        <v>0</v>
      </c>
      <c r="Y19" s="96">
        <f>'Dövlət dili'!Y158</f>
        <v>0</v>
      </c>
      <c r="Z19" s="96">
        <f>'Dövlət dili'!Z158</f>
        <v>0</v>
      </c>
      <c r="AA19" s="96">
        <f>'Dövlət dili'!AA158</f>
        <v>0</v>
      </c>
      <c r="AB19" s="96">
        <f>'Dövlət dili'!AB158</f>
        <v>0</v>
      </c>
      <c r="AC19" s="96">
        <f>'Dövlət dili'!AC158</f>
        <v>0</v>
      </c>
      <c r="AD19" s="96">
        <f>'Dövlət dili'!AD158</f>
        <v>0</v>
      </c>
      <c r="AE19" s="96">
        <f>'Dövlət dili'!AE158</f>
        <v>0</v>
      </c>
      <c r="AF19" s="96">
        <f>'Dövlət dili'!AF158</f>
        <v>0</v>
      </c>
      <c r="AG19" s="95" t="str">
        <f>'Dövlət dili'!AG158</f>
        <v>Oğlanlar</v>
      </c>
    </row>
    <row r="20" spans="2:33" x14ac:dyDescent="0.25">
      <c r="B20" s="120"/>
      <c r="C20" s="97"/>
      <c r="D20" s="97"/>
      <c r="E20" s="97" t="s">
        <v>113</v>
      </c>
      <c r="F20" s="97">
        <f>Müəllimlər!O6</f>
        <v>0</v>
      </c>
      <c r="G20" s="97">
        <f>Müəllimlər!P6</f>
        <v>0</v>
      </c>
      <c r="H20" s="97">
        <f>Müəllimlər!Q6</f>
        <v>0</v>
      </c>
      <c r="I20" s="97">
        <f>Müəllimlər!R6</f>
        <v>0</v>
      </c>
      <c r="J20" s="97">
        <f>Müəllimlər!S6</f>
        <v>0</v>
      </c>
      <c r="K20" s="97"/>
      <c r="L20" s="97"/>
      <c r="M20" s="97"/>
      <c r="N20" s="96">
        <f>'Dövlət dili'!N159</f>
        <v>0</v>
      </c>
      <c r="O20" s="96">
        <f>'Dövlət dili'!O159</f>
        <v>0</v>
      </c>
      <c r="P20" s="96">
        <f>'Dövlət dili'!P159</f>
        <v>0</v>
      </c>
      <c r="Q20" s="96">
        <f>'Dövlət dili'!Q159</f>
        <v>0</v>
      </c>
      <c r="R20" s="96">
        <f>'Dövlət dili'!R159</f>
        <v>0</v>
      </c>
      <c r="S20" s="96">
        <f>'Dövlət dili'!S159</f>
        <v>0</v>
      </c>
      <c r="T20" s="96">
        <f>'Dövlət dili'!T159</f>
        <v>0</v>
      </c>
      <c r="U20" s="96">
        <f>'Dövlət dili'!U159</f>
        <v>0</v>
      </c>
      <c r="V20" s="96">
        <f>'Dövlət dili'!V159</f>
        <v>0</v>
      </c>
      <c r="W20" s="96">
        <f>'Dövlət dili'!W159</f>
        <v>0</v>
      </c>
      <c r="X20" s="96">
        <f>'Dövlət dili'!X159</f>
        <v>0</v>
      </c>
      <c r="Y20" s="96">
        <f>'Dövlət dili'!Y159</f>
        <v>0</v>
      </c>
      <c r="Z20" s="96">
        <f>'Dövlət dili'!Z159</f>
        <v>0</v>
      </c>
      <c r="AA20" s="96">
        <f>'Dövlət dili'!AA159</f>
        <v>0</v>
      </c>
      <c r="AB20" s="96">
        <f>'Dövlət dili'!AB159</f>
        <v>0</v>
      </c>
      <c r="AC20" s="96">
        <f>'Dövlət dili'!AC159</f>
        <v>0</v>
      </c>
      <c r="AD20" s="96">
        <f>'Dövlət dili'!AD159</f>
        <v>0</v>
      </c>
      <c r="AE20" s="96">
        <f>'Dövlət dili'!AE159</f>
        <v>0</v>
      </c>
      <c r="AF20" s="96">
        <f>'Dövlət dili'!AF159</f>
        <v>0</v>
      </c>
      <c r="AG20" s="95" t="str">
        <f>'Dövlət dili'!AG159</f>
        <v>Qızlar</v>
      </c>
    </row>
    <row r="21" spans="2:33" x14ac:dyDescent="0.25">
      <c r="B21" s="117"/>
      <c r="C21" s="106"/>
      <c r="D21" s="106"/>
      <c r="E21" s="106" t="s">
        <v>122</v>
      </c>
      <c r="F21" s="106">
        <f>Müəllimlər!T6</f>
        <v>0</v>
      </c>
      <c r="G21" s="106">
        <f>Müəllimlər!U6</f>
        <v>0</v>
      </c>
      <c r="H21" s="106">
        <f>Müəllimlər!V6</f>
        <v>0</v>
      </c>
      <c r="I21" s="106">
        <f>Müəllimlər!W6</f>
        <v>0</v>
      </c>
      <c r="J21" s="106">
        <f>Müəllimlər!X6</f>
        <v>0</v>
      </c>
      <c r="K21" s="106"/>
      <c r="L21" s="106"/>
      <c r="M21" s="106"/>
      <c r="N21" s="96" t="str">
        <f>'Dövlət dili'!N160</f>
        <v/>
      </c>
      <c r="O21" s="96" t="str">
        <f>'Dövlət dili'!O160</f>
        <v/>
      </c>
      <c r="P21" s="96" t="str">
        <f>'Dövlət dili'!P160</f>
        <v/>
      </c>
      <c r="Q21" s="96" t="str">
        <f>'Dövlət dili'!Q160</f>
        <v/>
      </c>
      <c r="R21" s="96" t="str">
        <f>'Dövlət dili'!R160</f>
        <v/>
      </c>
      <c r="S21" s="96" t="str">
        <f>'Dövlət dili'!S160</f>
        <v/>
      </c>
      <c r="T21" s="96" t="str">
        <f>'Dövlət dili'!T160</f>
        <v/>
      </c>
      <c r="U21" s="96" t="str">
        <f>'Dövlət dili'!U160</f>
        <v/>
      </c>
      <c r="V21" s="96" t="str">
        <f>'Dövlət dili'!V160</f>
        <v/>
      </c>
      <c r="W21" s="96" t="str">
        <f>'Dövlət dili'!W160</f>
        <v/>
      </c>
      <c r="X21" s="96" t="str">
        <f>'Dövlət dili'!X160</f>
        <v/>
      </c>
      <c r="Y21" s="96" t="str">
        <f>'Dövlət dili'!Y160</f>
        <v/>
      </c>
      <c r="Z21" s="96" t="str">
        <f>'Dövlət dili'!Z160</f>
        <v/>
      </c>
      <c r="AA21" s="96" t="str">
        <f>'Dövlət dili'!AA160</f>
        <v/>
      </c>
      <c r="AB21" s="96" t="str">
        <f>'Dövlət dili'!AB160</f>
        <v/>
      </c>
      <c r="AC21" s="96" t="str">
        <f>'Dövlət dili'!AC160</f>
        <v/>
      </c>
      <c r="AD21" s="96" t="str">
        <f>'Dövlət dili'!AD160</f>
        <v/>
      </c>
      <c r="AE21" s="96" t="str">
        <f>'Dövlət dili'!AE160</f>
        <v/>
      </c>
      <c r="AF21" s="96" t="str">
        <f>'Dövlət dili'!AF160</f>
        <v/>
      </c>
      <c r="AG21" s="95" t="str">
        <f>'Dövlət dili'!AG160</f>
        <v>(80-100]</v>
      </c>
    </row>
    <row r="22" spans="2:33" x14ac:dyDescent="0.25">
      <c r="B22" s="117"/>
      <c r="C22" s="106"/>
      <c r="D22" s="106"/>
      <c r="E22" s="106" t="s">
        <v>119</v>
      </c>
      <c r="F22" s="106">
        <f>Müəllimlər!Y6</f>
        <v>0</v>
      </c>
      <c r="G22" s="106">
        <f>Müəllimlər!Z6</f>
        <v>0</v>
      </c>
      <c r="H22" s="106">
        <f>Müəllimlər!AA6</f>
        <v>0</v>
      </c>
      <c r="I22" s="106">
        <f>Müəllimlər!AB6</f>
        <v>0</v>
      </c>
      <c r="J22" s="106">
        <f>Müəllimlər!AC6</f>
        <v>0</v>
      </c>
      <c r="K22" s="106"/>
      <c r="L22" s="106"/>
      <c r="M22" s="106"/>
      <c r="N22" s="96" t="str">
        <f>'Dövlət dili'!N161</f>
        <v/>
      </c>
      <c r="O22" s="96" t="str">
        <f>'Dövlət dili'!O161</f>
        <v/>
      </c>
      <c r="P22" s="96" t="str">
        <f>'Dövlət dili'!P161</f>
        <v/>
      </c>
      <c r="Q22" s="96" t="str">
        <f>'Dövlət dili'!Q161</f>
        <v/>
      </c>
      <c r="R22" s="96" t="str">
        <f>'Dövlət dili'!R161</f>
        <v/>
      </c>
      <c r="S22" s="96" t="str">
        <f>'Dövlət dili'!S161</f>
        <v/>
      </c>
      <c r="T22" s="96" t="str">
        <f>'Dövlət dili'!T161</f>
        <v/>
      </c>
      <c r="U22" s="96" t="str">
        <f>'Dövlət dili'!U161</f>
        <v/>
      </c>
      <c r="V22" s="96" t="str">
        <f>'Dövlət dili'!V161</f>
        <v/>
      </c>
      <c r="W22" s="96" t="str">
        <f>'Dövlət dili'!W161</f>
        <v/>
      </c>
      <c r="X22" s="96" t="str">
        <f>'Dövlət dili'!X161</f>
        <v/>
      </c>
      <c r="Y22" s="96" t="str">
        <f>'Dövlət dili'!Y161</f>
        <v/>
      </c>
      <c r="Z22" s="96" t="str">
        <f>'Dövlət dili'!Z161</f>
        <v/>
      </c>
      <c r="AA22" s="96" t="str">
        <f>'Dövlət dili'!AA161</f>
        <v/>
      </c>
      <c r="AB22" s="96" t="str">
        <f>'Dövlət dili'!AB161</f>
        <v/>
      </c>
      <c r="AC22" s="96" t="str">
        <f>'Dövlət dili'!AC161</f>
        <v/>
      </c>
      <c r="AD22" s="96" t="str">
        <f>'Dövlət dili'!AD161</f>
        <v/>
      </c>
      <c r="AE22" s="96" t="str">
        <f>'Dövlət dili'!AE161</f>
        <v/>
      </c>
      <c r="AF22" s="96" t="str">
        <f>'Dövlət dili'!AF161</f>
        <v/>
      </c>
      <c r="AG22" s="95" t="str">
        <f>'Dövlət dili'!AG161</f>
        <v>(60-80]</v>
      </c>
    </row>
    <row r="23" spans="2:33" x14ac:dyDescent="0.25">
      <c r="B23" s="120"/>
      <c r="C23" s="97"/>
      <c r="D23" s="97"/>
      <c r="E23" s="97" t="s">
        <v>120</v>
      </c>
      <c r="F23" s="97">
        <f>Müəllimlər!AD6</f>
        <v>0</v>
      </c>
      <c r="G23" s="97">
        <f>Müəllimlər!AE6</f>
        <v>0</v>
      </c>
      <c r="H23" s="97">
        <f>Müəllimlər!AF6</f>
        <v>0</v>
      </c>
      <c r="I23" s="97">
        <f>Müəllimlər!AG6</f>
        <v>0</v>
      </c>
      <c r="J23" s="97">
        <f>Müəllimlər!AH6</f>
        <v>0</v>
      </c>
      <c r="K23" s="97"/>
      <c r="L23" s="97"/>
      <c r="M23" s="97"/>
      <c r="N23" s="96" t="str">
        <f>'Dövlət dili'!N162</f>
        <v/>
      </c>
      <c r="O23" s="96" t="str">
        <f>'Dövlət dili'!O162</f>
        <v/>
      </c>
      <c r="P23" s="96" t="str">
        <f>'Dövlət dili'!P162</f>
        <v/>
      </c>
      <c r="Q23" s="96" t="str">
        <f>'Dövlət dili'!Q162</f>
        <v/>
      </c>
      <c r="R23" s="96" t="str">
        <f>'Dövlət dili'!R162</f>
        <v/>
      </c>
      <c r="S23" s="96" t="str">
        <f>'Dövlət dili'!S162</f>
        <v/>
      </c>
      <c r="T23" s="96" t="str">
        <f>'Dövlət dili'!T162</f>
        <v/>
      </c>
      <c r="U23" s="96" t="str">
        <f>'Dövlət dili'!U162</f>
        <v/>
      </c>
      <c r="V23" s="96" t="str">
        <f>'Dövlət dili'!V162</f>
        <v/>
      </c>
      <c r="W23" s="96" t="str">
        <f>'Dövlət dili'!W162</f>
        <v/>
      </c>
      <c r="X23" s="96" t="str">
        <f>'Dövlət dili'!X162</f>
        <v/>
      </c>
      <c r="Y23" s="96" t="str">
        <f>'Dövlət dili'!Y162</f>
        <v/>
      </c>
      <c r="Z23" s="96" t="str">
        <f>'Dövlət dili'!Z162</f>
        <v/>
      </c>
      <c r="AA23" s="96" t="str">
        <f>'Dövlət dili'!AA162</f>
        <v/>
      </c>
      <c r="AB23" s="96" t="str">
        <f>'Dövlət dili'!AB162</f>
        <v/>
      </c>
      <c r="AC23" s="96" t="str">
        <f>'Dövlət dili'!AC162</f>
        <v/>
      </c>
      <c r="AD23" s="96" t="str">
        <f>'Dövlət dili'!AD162</f>
        <v/>
      </c>
      <c r="AE23" s="96" t="str">
        <f>'Dövlət dili'!AE162</f>
        <v/>
      </c>
      <c r="AF23" s="96" t="str">
        <f>'Dövlət dili'!AF162</f>
        <v/>
      </c>
      <c r="AG23" s="95" t="str">
        <f>'Dövlət dili'!AG162</f>
        <v>(30-60]</v>
      </c>
    </row>
    <row r="24" spans="2:33" x14ac:dyDescent="0.25">
      <c r="B24" s="120"/>
      <c r="C24" s="97"/>
      <c r="D24" s="97"/>
      <c r="E24" s="229" t="s">
        <v>121</v>
      </c>
      <c r="F24" s="97">
        <f>Müəllimlər!AI6</f>
        <v>0</v>
      </c>
      <c r="G24" s="97">
        <f>Müəllimlər!AJ6</f>
        <v>0</v>
      </c>
      <c r="H24" s="97">
        <f>Müəllimlər!AK6</f>
        <v>0</v>
      </c>
      <c r="I24" s="97">
        <f>Müəllimlər!AL6</f>
        <v>0</v>
      </c>
      <c r="J24" s="97">
        <f>Müəllimlər!AM6</f>
        <v>0</v>
      </c>
      <c r="K24" s="97"/>
      <c r="L24" s="97"/>
      <c r="M24" s="97"/>
      <c r="N24" s="96" t="str">
        <f>'Dövlət dili'!N163</f>
        <v/>
      </c>
      <c r="O24" s="110" t="str">
        <f>'Dövlət dili'!O163</f>
        <v/>
      </c>
      <c r="P24" s="110" t="str">
        <f>'Dövlət dili'!P163</f>
        <v/>
      </c>
      <c r="Q24" s="110" t="str">
        <f>'Dövlət dili'!Q163</f>
        <v/>
      </c>
      <c r="R24" s="110" t="str">
        <f>'Dövlət dili'!R163</f>
        <v/>
      </c>
      <c r="S24" s="110" t="str">
        <f>'Dövlət dili'!S163</f>
        <v/>
      </c>
      <c r="T24" s="110" t="str">
        <f>'Dövlət dili'!T163</f>
        <v/>
      </c>
      <c r="U24" s="110" t="str">
        <f>'Dövlət dili'!U163</f>
        <v/>
      </c>
      <c r="V24" s="110" t="str">
        <f>'Dövlət dili'!V163</f>
        <v/>
      </c>
      <c r="W24" s="110" t="str">
        <f>'Dövlət dili'!W163</f>
        <v/>
      </c>
      <c r="X24" s="110" t="str">
        <f>'Dövlət dili'!X163</f>
        <v/>
      </c>
      <c r="Y24" s="110" t="str">
        <f>'Dövlət dili'!Y163</f>
        <v/>
      </c>
      <c r="Z24" s="110" t="str">
        <f>'Dövlət dili'!Z163</f>
        <v/>
      </c>
      <c r="AA24" s="110" t="str">
        <f>'Dövlət dili'!AA163</f>
        <v/>
      </c>
      <c r="AB24" s="110" t="str">
        <f>'Dövlət dili'!AB163</f>
        <v/>
      </c>
      <c r="AC24" s="110" t="str">
        <f>'Dövlət dili'!AC163</f>
        <v/>
      </c>
      <c r="AD24" s="110" t="str">
        <f>'Dövlət dili'!AD163</f>
        <v/>
      </c>
      <c r="AE24" s="110" t="str">
        <f>'Dövlət dili'!AE163</f>
        <v/>
      </c>
      <c r="AF24" s="110" t="str">
        <f>'Dövlət dili'!AF163</f>
        <v/>
      </c>
      <c r="AG24" s="111" t="str">
        <f>'Dövlət dili'!AG163</f>
        <v>[0-30]</v>
      </c>
    </row>
    <row r="25" spans="2:33" x14ac:dyDescent="0.25">
      <c r="B25" s="98">
        <f>'X-d'!B157</f>
        <v>8</v>
      </c>
      <c r="C25" s="98" t="str">
        <f>'X-d'!C157</f>
        <v>e</v>
      </c>
      <c r="D25" s="98" t="str">
        <f>'X-d'!D157</f>
        <v>Xarici dil</v>
      </c>
      <c r="E25" s="98" t="str">
        <f>'X-d'!E157</f>
        <v>Abbasova Maral Nadir, Əbülfətova Vəfa Nəriman</v>
      </c>
      <c r="F25" s="98">
        <f>'X-d'!F157</f>
        <v>102</v>
      </c>
      <c r="G25" s="98" t="str">
        <f>'X-d'!G157</f>
        <v>Azərbaycan</v>
      </c>
      <c r="H25" s="98">
        <f>'X-d'!H157</f>
        <v>13</v>
      </c>
      <c r="I25" s="98">
        <f>'X-d'!I157</f>
        <v>7</v>
      </c>
      <c r="J25" s="98">
        <f>'X-d'!J157</f>
        <v>20</v>
      </c>
      <c r="K25" s="99">
        <f>'X-d'!K157</f>
        <v>0.37707390648567118</v>
      </c>
      <c r="L25" s="99">
        <f>'X-d'!L157</f>
        <v>0.42016806722689076</v>
      </c>
      <c r="M25" s="219">
        <f>'X-d'!M157</f>
        <v>0.39215686274509803</v>
      </c>
      <c r="N25" s="99">
        <f>'X-d'!N157</f>
        <v>56.85</v>
      </c>
      <c r="O25" s="99" t="str">
        <f>'X-d'!O157</f>
        <v/>
      </c>
      <c r="P25" s="99" t="str">
        <f>'X-d'!P157</f>
        <v/>
      </c>
      <c r="Q25" s="99" t="str">
        <f>'X-d'!Q157</f>
        <v/>
      </c>
      <c r="R25" s="99">
        <f>'X-d'!R157</f>
        <v>47.649999999999991</v>
      </c>
      <c r="S25" s="99">
        <f>'X-d'!S157</f>
        <v>56.95</v>
      </c>
      <c r="T25" s="99">
        <f>'X-d'!T157</f>
        <v>53.230000000000004</v>
      </c>
      <c r="U25" s="99" t="str">
        <f>'X-d'!U157</f>
        <v/>
      </c>
      <c r="V25" s="99" t="str">
        <f>'X-d'!V157</f>
        <v/>
      </c>
      <c r="W25" s="99" t="str">
        <f>'X-d'!W157</f>
        <v/>
      </c>
      <c r="X25" s="99" t="str">
        <f>'X-d'!X157</f>
        <v/>
      </c>
      <c r="Y25" s="99" t="str">
        <f>'X-d'!Y157</f>
        <v/>
      </c>
      <c r="Z25" s="99" t="str">
        <f>'X-d'!Z157</f>
        <v/>
      </c>
      <c r="AA25" s="99" t="str">
        <f>'X-d'!AA157</f>
        <v/>
      </c>
      <c r="AB25" s="99" t="str">
        <f>'X-d'!AB157</f>
        <v/>
      </c>
      <c r="AC25" s="99">
        <f>'X-d'!AC157</f>
        <v>47.649999999999991</v>
      </c>
      <c r="AD25" s="99">
        <f>'X-d'!AD157</f>
        <v>56.95</v>
      </c>
      <c r="AE25" s="99">
        <f>'X-d'!AE157</f>
        <v>53.230000000000004</v>
      </c>
      <c r="AF25" s="99" t="str">
        <f>'X-d'!AF157</f>
        <v/>
      </c>
      <c r="AG25" s="98" t="str">
        <f>'X-d'!AG157</f>
        <v>Ümumi</v>
      </c>
    </row>
    <row r="26" spans="2:33" x14ac:dyDescent="0.25">
      <c r="B26" s="119"/>
      <c r="C26" s="100"/>
      <c r="D26" s="100"/>
      <c r="E26" s="100" t="s">
        <v>111</v>
      </c>
      <c r="F26" s="100">
        <f>Müəllimlər!J7</f>
        <v>0</v>
      </c>
      <c r="G26" s="100">
        <f>Müəllimlər!K7</f>
        <v>0</v>
      </c>
      <c r="H26" s="100">
        <f>Müəllimlər!L7</f>
        <v>0</v>
      </c>
      <c r="I26" s="100">
        <f>Müəllimlər!M7</f>
        <v>0</v>
      </c>
      <c r="J26" s="100">
        <f>Müəllimlər!N7</f>
        <v>0</v>
      </c>
      <c r="K26" s="98">
        <f>'X-d'!K158</f>
        <v>5</v>
      </c>
      <c r="L26" s="98">
        <f>'X-d'!L158</f>
        <v>3</v>
      </c>
      <c r="M26" s="112">
        <f>'X-d'!M158</f>
        <v>8</v>
      </c>
      <c r="N26" s="99">
        <f>'X-d'!N158</f>
        <v>53.153846153846153</v>
      </c>
      <c r="O26" s="99">
        <f>'X-d'!O158</f>
        <v>0</v>
      </c>
      <c r="P26" s="99">
        <f>'X-d'!P158</f>
        <v>0</v>
      </c>
      <c r="Q26" s="99">
        <f>'X-d'!Q158</f>
        <v>0</v>
      </c>
      <c r="R26" s="99">
        <f>'X-d'!R158</f>
        <v>44.512820512820511</v>
      </c>
      <c r="S26" s="99">
        <f>'X-d'!S158</f>
        <v>47.230769230769234</v>
      </c>
      <c r="T26" s="99">
        <f>'X-d'!T158</f>
        <v>46.14358974358975</v>
      </c>
      <c r="U26" s="99">
        <f>'X-d'!U158</f>
        <v>0</v>
      </c>
      <c r="V26" s="99">
        <f>'X-d'!V158</f>
        <v>0</v>
      </c>
      <c r="W26" s="99">
        <f>'X-d'!W158</f>
        <v>0</v>
      </c>
      <c r="X26" s="99">
        <f>'X-d'!X158</f>
        <v>0</v>
      </c>
      <c r="Y26" s="99">
        <f>'X-d'!Y158</f>
        <v>0</v>
      </c>
      <c r="Z26" s="99">
        <f>'X-d'!Z158</f>
        <v>0</v>
      </c>
      <c r="AA26" s="99">
        <f>'X-d'!AA158</f>
        <v>0</v>
      </c>
      <c r="AB26" s="99">
        <f>'X-d'!AB158</f>
        <v>0</v>
      </c>
      <c r="AC26" s="99">
        <f>'X-d'!AC158</f>
        <v>44.512820512820511</v>
      </c>
      <c r="AD26" s="99">
        <f>'X-d'!AD158</f>
        <v>47.230769230769234</v>
      </c>
      <c r="AE26" s="99">
        <f>'X-d'!AE158</f>
        <v>46.14358974358975</v>
      </c>
      <c r="AF26" s="99">
        <f>'X-d'!AF158</f>
        <v>0</v>
      </c>
      <c r="AG26" s="98" t="str">
        <f>'X-d'!AG158</f>
        <v>Oğlanlar</v>
      </c>
    </row>
    <row r="27" spans="2:33" x14ac:dyDescent="0.25">
      <c r="B27" s="119"/>
      <c r="C27" s="100"/>
      <c r="D27" s="100"/>
      <c r="E27" s="100" t="s">
        <v>113</v>
      </c>
      <c r="F27" s="100">
        <f>Müəllimlər!O7</f>
        <v>0</v>
      </c>
      <c r="G27" s="100">
        <f>Müəllimlər!P7</f>
        <v>0</v>
      </c>
      <c r="H27" s="100">
        <f>Müəllimlər!Q7</f>
        <v>0</v>
      </c>
      <c r="I27" s="100">
        <f>Müəllimlər!R7</f>
        <v>0</v>
      </c>
      <c r="J27" s="100">
        <f>Müəllimlər!S7</f>
        <v>0</v>
      </c>
      <c r="K27" s="100"/>
      <c r="L27" s="100"/>
      <c r="M27" s="100"/>
      <c r="N27" s="99">
        <f>'X-d'!N159</f>
        <v>63.714285714285715</v>
      </c>
      <c r="O27" s="99">
        <f>'X-d'!O159</f>
        <v>0</v>
      </c>
      <c r="P27" s="99">
        <f>'X-d'!P159</f>
        <v>0</v>
      </c>
      <c r="Q27" s="99">
        <f>'X-d'!Q159</f>
        <v>0</v>
      </c>
      <c r="R27" s="99">
        <f>'X-d'!R159</f>
        <v>53.476190476190482</v>
      </c>
      <c r="S27" s="99">
        <f>'X-d'!S159</f>
        <v>75</v>
      </c>
      <c r="T27" s="99">
        <f>'X-d'!T159</f>
        <v>66.390476190476193</v>
      </c>
      <c r="U27" s="99">
        <f>'X-d'!U159</f>
        <v>0</v>
      </c>
      <c r="V27" s="99">
        <f>'X-d'!V159</f>
        <v>0</v>
      </c>
      <c r="W27" s="99">
        <f>'X-d'!W159</f>
        <v>0</v>
      </c>
      <c r="X27" s="99">
        <f>'X-d'!X159</f>
        <v>0</v>
      </c>
      <c r="Y27" s="99">
        <f>'X-d'!Y159</f>
        <v>0</v>
      </c>
      <c r="Z27" s="99">
        <f>'X-d'!Z159</f>
        <v>0</v>
      </c>
      <c r="AA27" s="99">
        <f>'X-d'!AA159</f>
        <v>0</v>
      </c>
      <c r="AB27" s="99">
        <f>'X-d'!AB159</f>
        <v>0</v>
      </c>
      <c r="AC27" s="99">
        <f>'X-d'!AC159</f>
        <v>53.476190476190482</v>
      </c>
      <c r="AD27" s="99">
        <f>'X-d'!AD159</f>
        <v>75</v>
      </c>
      <c r="AE27" s="99">
        <f>'X-d'!AE159</f>
        <v>66.390476190476193</v>
      </c>
      <c r="AF27" s="99">
        <f>'X-d'!AF159</f>
        <v>0</v>
      </c>
      <c r="AG27" s="98" t="str">
        <f>'X-d'!AG159</f>
        <v>Qızlar</v>
      </c>
    </row>
    <row r="28" spans="2:33" x14ac:dyDescent="0.25">
      <c r="B28" s="224"/>
      <c r="C28" s="222"/>
      <c r="D28" s="222"/>
      <c r="E28" s="222" t="s">
        <v>122</v>
      </c>
      <c r="F28" s="222">
        <f>Müəllimlər!T7</f>
        <v>0</v>
      </c>
      <c r="G28" s="222">
        <f>Müəllimlər!U7</f>
        <v>0</v>
      </c>
      <c r="H28" s="222">
        <f>Müəllimlər!V7</f>
        <v>0</v>
      </c>
      <c r="I28" s="222">
        <f>Müəllimlər!W7</f>
        <v>0</v>
      </c>
      <c r="J28" s="222">
        <f>Müəllimlər!X7</f>
        <v>0</v>
      </c>
      <c r="K28" s="222"/>
      <c r="L28" s="222"/>
      <c r="M28" s="222"/>
      <c r="N28" s="99">
        <f>'X-d'!N160</f>
        <v>10</v>
      </c>
      <c r="O28" s="99" t="str">
        <f>'X-d'!O160</f>
        <v/>
      </c>
      <c r="P28" s="99" t="str">
        <f>'X-d'!P160</f>
        <v/>
      </c>
      <c r="Q28" s="99" t="str">
        <f>'X-d'!Q160</f>
        <v/>
      </c>
      <c r="R28" s="99">
        <f>'X-d'!R160</f>
        <v>0</v>
      </c>
      <c r="S28" s="99">
        <f>'X-d'!S160</f>
        <v>15</v>
      </c>
      <c r="T28" s="99">
        <f>'X-d'!T160</f>
        <v>5</v>
      </c>
      <c r="U28" s="99" t="str">
        <f>'X-d'!U160</f>
        <v/>
      </c>
      <c r="V28" s="99" t="str">
        <f>'X-d'!V160</f>
        <v/>
      </c>
      <c r="W28" s="99" t="str">
        <f>'X-d'!W160</f>
        <v/>
      </c>
      <c r="X28" s="99" t="str">
        <f>'X-d'!X160</f>
        <v/>
      </c>
      <c r="Y28" s="99" t="str">
        <f>'X-d'!Y160</f>
        <v/>
      </c>
      <c r="Z28" s="99" t="str">
        <f>'X-d'!Z160</f>
        <v/>
      </c>
      <c r="AA28" s="99" t="str">
        <f>'X-d'!AA160</f>
        <v/>
      </c>
      <c r="AB28" s="99" t="str">
        <f>'X-d'!AB160</f>
        <v/>
      </c>
      <c r="AC28" s="99">
        <f>'X-d'!AC160</f>
        <v>0</v>
      </c>
      <c r="AD28" s="99">
        <f>'X-d'!AD160</f>
        <v>15</v>
      </c>
      <c r="AE28" s="99">
        <f>'X-d'!AE160</f>
        <v>5</v>
      </c>
      <c r="AF28" s="99" t="str">
        <f>'X-d'!AF160</f>
        <v/>
      </c>
      <c r="AG28" s="98" t="str">
        <f>'X-d'!AG160</f>
        <v>(80-100]</v>
      </c>
    </row>
    <row r="29" spans="2:33" x14ac:dyDescent="0.25">
      <c r="B29" s="224"/>
      <c r="C29" s="222"/>
      <c r="D29" s="222"/>
      <c r="E29" s="222" t="s">
        <v>119</v>
      </c>
      <c r="F29" s="222">
        <f>Müəllimlər!Y7</f>
        <v>0</v>
      </c>
      <c r="G29" s="222">
        <f>Müəllimlər!Z7</f>
        <v>0</v>
      </c>
      <c r="H29" s="222">
        <f>Müəllimlər!AA7</f>
        <v>0</v>
      </c>
      <c r="I29" s="222">
        <f>Müəllimlər!AB7</f>
        <v>0</v>
      </c>
      <c r="J29" s="222">
        <f>Müəllimlər!AC7</f>
        <v>0</v>
      </c>
      <c r="K29" s="222"/>
      <c r="L29" s="222"/>
      <c r="M29" s="222"/>
      <c r="N29" s="99">
        <f>'X-d'!N161</f>
        <v>25</v>
      </c>
      <c r="O29" s="99" t="str">
        <f>'X-d'!O161</f>
        <v/>
      </c>
      <c r="P29" s="99" t="str">
        <f>'X-d'!P161</f>
        <v/>
      </c>
      <c r="Q29" s="99" t="str">
        <f>'X-d'!Q161</f>
        <v/>
      </c>
      <c r="R29" s="99">
        <f>'X-d'!R161</f>
        <v>20</v>
      </c>
      <c r="S29" s="99">
        <f>'X-d'!S161</f>
        <v>25</v>
      </c>
      <c r="T29" s="99">
        <f>'X-d'!T161</f>
        <v>30</v>
      </c>
      <c r="U29" s="99" t="str">
        <f>'X-d'!U161</f>
        <v/>
      </c>
      <c r="V29" s="99" t="str">
        <f>'X-d'!V161</f>
        <v/>
      </c>
      <c r="W29" s="99" t="str">
        <f>'X-d'!W161</f>
        <v/>
      </c>
      <c r="X29" s="99" t="str">
        <f>'X-d'!X161</f>
        <v/>
      </c>
      <c r="Y29" s="99" t="str">
        <f>'X-d'!Y161</f>
        <v/>
      </c>
      <c r="Z29" s="99" t="str">
        <f>'X-d'!Z161</f>
        <v/>
      </c>
      <c r="AA29" s="99" t="str">
        <f>'X-d'!AA161</f>
        <v/>
      </c>
      <c r="AB29" s="99" t="str">
        <f>'X-d'!AB161</f>
        <v/>
      </c>
      <c r="AC29" s="99">
        <f>'X-d'!AC161</f>
        <v>20</v>
      </c>
      <c r="AD29" s="99">
        <f>'X-d'!AD161</f>
        <v>25</v>
      </c>
      <c r="AE29" s="99">
        <f>'X-d'!AE161</f>
        <v>30</v>
      </c>
      <c r="AF29" s="99" t="str">
        <f>'X-d'!AF161</f>
        <v/>
      </c>
      <c r="AG29" s="98" t="str">
        <f>'X-d'!AG161</f>
        <v>(60-80]</v>
      </c>
    </row>
    <row r="30" spans="2:33" x14ac:dyDescent="0.25">
      <c r="B30" s="119"/>
      <c r="C30" s="100"/>
      <c r="D30" s="100"/>
      <c r="E30" s="100" t="s">
        <v>120</v>
      </c>
      <c r="F30" s="100">
        <f>Müəllimlər!AD7</f>
        <v>0</v>
      </c>
      <c r="G30" s="100">
        <f>Müəllimlər!AE7</f>
        <v>0</v>
      </c>
      <c r="H30" s="100">
        <f>Müəllimlər!AF7</f>
        <v>0</v>
      </c>
      <c r="I30" s="100">
        <f>Müəllimlər!AG7</f>
        <v>0</v>
      </c>
      <c r="J30" s="100">
        <f>Müəllimlər!AH7</f>
        <v>0</v>
      </c>
      <c r="K30" s="100"/>
      <c r="L30" s="100"/>
      <c r="M30" s="100"/>
      <c r="N30" s="99">
        <f>'X-d'!N162</f>
        <v>65</v>
      </c>
      <c r="O30" s="99" t="str">
        <f>'X-d'!O162</f>
        <v/>
      </c>
      <c r="P30" s="99" t="str">
        <f>'X-d'!P162</f>
        <v/>
      </c>
      <c r="Q30" s="99" t="str">
        <f>'X-d'!Q162</f>
        <v/>
      </c>
      <c r="R30" s="99">
        <f>'X-d'!R162</f>
        <v>80</v>
      </c>
      <c r="S30" s="99">
        <f>'X-d'!S162</f>
        <v>60</v>
      </c>
      <c r="T30" s="99">
        <f>'X-d'!T162</f>
        <v>65</v>
      </c>
      <c r="U30" s="99" t="str">
        <f>'X-d'!U162</f>
        <v/>
      </c>
      <c r="V30" s="99" t="str">
        <f>'X-d'!V162</f>
        <v/>
      </c>
      <c r="W30" s="99" t="str">
        <f>'X-d'!W162</f>
        <v/>
      </c>
      <c r="X30" s="99" t="str">
        <f>'X-d'!X162</f>
        <v/>
      </c>
      <c r="Y30" s="99" t="str">
        <f>'X-d'!Y162</f>
        <v/>
      </c>
      <c r="Z30" s="99" t="str">
        <f>'X-d'!Z162</f>
        <v/>
      </c>
      <c r="AA30" s="99" t="str">
        <f>'X-d'!AA162</f>
        <v/>
      </c>
      <c r="AB30" s="99" t="str">
        <f>'X-d'!AB162</f>
        <v/>
      </c>
      <c r="AC30" s="99">
        <f>'X-d'!AC162</f>
        <v>80</v>
      </c>
      <c r="AD30" s="99">
        <f>'X-d'!AD162</f>
        <v>60</v>
      </c>
      <c r="AE30" s="99">
        <f>'X-d'!AE162</f>
        <v>65</v>
      </c>
      <c r="AF30" s="99" t="str">
        <f>'X-d'!AF162</f>
        <v/>
      </c>
      <c r="AG30" s="98" t="str">
        <f>'X-d'!AG162</f>
        <v>(30-60]</v>
      </c>
    </row>
    <row r="31" spans="2:33" x14ac:dyDescent="0.25">
      <c r="B31" s="119"/>
      <c r="C31" s="100"/>
      <c r="D31" s="100"/>
      <c r="E31" s="223" t="s">
        <v>121</v>
      </c>
      <c r="F31" s="100">
        <f>Müəllimlər!AI7</f>
        <v>0</v>
      </c>
      <c r="G31" s="100">
        <f>Müəllimlər!AJ7</f>
        <v>0</v>
      </c>
      <c r="H31" s="100">
        <f>Müəllimlər!AK7</f>
        <v>0</v>
      </c>
      <c r="I31" s="100">
        <f>Müəllimlər!AL7</f>
        <v>0</v>
      </c>
      <c r="J31" s="100">
        <f>Müəllimlər!AM7</f>
        <v>0</v>
      </c>
      <c r="K31" s="100"/>
      <c r="L31" s="100"/>
      <c r="M31" s="100"/>
      <c r="N31" s="99">
        <f>'X-d'!N163</f>
        <v>0</v>
      </c>
      <c r="O31" s="107" t="str">
        <f>'X-d'!O163</f>
        <v/>
      </c>
      <c r="P31" s="107" t="str">
        <f>'X-d'!P163</f>
        <v/>
      </c>
      <c r="Q31" s="107" t="str">
        <f>'X-d'!Q163</f>
        <v/>
      </c>
      <c r="R31" s="107">
        <f>'X-d'!R163</f>
        <v>0</v>
      </c>
      <c r="S31" s="107">
        <f>'X-d'!S163</f>
        <v>0</v>
      </c>
      <c r="T31" s="107">
        <f>'X-d'!T163</f>
        <v>0</v>
      </c>
      <c r="U31" s="107" t="str">
        <f>'X-d'!U163</f>
        <v/>
      </c>
      <c r="V31" s="107" t="str">
        <f>'X-d'!V163</f>
        <v/>
      </c>
      <c r="W31" s="107" t="str">
        <f>'X-d'!W163</f>
        <v/>
      </c>
      <c r="X31" s="107" t="str">
        <f>'X-d'!X163</f>
        <v/>
      </c>
      <c r="Y31" s="107" t="str">
        <f>'X-d'!Y163</f>
        <v/>
      </c>
      <c r="Z31" s="107" t="str">
        <f>'X-d'!Z163</f>
        <v/>
      </c>
      <c r="AA31" s="107" t="str">
        <f>'X-d'!AA163</f>
        <v/>
      </c>
      <c r="AB31" s="107" t="str">
        <f>'X-d'!AB163</f>
        <v/>
      </c>
      <c r="AC31" s="107">
        <f>'X-d'!AC163</f>
        <v>0</v>
      </c>
      <c r="AD31" s="107">
        <f>'X-d'!AD163</f>
        <v>0</v>
      </c>
      <c r="AE31" s="107">
        <f>'X-d'!AE163</f>
        <v>0</v>
      </c>
      <c r="AF31" s="107" t="str">
        <f>'X-d'!AF163</f>
        <v/>
      </c>
      <c r="AG31" s="108" t="str">
        <f>'X-d'!AG163</f>
        <v>[0-30]</v>
      </c>
    </row>
    <row r="32" spans="2:33" x14ac:dyDescent="0.25">
      <c r="B32" s="95">
        <f>'ll X-d'!B157</f>
        <v>8</v>
      </c>
      <c r="C32" s="95" t="str">
        <f>'ll X-d'!C157</f>
        <v>e</v>
      </c>
      <c r="D32" s="95" t="str">
        <f>'ll X-d'!D157</f>
        <v>İkinci xarici dil</v>
      </c>
      <c r="E32" s="95" t="str">
        <f>'ll X-d'!E157</f>
        <v>Ələkbərova Tamila Səməd, Həsənova Kəmalə Faiq</v>
      </c>
      <c r="F32" s="95">
        <f>'ll X-d'!F157</f>
        <v>34.340000000000003</v>
      </c>
      <c r="G32" s="95" t="str">
        <f>'ll X-d'!G157</f>
        <v>Azərbaycan</v>
      </c>
      <c r="H32" s="95">
        <f>'ll X-d'!H157</f>
        <v>13</v>
      </c>
      <c r="I32" s="95">
        <f>'ll X-d'!I157</f>
        <v>7</v>
      </c>
      <c r="J32" s="95">
        <f>'ll X-d'!J157</f>
        <v>20</v>
      </c>
      <c r="K32" s="96">
        <f>'ll X-d'!K157</f>
        <v>9.6321849379508073</v>
      </c>
      <c r="L32" s="96">
        <f>'ll X-d'!L157</f>
        <v>9.5681837091272151</v>
      </c>
      <c r="M32" s="113">
        <f>'ll X-d'!M157</f>
        <v>9.6097845078625497</v>
      </c>
      <c r="N32" s="96">
        <f>'ll X-d'!N157</f>
        <v>54.65</v>
      </c>
      <c r="O32" s="96" t="str">
        <f>'ll X-d'!O157</f>
        <v/>
      </c>
      <c r="P32" s="96" t="str">
        <f>'ll X-d'!P157</f>
        <v/>
      </c>
      <c r="Q32" s="96" t="str">
        <f>'ll X-d'!Q157</f>
        <v/>
      </c>
      <c r="R32" s="96">
        <f>'ll X-d'!R157</f>
        <v>55.9298245614035</v>
      </c>
      <c r="S32" s="96" t="str">
        <f>'ll X-d'!S157</f>
        <v/>
      </c>
      <c r="T32" s="96">
        <f>'ll X-d'!T157</f>
        <v>55.9298245614035</v>
      </c>
      <c r="U32" s="96" t="str">
        <f>'ll X-d'!U157</f>
        <v/>
      </c>
      <c r="V32" s="96" t="str">
        <f>'ll X-d'!V157</f>
        <v/>
      </c>
      <c r="W32" s="96" t="str">
        <f>'ll X-d'!W157</f>
        <v/>
      </c>
      <c r="X32" s="96" t="str">
        <f>'ll X-d'!X157</f>
        <v/>
      </c>
      <c r="Y32" s="96" t="str">
        <f>'ll X-d'!Y157</f>
        <v/>
      </c>
      <c r="Z32" s="96" t="str">
        <f>'ll X-d'!Z157</f>
        <v/>
      </c>
      <c r="AA32" s="96" t="str">
        <f>'ll X-d'!AA157</f>
        <v/>
      </c>
      <c r="AB32" s="96" t="str">
        <f>'ll X-d'!AB157</f>
        <v/>
      </c>
      <c r="AC32" s="96">
        <f>'ll X-d'!AC157</f>
        <v>55.9298245614035</v>
      </c>
      <c r="AD32" s="96" t="str">
        <f>'ll X-d'!AD157</f>
        <v/>
      </c>
      <c r="AE32" s="96">
        <f>'ll X-d'!AE157</f>
        <v>55.9298245614035</v>
      </c>
      <c r="AF32" s="96" t="str">
        <f>'ll X-d'!AF157</f>
        <v/>
      </c>
      <c r="AG32" s="96" t="str">
        <f>'ll X-d'!AG157</f>
        <v>Ümumi</v>
      </c>
    </row>
    <row r="33" spans="2:33" x14ac:dyDescent="0.25">
      <c r="B33" s="120"/>
      <c r="C33" s="97"/>
      <c r="D33" s="97"/>
      <c r="E33" s="97" t="s">
        <v>111</v>
      </c>
      <c r="F33" s="97">
        <f>Müəllimlər!J8</f>
        <v>0</v>
      </c>
      <c r="G33" s="97">
        <f>Müəllimlər!K8</f>
        <v>0</v>
      </c>
      <c r="H33" s="97">
        <f>Müəllimlər!L8</f>
        <v>0</v>
      </c>
      <c r="I33" s="97">
        <f>Müəllimlər!M8</f>
        <v>0</v>
      </c>
      <c r="J33" s="97">
        <f>Müəllimlər!N8</f>
        <v>0</v>
      </c>
      <c r="K33" s="95">
        <f>'ll X-d'!K158</f>
        <v>43</v>
      </c>
      <c r="L33" s="95">
        <f>'ll X-d'!L158</f>
        <v>23</v>
      </c>
      <c r="M33" s="109">
        <f>'ll X-d'!M158</f>
        <v>66</v>
      </c>
      <c r="N33" s="96">
        <f>'ll X-d'!N158</f>
        <v>49</v>
      </c>
      <c r="O33" s="96">
        <f>'ll X-d'!O158</f>
        <v>0</v>
      </c>
      <c r="P33" s="96">
        <f>'ll X-d'!P158</f>
        <v>0</v>
      </c>
      <c r="Q33" s="96">
        <f>'ll X-d'!Q158</f>
        <v>0</v>
      </c>
      <c r="R33" s="96">
        <f>'ll X-d'!R158</f>
        <v>44.512820512820511</v>
      </c>
      <c r="S33" s="96">
        <f>'ll X-d'!S158</f>
        <v>0</v>
      </c>
      <c r="T33" s="96">
        <f>'ll X-d'!T158</f>
        <v>44.512820512820511</v>
      </c>
      <c r="U33" s="96">
        <f>'ll X-d'!U158</f>
        <v>0</v>
      </c>
      <c r="V33" s="96">
        <f>'ll X-d'!V158</f>
        <v>0</v>
      </c>
      <c r="W33" s="96">
        <f>'ll X-d'!W158</f>
        <v>0</v>
      </c>
      <c r="X33" s="96">
        <f>'ll X-d'!X158</f>
        <v>0</v>
      </c>
      <c r="Y33" s="96">
        <f>'ll X-d'!Y158</f>
        <v>0</v>
      </c>
      <c r="Z33" s="96">
        <f>'ll X-d'!Z158</f>
        <v>0</v>
      </c>
      <c r="AA33" s="96">
        <f>'ll X-d'!AA158</f>
        <v>0</v>
      </c>
      <c r="AB33" s="96">
        <f>'ll X-d'!AB158</f>
        <v>0</v>
      </c>
      <c r="AC33" s="96">
        <f>'ll X-d'!AC158</f>
        <v>44.512820512820511</v>
      </c>
      <c r="AD33" s="96">
        <f>'ll X-d'!AD158</f>
        <v>0</v>
      </c>
      <c r="AE33" s="96">
        <f>'ll X-d'!AE158</f>
        <v>44.512820512820511</v>
      </c>
      <c r="AF33" s="96">
        <f>'ll X-d'!AF158</f>
        <v>0</v>
      </c>
      <c r="AG33" s="96" t="str">
        <f>'ll X-d'!AG158</f>
        <v>Oğlanlar</v>
      </c>
    </row>
    <row r="34" spans="2:33" x14ac:dyDescent="0.25">
      <c r="B34" s="120"/>
      <c r="C34" s="97"/>
      <c r="D34" s="97"/>
      <c r="E34" s="97" t="s">
        <v>113</v>
      </c>
      <c r="F34" s="97">
        <f>Müəllimlər!O8</f>
        <v>0</v>
      </c>
      <c r="G34" s="97">
        <f>Müəllimlər!P8</f>
        <v>0</v>
      </c>
      <c r="H34" s="97">
        <f>Müəllimlər!Q8</f>
        <v>0</v>
      </c>
      <c r="I34" s="97">
        <f>Müəllimlər!R8</f>
        <v>0</v>
      </c>
      <c r="J34" s="97">
        <f>Müəllimlər!S8</f>
        <v>0</v>
      </c>
      <c r="K34" s="97"/>
      <c r="L34" s="97"/>
      <c r="M34" s="97"/>
      <c r="N34" s="96">
        <f>'ll X-d'!N159</f>
        <v>65.142857142857139</v>
      </c>
      <c r="O34" s="96">
        <f>'ll X-d'!O159</f>
        <v>0</v>
      </c>
      <c r="P34" s="96">
        <f>'ll X-d'!P159</f>
        <v>0</v>
      </c>
      <c r="Q34" s="96">
        <f>'ll X-d'!Q159</f>
        <v>0</v>
      </c>
      <c r="R34" s="96">
        <f>'ll X-d'!R159</f>
        <v>69.142857142857139</v>
      </c>
      <c r="S34" s="96">
        <f>'ll X-d'!S159</f>
        <v>0</v>
      </c>
      <c r="T34" s="96">
        <f>'ll X-d'!T159</f>
        <v>69.142857142857139</v>
      </c>
      <c r="U34" s="96">
        <f>'ll X-d'!U159</f>
        <v>0</v>
      </c>
      <c r="V34" s="96">
        <f>'ll X-d'!V159</f>
        <v>0</v>
      </c>
      <c r="W34" s="96">
        <f>'ll X-d'!W159</f>
        <v>0</v>
      </c>
      <c r="X34" s="96">
        <f>'ll X-d'!X159</f>
        <v>0</v>
      </c>
      <c r="Y34" s="96">
        <f>'ll X-d'!Y159</f>
        <v>0</v>
      </c>
      <c r="Z34" s="96">
        <f>'ll X-d'!Z159</f>
        <v>0</v>
      </c>
      <c r="AA34" s="96">
        <f>'ll X-d'!AA159</f>
        <v>0</v>
      </c>
      <c r="AB34" s="96">
        <f>'ll X-d'!AB159</f>
        <v>0</v>
      </c>
      <c r="AC34" s="96">
        <f>'ll X-d'!AC159</f>
        <v>69.142857142857139</v>
      </c>
      <c r="AD34" s="96">
        <f>'ll X-d'!AD159</f>
        <v>0</v>
      </c>
      <c r="AE34" s="96">
        <f>'ll X-d'!AE159</f>
        <v>69.142857142857139</v>
      </c>
      <c r="AF34" s="96">
        <f>'ll X-d'!AF159</f>
        <v>0</v>
      </c>
      <c r="AG34" s="96" t="str">
        <f>'ll X-d'!AG159</f>
        <v>Qızlar</v>
      </c>
    </row>
    <row r="35" spans="2:33" x14ac:dyDescent="0.25">
      <c r="B35" s="117"/>
      <c r="C35" s="106"/>
      <c r="D35" s="106"/>
      <c r="E35" s="106" t="s">
        <v>122</v>
      </c>
      <c r="F35" s="106">
        <f>Müəllimlər!T8</f>
        <v>0</v>
      </c>
      <c r="G35" s="106">
        <f>Müəllimlər!U8</f>
        <v>0</v>
      </c>
      <c r="H35" s="106">
        <f>Müəllimlər!V8</f>
        <v>0</v>
      </c>
      <c r="I35" s="106">
        <f>Müəllimlər!W8</f>
        <v>0</v>
      </c>
      <c r="J35" s="106">
        <f>Müəllimlər!X8</f>
        <v>0</v>
      </c>
      <c r="K35" s="106"/>
      <c r="L35" s="106"/>
      <c r="M35" s="106"/>
      <c r="N35" s="96">
        <f>'ll X-d'!N160</f>
        <v>10</v>
      </c>
      <c r="O35" s="96" t="str">
        <f>'ll X-d'!O160</f>
        <v/>
      </c>
      <c r="P35" s="96" t="str">
        <f>'ll X-d'!P160</f>
        <v/>
      </c>
      <c r="Q35" s="96" t="str">
        <f>'ll X-d'!Q160</f>
        <v/>
      </c>
      <c r="R35" s="96">
        <f>'ll X-d'!R160</f>
        <v>21.05263157894737</v>
      </c>
      <c r="S35" s="96" t="str">
        <f>'ll X-d'!S160</f>
        <v/>
      </c>
      <c r="T35" s="96">
        <f>'ll X-d'!T160</f>
        <v>21.05263157894737</v>
      </c>
      <c r="U35" s="96" t="str">
        <f>'ll X-d'!U160</f>
        <v/>
      </c>
      <c r="V35" s="96" t="str">
        <f>'ll X-d'!V160</f>
        <v/>
      </c>
      <c r="W35" s="96" t="str">
        <f>'ll X-d'!W160</f>
        <v/>
      </c>
      <c r="X35" s="96" t="str">
        <f>'ll X-d'!X160</f>
        <v/>
      </c>
      <c r="Y35" s="96" t="str">
        <f>'ll X-d'!Y160</f>
        <v/>
      </c>
      <c r="Z35" s="96" t="str">
        <f>'ll X-d'!Z160</f>
        <v/>
      </c>
      <c r="AA35" s="96" t="str">
        <f>'ll X-d'!AA160</f>
        <v/>
      </c>
      <c r="AB35" s="96" t="str">
        <f>'ll X-d'!AB160</f>
        <v/>
      </c>
      <c r="AC35" s="96">
        <f>'ll X-d'!AC160</f>
        <v>21.05263157894737</v>
      </c>
      <c r="AD35" s="96" t="str">
        <f>'ll X-d'!AD160</f>
        <v/>
      </c>
      <c r="AE35" s="96">
        <f>'ll X-d'!AE160</f>
        <v>21.05263157894737</v>
      </c>
      <c r="AF35" s="96" t="str">
        <f>'ll X-d'!AF160</f>
        <v/>
      </c>
      <c r="AG35" s="96" t="str">
        <f>'ll X-d'!AG160</f>
        <v>(80-100]</v>
      </c>
    </row>
    <row r="36" spans="2:33" x14ac:dyDescent="0.25">
      <c r="B36" s="117"/>
      <c r="C36" s="106"/>
      <c r="D36" s="106"/>
      <c r="E36" s="106" t="s">
        <v>119</v>
      </c>
      <c r="F36" s="106">
        <f>Müəllimlər!Y8</f>
        <v>0</v>
      </c>
      <c r="G36" s="106">
        <f>Müəllimlər!Z8</f>
        <v>0</v>
      </c>
      <c r="H36" s="106">
        <f>Müəllimlər!AA8</f>
        <v>0</v>
      </c>
      <c r="I36" s="106">
        <f>Müəllimlər!AB8</f>
        <v>0</v>
      </c>
      <c r="J36" s="106">
        <f>Müəllimlər!AC8</f>
        <v>0</v>
      </c>
      <c r="K36" s="106"/>
      <c r="L36" s="106"/>
      <c r="M36" s="106"/>
      <c r="N36" s="96">
        <f>'ll X-d'!N161</f>
        <v>30</v>
      </c>
      <c r="O36" s="96" t="str">
        <f>'ll X-d'!O161</f>
        <v/>
      </c>
      <c r="P36" s="96" t="str">
        <f>'ll X-d'!P161</f>
        <v/>
      </c>
      <c r="Q36" s="96" t="str">
        <f>'ll X-d'!Q161</f>
        <v/>
      </c>
      <c r="R36" s="96">
        <f>'ll X-d'!R161</f>
        <v>26.315789473684209</v>
      </c>
      <c r="S36" s="96" t="str">
        <f>'ll X-d'!S161</f>
        <v/>
      </c>
      <c r="T36" s="96">
        <f>'ll X-d'!T161</f>
        <v>26.315789473684209</v>
      </c>
      <c r="U36" s="96" t="str">
        <f>'ll X-d'!U161</f>
        <v/>
      </c>
      <c r="V36" s="96" t="str">
        <f>'ll X-d'!V161</f>
        <v/>
      </c>
      <c r="W36" s="96" t="str">
        <f>'ll X-d'!W161</f>
        <v/>
      </c>
      <c r="X36" s="96" t="str">
        <f>'ll X-d'!X161</f>
        <v/>
      </c>
      <c r="Y36" s="96" t="str">
        <f>'ll X-d'!Y161</f>
        <v/>
      </c>
      <c r="Z36" s="96" t="str">
        <f>'ll X-d'!Z161</f>
        <v/>
      </c>
      <c r="AA36" s="96" t="str">
        <f>'ll X-d'!AA161</f>
        <v/>
      </c>
      <c r="AB36" s="96" t="str">
        <f>'ll X-d'!AB161</f>
        <v/>
      </c>
      <c r="AC36" s="96">
        <f>'ll X-d'!AC161</f>
        <v>26.315789473684209</v>
      </c>
      <c r="AD36" s="96" t="str">
        <f>'ll X-d'!AD161</f>
        <v/>
      </c>
      <c r="AE36" s="96">
        <f>'ll X-d'!AE161</f>
        <v>26.315789473684209</v>
      </c>
      <c r="AF36" s="96" t="str">
        <f>'ll X-d'!AF161</f>
        <v/>
      </c>
      <c r="AG36" s="96" t="str">
        <f>'ll X-d'!AG161</f>
        <v>(60-80]</v>
      </c>
    </row>
    <row r="37" spans="2:33" x14ac:dyDescent="0.25">
      <c r="B37" s="120"/>
      <c r="C37" s="97"/>
      <c r="D37" s="97"/>
      <c r="E37" s="97" t="s">
        <v>120</v>
      </c>
      <c r="F37" s="97">
        <f>Müəllimlər!AD8</f>
        <v>0</v>
      </c>
      <c r="G37" s="97">
        <f>Müəllimlər!AE8</f>
        <v>0</v>
      </c>
      <c r="H37" s="97">
        <f>Müəllimlər!AF8</f>
        <v>0</v>
      </c>
      <c r="I37" s="97">
        <f>Müəllimlər!AG8</f>
        <v>0</v>
      </c>
      <c r="J37" s="97">
        <f>Müəllimlər!AH8</f>
        <v>0</v>
      </c>
      <c r="K37" s="97"/>
      <c r="L37" s="97"/>
      <c r="M37" s="97"/>
      <c r="N37" s="96">
        <f>'ll X-d'!N162</f>
        <v>60</v>
      </c>
      <c r="O37" s="96" t="str">
        <f>'ll X-d'!O162</f>
        <v/>
      </c>
      <c r="P37" s="96" t="str">
        <f>'ll X-d'!P162</f>
        <v/>
      </c>
      <c r="Q37" s="96" t="str">
        <f>'ll X-d'!Q162</f>
        <v/>
      </c>
      <c r="R37" s="96">
        <f>'ll X-d'!R162</f>
        <v>47.368421052631582</v>
      </c>
      <c r="S37" s="96" t="str">
        <f>'ll X-d'!S162</f>
        <v/>
      </c>
      <c r="T37" s="96">
        <f>'ll X-d'!T162</f>
        <v>47.368421052631582</v>
      </c>
      <c r="U37" s="96" t="str">
        <f>'ll X-d'!U162</f>
        <v/>
      </c>
      <c r="V37" s="96" t="str">
        <f>'ll X-d'!V162</f>
        <v/>
      </c>
      <c r="W37" s="96" t="str">
        <f>'ll X-d'!W162</f>
        <v/>
      </c>
      <c r="X37" s="96" t="str">
        <f>'ll X-d'!X162</f>
        <v/>
      </c>
      <c r="Y37" s="96" t="str">
        <f>'ll X-d'!Y162</f>
        <v/>
      </c>
      <c r="Z37" s="96" t="str">
        <f>'ll X-d'!Z162</f>
        <v/>
      </c>
      <c r="AA37" s="96" t="str">
        <f>'ll X-d'!AA162</f>
        <v/>
      </c>
      <c r="AB37" s="96" t="str">
        <f>'ll X-d'!AB162</f>
        <v/>
      </c>
      <c r="AC37" s="96">
        <f>'ll X-d'!AC162</f>
        <v>47.368421052631582</v>
      </c>
      <c r="AD37" s="96" t="str">
        <f>'ll X-d'!AD162</f>
        <v/>
      </c>
      <c r="AE37" s="96">
        <f>'ll X-d'!AE162</f>
        <v>47.368421052631582</v>
      </c>
      <c r="AF37" s="96" t="str">
        <f>'ll X-d'!AF162</f>
        <v/>
      </c>
      <c r="AG37" s="96" t="str">
        <f>'ll X-d'!AG162</f>
        <v>(30-60]</v>
      </c>
    </row>
    <row r="38" spans="2:33" x14ac:dyDescent="0.25">
      <c r="B38" s="120"/>
      <c r="C38" s="97"/>
      <c r="D38" s="97"/>
      <c r="E38" s="229" t="s">
        <v>121</v>
      </c>
      <c r="F38" s="97">
        <f>Müəllimlər!AI8</f>
        <v>0</v>
      </c>
      <c r="G38" s="97">
        <f>Müəllimlər!AJ8</f>
        <v>0</v>
      </c>
      <c r="H38" s="97">
        <f>Müəllimlər!AK8</f>
        <v>0</v>
      </c>
      <c r="I38" s="97">
        <f>Müəllimlər!AL8</f>
        <v>0</v>
      </c>
      <c r="J38" s="97">
        <f>Müəllimlər!AM8</f>
        <v>0</v>
      </c>
      <c r="K38" s="97"/>
      <c r="L38" s="97"/>
      <c r="M38" s="97"/>
      <c r="N38" s="96">
        <f>'ll X-d'!N163</f>
        <v>0</v>
      </c>
      <c r="O38" s="110" t="str">
        <f>'ll X-d'!O163</f>
        <v/>
      </c>
      <c r="P38" s="110" t="str">
        <f>'ll X-d'!P163</f>
        <v/>
      </c>
      <c r="Q38" s="110" t="str">
        <f>'ll X-d'!Q163</f>
        <v/>
      </c>
      <c r="R38" s="110">
        <f>'ll X-d'!R163</f>
        <v>5.2631578947368425</v>
      </c>
      <c r="S38" s="110" t="str">
        <f>'ll X-d'!S163</f>
        <v/>
      </c>
      <c r="T38" s="110">
        <f>'ll X-d'!T163</f>
        <v>5.2631578947368425</v>
      </c>
      <c r="U38" s="110" t="str">
        <f>'ll X-d'!U163</f>
        <v/>
      </c>
      <c r="V38" s="110" t="str">
        <f>'ll X-d'!V163</f>
        <v/>
      </c>
      <c r="W38" s="110" t="str">
        <f>'ll X-d'!W163</f>
        <v/>
      </c>
      <c r="X38" s="110" t="str">
        <f>'ll X-d'!X163</f>
        <v/>
      </c>
      <c r="Y38" s="110" t="str">
        <f>'ll X-d'!Y163</f>
        <v/>
      </c>
      <c r="Z38" s="110" t="str">
        <f>'ll X-d'!Z163</f>
        <v/>
      </c>
      <c r="AA38" s="110" t="str">
        <f>'ll X-d'!AA163</f>
        <v/>
      </c>
      <c r="AB38" s="110" t="str">
        <f>'ll X-d'!AB163</f>
        <v/>
      </c>
      <c r="AC38" s="110">
        <f>'ll X-d'!AC163</f>
        <v>5.2631578947368425</v>
      </c>
      <c r="AD38" s="110" t="str">
        <f>'ll X-d'!AD163</f>
        <v/>
      </c>
      <c r="AE38" s="110">
        <f>'ll X-d'!AE163</f>
        <v>5.2631578947368425</v>
      </c>
      <c r="AF38" s="110" t="str">
        <f>'ll X-d'!AF163</f>
        <v/>
      </c>
      <c r="AG38" s="110" t="str">
        <f>'ll X-d'!AG163</f>
        <v>[0-30]</v>
      </c>
    </row>
    <row r="39" spans="2:33" x14ac:dyDescent="0.25">
      <c r="B39" s="98">
        <f>Riy!B157</f>
        <v>8</v>
      </c>
      <c r="C39" s="98" t="str">
        <f>Riy!C157</f>
        <v>e</v>
      </c>
      <c r="D39" s="98" t="str">
        <f>Riy!D157</f>
        <v>Riyaziyyat</v>
      </c>
      <c r="E39" s="98" t="str">
        <f>Riy!E157</f>
        <v>Məhərrəmova Cəmilə Kərəm</v>
      </c>
      <c r="F39" s="98">
        <f>Riy!F157</f>
        <v>170</v>
      </c>
      <c r="G39" s="98" t="str">
        <f>Riy!G157</f>
        <v>Azərbaycan</v>
      </c>
      <c r="H39" s="98">
        <f>Riy!H157</f>
        <v>13</v>
      </c>
      <c r="I39" s="98">
        <f>Riy!I157</f>
        <v>7</v>
      </c>
      <c r="J39" s="98">
        <f>Riy!J157</f>
        <v>20</v>
      </c>
      <c r="K39" s="99">
        <f>Riy!K157</f>
        <v>2.6696832579185519</v>
      </c>
      <c r="L39" s="99">
        <f>Riy!L157</f>
        <v>1.596638655462185</v>
      </c>
      <c r="M39" s="219">
        <f>Riy!M157</f>
        <v>2.2941176470588234</v>
      </c>
      <c r="N39" s="99">
        <f>Riy!N157</f>
        <v>55.55</v>
      </c>
      <c r="O39" s="99" t="str">
        <f>Riy!O157</f>
        <v/>
      </c>
      <c r="P39" s="99" t="str">
        <f>Riy!P157</f>
        <v/>
      </c>
      <c r="Q39" s="99" t="str">
        <f>Riy!Q157</f>
        <v/>
      </c>
      <c r="R39" s="99">
        <f>Riy!R157</f>
        <v>51.560000000000016</v>
      </c>
      <c r="S39" s="99">
        <f>Riy!S157</f>
        <v>53.1</v>
      </c>
      <c r="T39" s="99">
        <f>Riy!T157</f>
        <v>52.484000000000002</v>
      </c>
      <c r="U39" s="99" t="str">
        <f>Riy!U157</f>
        <v/>
      </c>
      <c r="V39" s="99" t="str">
        <f>Riy!V157</f>
        <v/>
      </c>
      <c r="W39" s="99" t="str">
        <f>Riy!W157</f>
        <v/>
      </c>
      <c r="X39" s="99" t="str">
        <f>Riy!X157</f>
        <v/>
      </c>
      <c r="Y39" s="99" t="str">
        <f>Riy!Y157</f>
        <v/>
      </c>
      <c r="Z39" s="99" t="str">
        <f>Riy!Z157</f>
        <v/>
      </c>
      <c r="AA39" s="99" t="str">
        <f>Riy!AA157</f>
        <v/>
      </c>
      <c r="AB39" s="99" t="str">
        <f>Riy!AB157</f>
        <v/>
      </c>
      <c r="AC39" s="99">
        <f>Riy!AC157</f>
        <v>51.560000000000016</v>
      </c>
      <c r="AD39" s="99">
        <f>Riy!AD157</f>
        <v>53.1</v>
      </c>
      <c r="AE39" s="99">
        <f>Riy!AE157</f>
        <v>52.484000000000002</v>
      </c>
      <c r="AF39" s="99" t="str">
        <f>Riy!AF157</f>
        <v/>
      </c>
      <c r="AG39" s="98" t="str">
        <f>Riy!AG157</f>
        <v>Ümumi</v>
      </c>
    </row>
    <row r="40" spans="2:33" x14ac:dyDescent="0.25">
      <c r="B40" s="119"/>
      <c r="C40" s="100"/>
      <c r="D40" s="100"/>
      <c r="E40" s="100" t="s">
        <v>111</v>
      </c>
      <c r="F40" s="100">
        <f>Müəllimlər!J9</f>
        <v>0</v>
      </c>
      <c r="G40" s="100">
        <f>Müəllimlər!K9</f>
        <v>0</v>
      </c>
      <c r="H40" s="100">
        <f>Müəllimlər!L9</f>
        <v>0</v>
      </c>
      <c r="I40" s="100">
        <f>Müəllimlər!M9</f>
        <v>0</v>
      </c>
      <c r="J40" s="100">
        <f>Müəllimlər!N9</f>
        <v>0</v>
      </c>
      <c r="K40" s="98">
        <f>Riy!K158</f>
        <v>59</v>
      </c>
      <c r="L40" s="98">
        <f>Riy!L158</f>
        <v>19</v>
      </c>
      <c r="M40" s="112">
        <f>Riy!M158</f>
        <v>78</v>
      </c>
      <c r="N40" s="99">
        <f>Riy!N158</f>
        <v>49.46153846153846</v>
      </c>
      <c r="O40" s="99">
        <f>Riy!O158</f>
        <v>0</v>
      </c>
      <c r="P40" s="99">
        <f>Riy!P158</f>
        <v>0</v>
      </c>
      <c r="Q40" s="99">
        <f>Riy!Q158</f>
        <v>0</v>
      </c>
      <c r="R40" s="99">
        <f>Riy!R158</f>
        <v>47.353846153846149</v>
      </c>
      <c r="S40" s="99">
        <f>Riy!S158</f>
        <v>47.46153846153846</v>
      </c>
      <c r="T40" s="99">
        <f>Riy!T158</f>
        <v>47.418461538461536</v>
      </c>
      <c r="U40" s="99">
        <f>Riy!U158</f>
        <v>0</v>
      </c>
      <c r="V40" s="99">
        <f>Riy!V158</f>
        <v>0</v>
      </c>
      <c r="W40" s="99">
        <f>Riy!W158</f>
        <v>0</v>
      </c>
      <c r="X40" s="99">
        <f>Riy!X158</f>
        <v>0</v>
      </c>
      <c r="Y40" s="99">
        <f>Riy!Y158</f>
        <v>0</v>
      </c>
      <c r="Z40" s="99">
        <f>Riy!Z158</f>
        <v>0</v>
      </c>
      <c r="AA40" s="99">
        <f>Riy!AA158</f>
        <v>0</v>
      </c>
      <c r="AB40" s="99">
        <f>Riy!AB158</f>
        <v>0</v>
      </c>
      <c r="AC40" s="99">
        <f>Riy!AC158</f>
        <v>47.353846153846149</v>
      </c>
      <c r="AD40" s="99">
        <f>Riy!AD158</f>
        <v>47.46153846153846</v>
      </c>
      <c r="AE40" s="99">
        <f>Riy!AE158</f>
        <v>47.418461538461536</v>
      </c>
      <c r="AF40" s="99">
        <f>Riy!AF158</f>
        <v>0</v>
      </c>
      <c r="AG40" s="98" t="str">
        <f>Riy!AG158</f>
        <v>Oğlanlar</v>
      </c>
    </row>
    <row r="41" spans="2:33" x14ac:dyDescent="0.25">
      <c r="B41" s="119"/>
      <c r="C41" s="100"/>
      <c r="D41" s="100"/>
      <c r="E41" s="100" t="s">
        <v>113</v>
      </c>
      <c r="F41" s="100">
        <f>Müəllimlər!O9</f>
        <v>0</v>
      </c>
      <c r="G41" s="100">
        <f>Müəllimlər!P9</f>
        <v>0</v>
      </c>
      <c r="H41" s="100">
        <f>Müəllimlər!Q9</f>
        <v>0</v>
      </c>
      <c r="I41" s="100">
        <f>Müəllimlər!R9</f>
        <v>0</v>
      </c>
      <c r="J41" s="100">
        <f>Müəllimlər!S9</f>
        <v>0</v>
      </c>
      <c r="K41" s="100"/>
      <c r="L41" s="100"/>
      <c r="M41" s="100"/>
      <c r="N41" s="99">
        <f>Riy!N159</f>
        <v>66.857142857142861</v>
      </c>
      <c r="O41" s="99">
        <f>Riy!O159</f>
        <v>0</v>
      </c>
      <c r="P41" s="99">
        <f>Riy!P159</f>
        <v>0</v>
      </c>
      <c r="Q41" s="99">
        <f>Riy!Q159</f>
        <v>0</v>
      </c>
      <c r="R41" s="99">
        <f>Riy!R159</f>
        <v>59.371428571428574</v>
      </c>
      <c r="S41" s="99">
        <f>Riy!S159</f>
        <v>63.571428571428569</v>
      </c>
      <c r="T41" s="99">
        <f>Riy!T159</f>
        <v>61.89142857142857</v>
      </c>
      <c r="U41" s="99">
        <f>Riy!U159</f>
        <v>0</v>
      </c>
      <c r="V41" s="99">
        <f>Riy!V159</f>
        <v>0</v>
      </c>
      <c r="W41" s="99">
        <f>Riy!W159</f>
        <v>0</v>
      </c>
      <c r="X41" s="99">
        <f>Riy!X159</f>
        <v>0</v>
      </c>
      <c r="Y41" s="99">
        <f>Riy!Y159</f>
        <v>0</v>
      </c>
      <c r="Z41" s="99">
        <f>Riy!Z159</f>
        <v>0</v>
      </c>
      <c r="AA41" s="99">
        <f>Riy!AA159</f>
        <v>0</v>
      </c>
      <c r="AB41" s="99">
        <f>Riy!AB159</f>
        <v>0</v>
      </c>
      <c r="AC41" s="99">
        <f>Riy!AC159</f>
        <v>59.371428571428574</v>
      </c>
      <c r="AD41" s="99">
        <f>Riy!AD159</f>
        <v>63.571428571428569</v>
      </c>
      <c r="AE41" s="99">
        <f>Riy!AE159</f>
        <v>61.89142857142857</v>
      </c>
      <c r="AF41" s="99">
        <f>Riy!AF159</f>
        <v>0</v>
      </c>
      <c r="AG41" s="98" t="str">
        <f>Riy!AG159</f>
        <v>Qızlar</v>
      </c>
    </row>
    <row r="42" spans="2:33" x14ac:dyDescent="0.25">
      <c r="B42" s="224"/>
      <c r="C42" s="222"/>
      <c r="D42" s="222"/>
      <c r="E42" s="222" t="s">
        <v>122</v>
      </c>
      <c r="F42" s="222">
        <f>Müəllimlər!T9</f>
        <v>0</v>
      </c>
      <c r="G42" s="222">
        <f>Müəllimlər!U9</f>
        <v>0</v>
      </c>
      <c r="H42" s="222">
        <f>Müəllimlər!V9</f>
        <v>0</v>
      </c>
      <c r="I42" s="222">
        <f>Müəllimlər!W9</f>
        <v>0</v>
      </c>
      <c r="J42" s="222">
        <f>Müəllimlər!X9</f>
        <v>0</v>
      </c>
      <c r="K42" s="222"/>
      <c r="L42" s="222"/>
      <c r="M42" s="222"/>
      <c r="N42" s="99">
        <f>Riy!N160</f>
        <v>15</v>
      </c>
      <c r="O42" s="99" t="str">
        <f>Riy!O160</f>
        <v/>
      </c>
      <c r="P42" s="99" t="str">
        <f>Riy!P160</f>
        <v/>
      </c>
      <c r="Q42" s="99" t="str">
        <f>Riy!Q160</f>
        <v/>
      </c>
      <c r="R42" s="99">
        <f>Riy!R160</f>
        <v>10</v>
      </c>
      <c r="S42" s="99">
        <f>Riy!S160</f>
        <v>10</v>
      </c>
      <c r="T42" s="99">
        <f>Riy!T160</f>
        <v>10</v>
      </c>
      <c r="U42" s="99" t="str">
        <f>Riy!U160</f>
        <v/>
      </c>
      <c r="V42" s="99" t="str">
        <f>Riy!V160</f>
        <v/>
      </c>
      <c r="W42" s="99" t="str">
        <f>Riy!W160</f>
        <v/>
      </c>
      <c r="X42" s="99" t="str">
        <f>Riy!X160</f>
        <v/>
      </c>
      <c r="Y42" s="99" t="str">
        <f>Riy!Y160</f>
        <v/>
      </c>
      <c r="Z42" s="99" t="str">
        <f>Riy!Z160</f>
        <v/>
      </c>
      <c r="AA42" s="99" t="str">
        <f>Riy!AA160</f>
        <v/>
      </c>
      <c r="AB42" s="99" t="str">
        <f>Riy!AB160</f>
        <v/>
      </c>
      <c r="AC42" s="99">
        <f>Riy!AC160</f>
        <v>10</v>
      </c>
      <c r="AD42" s="99">
        <f>Riy!AD160</f>
        <v>10</v>
      </c>
      <c r="AE42" s="99">
        <f>Riy!AE160</f>
        <v>10</v>
      </c>
      <c r="AF42" s="99" t="str">
        <f>Riy!AF160</f>
        <v/>
      </c>
      <c r="AG42" s="98" t="str">
        <f>Riy!AG160</f>
        <v>(80-100]</v>
      </c>
    </row>
    <row r="43" spans="2:33" x14ac:dyDescent="0.25">
      <c r="B43" s="224"/>
      <c r="C43" s="222"/>
      <c r="D43" s="222"/>
      <c r="E43" s="222" t="s">
        <v>119</v>
      </c>
      <c r="F43" s="222">
        <f>Müəllimlər!Y9</f>
        <v>0</v>
      </c>
      <c r="G43" s="222">
        <f>Müəllimlər!Z9</f>
        <v>0</v>
      </c>
      <c r="H43" s="222">
        <f>Müəllimlər!AA9</f>
        <v>0</v>
      </c>
      <c r="I43" s="222">
        <f>Müəllimlər!AB9</f>
        <v>0</v>
      </c>
      <c r="J43" s="222">
        <f>Müəllimlər!AC9</f>
        <v>0</v>
      </c>
      <c r="K43" s="222"/>
      <c r="L43" s="222"/>
      <c r="M43" s="222"/>
      <c r="N43" s="99">
        <f>Riy!N161</f>
        <v>25</v>
      </c>
      <c r="O43" s="99" t="str">
        <f>Riy!O161</f>
        <v/>
      </c>
      <c r="P43" s="99" t="str">
        <f>Riy!P161</f>
        <v/>
      </c>
      <c r="Q43" s="99" t="str">
        <f>Riy!Q161</f>
        <v/>
      </c>
      <c r="R43" s="99">
        <f>Riy!R161</f>
        <v>15</v>
      </c>
      <c r="S43" s="99">
        <f>Riy!S161</f>
        <v>40</v>
      </c>
      <c r="T43" s="99">
        <f>Riy!T161</f>
        <v>25</v>
      </c>
      <c r="U43" s="99" t="str">
        <f>Riy!U161</f>
        <v/>
      </c>
      <c r="V43" s="99" t="str">
        <f>Riy!V161</f>
        <v/>
      </c>
      <c r="W43" s="99" t="str">
        <f>Riy!W161</f>
        <v/>
      </c>
      <c r="X43" s="99" t="str">
        <f>Riy!X161</f>
        <v/>
      </c>
      <c r="Y43" s="99" t="str">
        <f>Riy!Y161</f>
        <v/>
      </c>
      <c r="Z43" s="99" t="str">
        <f>Riy!Z161</f>
        <v/>
      </c>
      <c r="AA43" s="99" t="str">
        <f>Riy!AA161</f>
        <v/>
      </c>
      <c r="AB43" s="99" t="str">
        <f>Riy!AB161</f>
        <v/>
      </c>
      <c r="AC43" s="99">
        <f>Riy!AC161</f>
        <v>15</v>
      </c>
      <c r="AD43" s="99">
        <f>Riy!AD161</f>
        <v>40</v>
      </c>
      <c r="AE43" s="99">
        <f>Riy!AE161</f>
        <v>25</v>
      </c>
      <c r="AF43" s="99" t="str">
        <f>Riy!AF161</f>
        <v/>
      </c>
      <c r="AG43" s="98" t="str">
        <f>Riy!AG161</f>
        <v>(60-80]</v>
      </c>
    </row>
    <row r="44" spans="2:33" x14ac:dyDescent="0.25">
      <c r="B44" s="119"/>
      <c r="C44" s="100"/>
      <c r="D44" s="100"/>
      <c r="E44" s="100" t="s">
        <v>120</v>
      </c>
      <c r="F44" s="100">
        <f>Müəllimlər!AD9</f>
        <v>0</v>
      </c>
      <c r="G44" s="100">
        <f>Müəllimlər!AE9</f>
        <v>0</v>
      </c>
      <c r="H44" s="100">
        <f>Müəllimlər!AF9</f>
        <v>0</v>
      </c>
      <c r="I44" s="100">
        <f>Müəllimlər!AG9</f>
        <v>0</v>
      </c>
      <c r="J44" s="100">
        <f>Müəllimlər!AH9</f>
        <v>0</v>
      </c>
      <c r="K44" s="100"/>
      <c r="L44" s="100"/>
      <c r="M44" s="100"/>
      <c r="N44" s="99">
        <f>Riy!N162</f>
        <v>60</v>
      </c>
      <c r="O44" s="99" t="str">
        <f>Riy!O162</f>
        <v/>
      </c>
      <c r="P44" s="99" t="str">
        <f>Riy!P162</f>
        <v/>
      </c>
      <c r="Q44" s="99" t="str">
        <f>Riy!Q162</f>
        <v/>
      </c>
      <c r="R44" s="99">
        <f>Riy!R162</f>
        <v>75</v>
      </c>
      <c r="S44" s="99">
        <f>Riy!S162</f>
        <v>50</v>
      </c>
      <c r="T44" s="99">
        <f>Riy!T162</f>
        <v>65</v>
      </c>
      <c r="U44" s="99" t="str">
        <f>Riy!U162</f>
        <v/>
      </c>
      <c r="V44" s="99" t="str">
        <f>Riy!V162</f>
        <v/>
      </c>
      <c r="W44" s="99" t="str">
        <f>Riy!W162</f>
        <v/>
      </c>
      <c r="X44" s="99" t="str">
        <f>Riy!X162</f>
        <v/>
      </c>
      <c r="Y44" s="99" t="str">
        <f>Riy!Y162</f>
        <v/>
      </c>
      <c r="Z44" s="99" t="str">
        <f>Riy!Z162</f>
        <v/>
      </c>
      <c r="AA44" s="99" t="str">
        <f>Riy!AA162</f>
        <v/>
      </c>
      <c r="AB44" s="99" t="str">
        <f>Riy!AB162</f>
        <v/>
      </c>
      <c r="AC44" s="99">
        <f>Riy!AC162</f>
        <v>75</v>
      </c>
      <c r="AD44" s="99">
        <f>Riy!AD162</f>
        <v>50</v>
      </c>
      <c r="AE44" s="99">
        <f>Riy!AE162</f>
        <v>65</v>
      </c>
      <c r="AF44" s="99" t="str">
        <f>Riy!AF162</f>
        <v/>
      </c>
      <c r="AG44" s="98" t="str">
        <f>Riy!AG162</f>
        <v>(30-60]</v>
      </c>
    </row>
    <row r="45" spans="2:33" x14ac:dyDescent="0.25">
      <c r="B45" s="119"/>
      <c r="C45" s="100"/>
      <c r="D45" s="100"/>
      <c r="E45" s="223" t="s">
        <v>121</v>
      </c>
      <c r="F45" s="100">
        <f>Müəllimlər!AI9</f>
        <v>0</v>
      </c>
      <c r="G45" s="100">
        <f>Müəllimlər!AJ9</f>
        <v>0</v>
      </c>
      <c r="H45" s="100">
        <f>Müəllimlər!AK9</f>
        <v>0</v>
      </c>
      <c r="I45" s="100">
        <f>Müəllimlər!AL9</f>
        <v>0</v>
      </c>
      <c r="J45" s="100">
        <f>Müəllimlər!AM9</f>
        <v>0</v>
      </c>
      <c r="K45" s="100"/>
      <c r="L45" s="100"/>
      <c r="M45" s="100"/>
      <c r="N45" s="99">
        <f>Riy!N163</f>
        <v>0</v>
      </c>
      <c r="O45" s="99" t="str">
        <f>Riy!O163</f>
        <v/>
      </c>
      <c r="P45" s="99" t="str">
        <f>Riy!P163</f>
        <v/>
      </c>
      <c r="Q45" s="99" t="str">
        <f>Riy!Q163</f>
        <v/>
      </c>
      <c r="R45" s="99">
        <f>Riy!R163</f>
        <v>0</v>
      </c>
      <c r="S45" s="99">
        <f>Riy!S163</f>
        <v>0</v>
      </c>
      <c r="T45" s="99">
        <f>Riy!T163</f>
        <v>0</v>
      </c>
      <c r="U45" s="99" t="str">
        <f>Riy!U163</f>
        <v/>
      </c>
      <c r="V45" s="99" t="str">
        <f>Riy!V163</f>
        <v/>
      </c>
      <c r="W45" s="99" t="str">
        <f>Riy!W163</f>
        <v/>
      </c>
      <c r="X45" s="99" t="str">
        <f>Riy!X163</f>
        <v/>
      </c>
      <c r="Y45" s="99" t="str">
        <f>Riy!Y163</f>
        <v/>
      </c>
      <c r="Z45" s="99" t="str">
        <f>Riy!Z163</f>
        <v/>
      </c>
      <c r="AA45" s="99" t="str">
        <f>Riy!AA163</f>
        <v/>
      </c>
      <c r="AB45" s="99" t="str">
        <f>Riy!AB163</f>
        <v/>
      </c>
      <c r="AC45" s="99">
        <f>Riy!AC163</f>
        <v>0</v>
      </c>
      <c r="AD45" s="99">
        <f>Riy!AD163</f>
        <v>0</v>
      </c>
      <c r="AE45" s="99">
        <f>Riy!AE163</f>
        <v>0</v>
      </c>
      <c r="AF45" s="99" t="str">
        <f>Riy!AF163</f>
        <v/>
      </c>
      <c r="AG45" s="98" t="str">
        <f>Riy!AG163</f>
        <v>[0-30]</v>
      </c>
    </row>
    <row r="46" spans="2:33" x14ac:dyDescent="0.25">
      <c r="B46" s="95">
        <f>İnf!B157</f>
        <v>8</v>
      </c>
      <c r="C46" s="95" t="str">
        <f>İnf!C157</f>
        <v>e</v>
      </c>
      <c r="D46" s="95" t="str">
        <f>İnf!D157</f>
        <v>İnformatika</v>
      </c>
      <c r="E46" s="95" t="str">
        <f>İnf!E157</f>
        <v>Həmidova Yazgül Bayram</v>
      </c>
      <c r="F46" s="95">
        <f>İnf!F157</f>
        <v>34</v>
      </c>
      <c r="G46" s="95" t="str">
        <f>İnf!G157</f>
        <v>Azərbaycan</v>
      </c>
      <c r="H46" s="95">
        <f>İnf!H157</f>
        <v>13</v>
      </c>
      <c r="I46" s="95">
        <f>İnf!I157</f>
        <v>7</v>
      </c>
      <c r="J46" s="95">
        <f>İnf!J157</f>
        <v>20</v>
      </c>
      <c r="K46" s="96">
        <f>İnf!K157</f>
        <v>0.22624434389140272</v>
      </c>
      <c r="L46" s="96">
        <f>İnf!L157</f>
        <v>0</v>
      </c>
      <c r="M46" s="113">
        <f>İnf!M157</f>
        <v>0.14705882352941177</v>
      </c>
      <c r="N46" s="96">
        <f>İnf!N157</f>
        <v>61.15</v>
      </c>
      <c r="O46" s="96" t="str">
        <f>İnf!O157</f>
        <v/>
      </c>
      <c r="P46" s="96" t="str">
        <f>İnf!P157</f>
        <v/>
      </c>
      <c r="Q46" s="96" t="str">
        <f>İnf!Q157</f>
        <v/>
      </c>
      <c r="R46" s="96">
        <f>İnf!R157</f>
        <v>70.466666666666669</v>
      </c>
      <c r="S46" s="96" t="str">
        <f>İnf!S157</f>
        <v/>
      </c>
      <c r="T46" s="96">
        <f>İnf!T157</f>
        <v>70.466666666666669</v>
      </c>
      <c r="U46" s="96" t="str">
        <f>İnf!U157</f>
        <v/>
      </c>
      <c r="V46" s="96" t="str">
        <f>İnf!V157</f>
        <v/>
      </c>
      <c r="W46" s="96" t="str">
        <f>İnf!W157</f>
        <v/>
      </c>
      <c r="X46" s="96" t="str">
        <f>İnf!X157</f>
        <v/>
      </c>
      <c r="Y46" s="96" t="str">
        <f>İnf!Y157</f>
        <v/>
      </c>
      <c r="Z46" s="96" t="str">
        <f>İnf!Z157</f>
        <v/>
      </c>
      <c r="AA46" s="96" t="str">
        <f>İnf!AA157</f>
        <v/>
      </c>
      <c r="AB46" s="96" t="str">
        <f>İnf!AB157</f>
        <v/>
      </c>
      <c r="AC46" s="96">
        <f>İnf!AC157</f>
        <v>70.466666666666669</v>
      </c>
      <c r="AD46" s="96" t="str">
        <f>İnf!AD157</f>
        <v/>
      </c>
      <c r="AE46" s="96">
        <f>İnf!AE157</f>
        <v>70.466666666666669</v>
      </c>
      <c r="AF46" s="96" t="str">
        <f>İnf!AF157</f>
        <v/>
      </c>
      <c r="AG46" s="95" t="str">
        <f>İnf!AG157</f>
        <v>Ümumi</v>
      </c>
    </row>
    <row r="47" spans="2:33" x14ac:dyDescent="0.25">
      <c r="B47" s="120"/>
      <c r="C47" s="97"/>
      <c r="D47" s="97"/>
      <c r="E47" s="97" t="s">
        <v>111</v>
      </c>
      <c r="F47" s="97">
        <f>Müəllimlər!J10</f>
        <v>0</v>
      </c>
      <c r="G47" s="97">
        <f>Müəllimlər!K10</f>
        <v>0</v>
      </c>
      <c r="H47" s="97">
        <f>Müəllimlər!L10</f>
        <v>0</v>
      </c>
      <c r="I47" s="97">
        <f>Müəllimlər!M10</f>
        <v>0</v>
      </c>
      <c r="J47" s="97">
        <f>Müəllimlər!N10</f>
        <v>0</v>
      </c>
      <c r="K47" s="95">
        <f>İnf!K158</f>
        <v>1</v>
      </c>
      <c r="L47" s="95">
        <f>İnf!L158</f>
        <v>0</v>
      </c>
      <c r="M47" s="109">
        <f>İnf!M158</f>
        <v>1</v>
      </c>
      <c r="N47" s="96">
        <f>İnf!N158</f>
        <v>59.692307692307693</v>
      </c>
      <c r="O47" s="96">
        <f>İnf!O158</f>
        <v>0</v>
      </c>
      <c r="P47" s="96">
        <f>İnf!P158</f>
        <v>0</v>
      </c>
      <c r="Q47" s="96">
        <f>İnf!Q158</f>
        <v>0</v>
      </c>
      <c r="R47" s="96">
        <f>İnf!R158</f>
        <v>65.923076923076934</v>
      </c>
      <c r="S47" s="96">
        <f>İnf!S158</f>
        <v>0</v>
      </c>
      <c r="T47" s="96">
        <f>İnf!T158</f>
        <v>65.923076923076934</v>
      </c>
      <c r="U47" s="96">
        <f>İnf!U158</f>
        <v>0</v>
      </c>
      <c r="V47" s="96">
        <f>İnf!V158</f>
        <v>0</v>
      </c>
      <c r="W47" s="96">
        <f>İnf!W158</f>
        <v>0</v>
      </c>
      <c r="X47" s="96">
        <f>İnf!X158</f>
        <v>0</v>
      </c>
      <c r="Y47" s="96">
        <f>İnf!Y158</f>
        <v>0</v>
      </c>
      <c r="Z47" s="96">
        <f>İnf!Z158</f>
        <v>0</v>
      </c>
      <c r="AA47" s="96">
        <f>İnf!AA158</f>
        <v>0</v>
      </c>
      <c r="AB47" s="96">
        <f>İnf!AB158</f>
        <v>0</v>
      </c>
      <c r="AC47" s="96">
        <f>İnf!AC158</f>
        <v>65.923076923076934</v>
      </c>
      <c r="AD47" s="96">
        <f>İnf!AD158</f>
        <v>0</v>
      </c>
      <c r="AE47" s="96">
        <f>İnf!AE158</f>
        <v>65.923076923076934</v>
      </c>
      <c r="AF47" s="96">
        <f>İnf!AF158</f>
        <v>0</v>
      </c>
      <c r="AG47" s="95" t="str">
        <f>İnf!AG158</f>
        <v>Oğlanlar</v>
      </c>
    </row>
    <row r="48" spans="2:33" x14ac:dyDescent="0.25">
      <c r="B48" s="120"/>
      <c r="C48" s="97"/>
      <c r="D48" s="97"/>
      <c r="E48" s="97" t="s">
        <v>113</v>
      </c>
      <c r="F48" s="97">
        <f>Müəllimlər!O10</f>
        <v>0</v>
      </c>
      <c r="G48" s="97">
        <f>Müəllimlər!P10</f>
        <v>0</v>
      </c>
      <c r="H48" s="97">
        <f>Müəllimlər!Q10</f>
        <v>0</v>
      </c>
      <c r="I48" s="97">
        <f>Müəllimlər!R10</f>
        <v>0</v>
      </c>
      <c r="J48" s="97">
        <f>Müəllimlər!S10</f>
        <v>0</v>
      </c>
      <c r="K48" s="97"/>
      <c r="L48" s="97"/>
      <c r="M48" s="97"/>
      <c r="N48" s="96">
        <f>İnf!N159</f>
        <v>63.857142857142854</v>
      </c>
      <c r="O48" s="96">
        <f>İnf!O159</f>
        <v>0</v>
      </c>
      <c r="P48" s="96">
        <f>İnf!P159</f>
        <v>0</v>
      </c>
      <c r="Q48" s="96">
        <f>İnf!Q159</f>
        <v>0</v>
      </c>
      <c r="R48" s="96">
        <f>İnf!R159</f>
        <v>78.904761904761912</v>
      </c>
      <c r="S48" s="96">
        <f>İnf!S159</f>
        <v>0</v>
      </c>
      <c r="T48" s="96">
        <f>İnf!T159</f>
        <v>78.904761904761912</v>
      </c>
      <c r="U48" s="96">
        <f>İnf!U159</f>
        <v>0</v>
      </c>
      <c r="V48" s="96">
        <f>İnf!V159</f>
        <v>0</v>
      </c>
      <c r="W48" s="96">
        <f>İnf!W159</f>
        <v>0</v>
      </c>
      <c r="X48" s="96">
        <f>İnf!X159</f>
        <v>0</v>
      </c>
      <c r="Y48" s="96">
        <f>İnf!Y159</f>
        <v>0</v>
      </c>
      <c r="Z48" s="96">
        <f>İnf!Z159</f>
        <v>0</v>
      </c>
      <c r="AA48" s="96">
        <f>İnf!AA159</f>
        <v>0</v>
      </c>
      <c r="AB48" s="96">
        <f>İnf!AB159</f>
        <v>0</v>
      </c>
      <c r="AC48" s="96">
        <f>İnf!AC159</f>
        <v>78.904761904761912</v>
      </c>
      <c r="AD48" s="96">
        <f>İnf!AD159</f>
        <v>0</v>
      </c>
      <c r="AE48" s="96">
        <f>İnf!AE159</f>
        <v>78.904761904761912</v>
      </c>
      <c r="AF48" s="96">
        <f>İnf!AF159</f>
        <v>0</v>
      </c>
      <c r="AG48" s="95" t="str">
        <f>İnf!AG159</f>
        <v>Qızlar</v>
      </c>
    </row>
    <row r="49" spans="2:33" x14ac:dyDescent="0.25">
      <c r="B49" s="117"/>
      <c r="C49" s="106"/>
      <c r="D49" s="106"/>
      <c r="E49" s="106" t="s">
        <v>122</v>
      </c>
      <c r="F49" s="106">
        <f>Müəllimlər!T10</f>
        <v>0</v>
      </c>
      <c r="G49" s="106">
        <f>Müəllimlər!U10</f>
        <v>0</v>
      </c>
      <c r="H49" s="106">
        <f>Müəllimlər!V10</f>
        <v>0</v>
      </c>
      <c r="I49" s="106">
        <f>Müəllimlər!W10</f>
        <v>0</v>
      </c>
      <c r="J49" s="106">
        <f>Müəllimlər!X10</f>
        <v>0</v>
      </c>
      <c r="K49" s="106"/>
      <c r="L49" s="106"/>
      <c r="M49" s="106"/>
      <c r="N49" s="96">
        <f>İnf!N160</f>
        <v>25</v>
      </c>
      <c r="O49" s="96" t="str">
        <f>İnf!O160</f>
        <v/>
      </c>
      <c r="P49" s="96" t="str">
        <f>İnf!P160</f>
        <v/>
      </c>
      <c r="Q49" s="96" t="str">
        <f>İnf!Q160</f>
        <v/>
      </c>
      <c r="R49" s="96">
        <f>İnf!R160</f>
        <v>25</v>
      </c>
      <c r="S49" s="96" t="str">
        <f>İnf!S160</f>
        <v/>
      </c>
      <c r="T49" s="96">
        <f>İnf!T160</f>
        <v>25</v>
      </c>
      <c r="U49" s="96" t="str">
        <f>İnf!U160</f>
        <v/>
      </c>
      <c r="V49" s="96" t="str">
        <f>İnf!V160</f>
        <v/>
      </c>
      <c r="W49" s="96" t="str">
        <f>İnf!W160</f>
        <v/>
      </c>
      <c r="X49" s="96" t="str">
        <f>İnf!X160</f>
        <v/>
      </c>
      <c r="Y49" s="96" t="str">
        <f>İnf!Y160</f>
        <v/>
      </c>
      <c r="Z49" s="96" t="str">
        <f>İnf!Z160</f>
        <v/>
      </c>
      <c r="AA49" s="96" t="str">
        <f>İnf!AA160</f>
        <v/>
      </c>
      <c r="AB49" s="96" t="str">
        <f>İnf!AB160</f>
        <v/>
      </c>
      <c r="AC49" s="96">
        <f>İnf!AC160</f>
        <v>25</v>
      </c>
      <c r="AD49" s="96" t="str">
        <f>İnf!AD160</f>
        <v/>
      </c>
      <c r="AE49" s="96">
        <f>İnf!AE160</f>
        <v>25</v>
      </c>
      <c r="AF49" s="96" t="str">
        <f>İnf!AF160</f>
        <v/>
      </c>
      <c r="AG49" s="95" t="str">
        <f>İnf!AG160</f>
        <v>(80-100]</v>
      </c>
    </row>
    <row r="50" spans="2:33" x14ac:dyDescent="0.25">
      <c r="B50" s="117"/>
      <c r="C50" s="106"/>
      <c r="D50" s="106"/>
      <c r="E50" s="106" t="s">
        <v>119</v>
      </c>
      <c r="F50" s="106">
        <f>Müəllimlər!Y10</f>
        <v>0</v>
      </c>
      <c r="G50" s="106">
        <f>Müəllimlər!Z10</f>
        <v>0</v>
      </c>
      <c r="H50" s="106">
        <f>Müəllimlər!AA10</f>
        <v>0</v>
      </c>
      <c r="I50" s="106">
        <f>Müəllimlər!AB10</f>
        <v>0</v>
      </c>
      <c r="J50" s="106">
        <f>Müəllimlər!AC10</f>
        <v>0</v>
      </c>
      <c r="K50" s="106"/>
      <c r="L50" s="106"/>
      <c r="M50" s="106"/>
      <c r="N50" s="96">
        <f>İnf!N161</f>
        <v>20</v>
      </c>
      <c r="O50" s="96" t="str">
        <f>İnf!O161</f>
        <v/>
      </c>
      <c r="P50" s="96" t="str">
        <f>İnf!P161</f>
        <v/>
      </c>
      <c r="Q50" s="96" t="str">
        <f>İnf!Q161</f>
        <v/>
      </c>
      <c r="R50" s="96">
        <f>İnf!R161</f>
        <v>45</v>
      </c>
      <c r="S50" s="96" t="str">
        <f>İnf!S161</f>
        <v/>
      </c>
      <c r="T50" s="96">
        <f>İnf!T161</f>
        <v>45</v>
      </c>
      <c r="U50" s="96" t="str">
        <f>İnf!U161</f>
        <v/>
      </c>
      <c r="V50" s="96" t="str">
        <f>İnf!V161</f>
        <v/>
      </c>
      <c r="W50" s="96" t="str">
        <f>İnf!W161</f>
        <v/>
      </c>
      <c r="X50" s="96" t="str">
        <f>İnf!X161</f>
        <v/>
      </c>
      <c r="Y50" s="96" t="str">
        <f>İnf!Y161</f>
        <v/>
      </c>
      <c r="Z50" s="96" t="str">
        <f>İnf!Z161</f>
        <v/>
      </c>
      <c r="AA50" s="96" t="str">
        <f>İnf!AA161</f>
        <v/>
      </c>
      <c r="AB50" s="96" t="str">
        <f>İnf!AB161</f>
        <v/>
      </c>
      <c r="AC50" s="96">
        <f>İnf!AC161</f>
        <v>45</v>
      </c>
      <c r="AD50" s="96" t="str">
        <f>İnf!AD161</f>
        <v/>
      </c>
      <c r="AE50" s="96">
        <f>İnf!AE161</f>
        <v>45</v>
      </c>
      <c r="AF50" s="96" t="str">
        <f>İnf!AF161</f>
        <v/>
      </c>
      <c r="AG50" s="95" t="str">
        <f>İnf!AG161</f>
        <v>(60-80]</v>
      </c>
    </row>
    <row r="51" spans="2:33" x14ac:dyDescent="0.25">
      <c r="B51" s="120"/>
      <c r="C51" s="97"/>
      <c r="D51" s="97"/>
      <c r="E51" s="97" t="s">
        <v>120</v>
      </c>
      <c r="F51" s="97">
        <f>Müəllimlər!AD10</f>
        <v>0</v>
      </c>
      <c r="G51" s="97">
        <f>Müəllimlər!AE10</f>
        <v>0</v>
      </c>
      <c r="H51" s="97">
        <f>Müəllimlər!AF10</f>
        <v>0</v>
      </c>
      <c r="I51" s="97">
        <f>Müəllimlər!AG10</f>
        <v>0</v>
      </c>
      <c r="J51" s="97">
        <f>Müəllimlər!AH10</f>
        <v>0</v>
      </c>
      <c r="K51" s="97"/>
      <c r="L51" s="97"/>
      <c r="M51" s="97"/>
      <c r="N51" s="96">
        <f>İnf!N162</f>
        <v>55</v>
      </c>
      <c r="O51" s="96" t="str">
        <f>İnf!O162</f>
        <v/>
      </c>
      <c r="P51" s="96" t="str">
        <f>İnf!P162</f>
        <v/>
      </c>
      <c r="Q51" s="96" t="str">
        <f>İnf!Q162</f>
        <v/>
      </c>
      <c r="R51" s="96">
        <f>İnf!R162</f>
        <v>30</v>
      </c>
      <c r="S51" s="96" t="str">
        <f>İnf!S162</f>
        <v/>
      </c>
      <c r="T51" s="96">
        <f>İnf!T162</f>
        <v>30</v>
      </c>
      <c r="U51" s="96" t="str">
        <f>İnf!U162</f>
        <v/>
      </c>
      <c r="V51" s="96" t="str">
        <f>İnf!V162</f>
        <v/>
      </c>
      <c r="W51" s="96" t="str">
        <f>İnf!W162</f>
        <v/>
      </c>
      <c r="X51" s="96" t="str">
        <f>İnf!X162</f>
        <v/>
      </c>
      <c r="Y51" s="96" t="str">
        <f>İnf!Y162</f>
        <v/>
      </c>
      <c r="Z51" s="96" t="str">
        <f>İnf!Z162</f>
        <v/>
      </c>
      <c r="AA51" s="96" t="str">
        <f>İnf!AA162</f>
        <v/>
      </c>
      <c r="AB51" s="96" t="str">
        <f>İnf!AB162</f>
        <v/>
      </c>
      <c r="AC51" s="96">
        <f>İnf!AC162</f>
        <v>30</v>
      </c>
      <c r="AD51" s="96" t="str">
        <f>İnf!AD162</f>
        <v/>
      </c>
      <c r="AE51" s="96">
        <f>İnf!AE162</f>
        <v>30</v>
      </c>
      <c r="AF51" s="96" t="str">
        <f>İnf!AF162</f>
        <v/>
      </c>
      <c r="AG51" s="95" t="str">
        <f>İnf!AG162</f>
        <v>(30-60]</v>
      </c>
    </row>
    <row r="52" spans="2:33" x14ac:dyDescent="0.25">
      <c r="B52" s="120"/>
      <c r="C52" s="97"/>
      <c r="D52" s="97"/>
      <c r="E52" s="229" t="s">
        <v>121</v>
      </c>
      <c r="F52" s="97">
        <f>Müəllimlər!AI10</f>
        <v>0</v>
      </c>
      <c r="G52" s="97">
        <f>Müəllimlər!AJ10</f>
        <v>0</v>
      </c>
      <c r="H52" s="97">
        <f>Müəllimlər!AK10</f>
        <v>0</v>
      </c>
      <c r="I52" s="97">
        <f>Müəllimlər!AL10</f>
        <v>0</v>
      </c>
      <c r="J52" s="97">
        <f>Müəllimlər!AM10</f>
        <v>0</v>
      </c>
      <c r="K52" s="97"/>
      <c r="L52" s="97"/>
      <c r="M52" s="97"/>
      <c r="N52" s="96">
        <f>İnf!N163</f>
        <v>0</v>
      </c>
      <c r="O52" s="110" t="str">
        <f>İnf!O163</f>
        <v/>
      </c>
      <c r="P52" s="110" t="str">
        <f>İnf!P163</f>
        <v/>
      </c>
      <c r="Q52" s="110" t="str">
        <f>İnf!Q163</f>
        <v/>
      </c>
      <c r="R52" s="110">
        <f>İnf!R163</f>
        <v>0</v>
      </c>
      <c r="S52" s="110" t="str">
        <f>İnf!S163</f>
        <v/>
      </c>
      <c r="T52" s="110">
        <f>İnf!T163</f>
        <v>0</v>
      </c>
      <c r="U52" s="110" t="str">
        <f>İnf!U163</f>
        <v/>
      </c>
      <c r="V52" s="110" t="str">
        <f>İnf!V163</f>
        <v/>
      </c>
      <c r="W52" s="110" t="str">
        <f>İnf!W163</f>
        <v/>
      </c>
      <c r="X52" s="110" t="str">
        <f>İnf!X163</f>
        <v/>
      </c>
      <c r="Y52" s="110" t="str">
        <f>İnf!Y163</f>
        <v/>
      </c>
      <c r="Z52" s="110" t="str">
        <f>İnf!Z163</f>
        <v/>
      </c>
      <c r="AA52" s="110" t="str">
        <f>İnf!AA163</f>
        <v/>
      </c>
      <c r="AB52" s="110" t="str">
        <f>İnf!AB163</f>
        <v/>
      </c>
      <c r="AC52" s="110">
        <f>İnf!AC163</f>
        <v>0</v>
      </c>
      <c r="AD52" s="110" t="str">
        <f>İnf!AD163</f>
        <v/>
      </c>
      <c r="AE52" s="110">
        <f>İnf!AE163</f>
        <v>0</v>
      </c>
      <c r="AF52" s="110" t="str">
        <f>İnf!AF163</f>
        <v/>
      </c>
      <c r="AG52" s="111" t="str">
        <f>İnf!AG163</f>
        <v>[0-30]</v>
      </c>
    </row>
    <row r="53" spans="2:33" x14ac:dyDescent="0.25">
      <c r="B53" s="98">
        <f>'Az-t'!B157</f>
        <v>8</v>
      </c>
      <c r="C53" s="98" t="str">
        <f>'Az-t'!C157</f>
        <v>e</v>
      </c>
      <c r="D53" s="98" t="str">
        <f>'Az-t'!D157</f>
        <v>Azərbaycan tarixi</v>
      </c>
      <c r="E53" s="98" t="str">
        <f>'Az-t'!E157</f>
        <v>Bayramova Tahirə Müslüm</v>
      </c>
      <c r="F53" s="98">
        <f>'Az-t'!F157</f>
        <v>34</v>
      </c>
      <c r="G53" s="98" t="str">
        <f>'Az-t'!G157</f>
        <v>Azərbaycan</v>
      </c>
      <c r="H53" s="98">
        <f>'Az-t'!H157</f>
        <v>13</v>
      </c>
      <c r="I53" s="98">
        <f>'Az-t'!I157</f>
        <v>7</v>
      </c>
      <c r="J53" s="98">
        <f>'Az-t'!J157</f>
        <v>20</v>
      </c>
      <c r="K53" s="99">
        <f>'Az-t'!K157</f>
        <v>4.5248868778280542</v>
      </c>
      <c r="L53" s="99">
        <f>'Az-t'!L157</f>
        <v>3.7815126050420167</v>
      </c>
      <c r="M53" s="219">
        <f>'Az-t'!M157</f>
        <v>4.2647058823529411</v>
      </c>
      <c r="N53" s="99">
        <f>'Az-t'!N157</f>
        <v>61.45</v>
      </c>
      <c r="O53" s="99" t="str">
        <f>'Az-t'!O157</f>
        <v/>
      </c>
      <c r="P53" s="99" t="str">
        <f>'Az-t'!P157</f>
        <v/>
      </c>
      <c r="Q53" s="99" t="str">
        <f>'Az-t'!Q157</f>
        <v/>
      </c>
      <c r="R53" s="99">
        <f>'Az-t'!R157</f>
        <v>45.45</v>
      </c>
      <c r="S53" s="99" t="str">
        <f>'Az-t'!S157</f>
        <v/>
      </c>
      <c r="T53" s="99">
        <f>'Az-t'!T157</f>
        <v>45.45</v>
      </c>
      <c r="U53" s="99" t="str">
        <f>'Az-t'!U157</f>
        <v/>
      </c>
      <c r="V53" s="99" t="str">
        <f>'Az-t'!V157</f>
        <v/>
      </c>
      <c r="W53" s="99" t="str">
        <f>'Az-t'!W157</f>
        <v/>
      </c>
      <c r="X53" s="99" t="str">
        <f>'Az-t'!X157</f>
        <v/>
      </c>
      <c r="Y53" s="99" t="str">
        <f>'Az-t'!Y157</f>
        <v/>
      </c>
      <c r="Z53" s="99" t="str">
        <f>'Az-t'!Z157</f>
        <v/>
      </c>
      <c r="AA53" s="99" t="str">
        <f>'Az-t'!AA157</f>
        <v/>
      </c>
      <c r="AB53" s="99" t="str">
        <f>'Az-t'!AB157</f>
        <v/>
      </c>
      <c r="AC53" s="99">
        <f>'Az-t'!AC157</f>
        <v>45.45</v>
      </c>
      <c r="AD53" s="99" t="str">
        <f>'Az-t'!AD157</f>
        <v/>
      </c>
      <c r="AE53" s="99">
        <f>'Az-t'!AE157</f>
        <v>45.45</v>
      </c>
      <c r="AF53" s="99" t="str">
        <f>'Az-t'!AF157</f>
        <v/>
      </c>
      <c r="AG53" s="98" t="str">
        <f>'Az-t'!AG157</f>
        <v>Ümumi</v>
      </c>
    </row>
    <row r="54" spans="2:33" x14ac:dyDescent="0.25">
      <c r="B54" s="119"/>
      <c r="C54" s="100"/>
      <c r="D54" s="100"/>
      <c r="E54" s="100" t="s">
        <v>111</v>
      </c>
      <c r="F54" s="100">
        <f>Müəllimlər!J11</f>
        <v>0</v>
      </c>
      <c r="G54" s="100">
        <f>Müəllimlər!K11</f>
        <v>0</v>
      </c>
      <c r="H54" s="100">
        <f>Müəllimlər!L11</f>
        <v>0</v>
      </c>
      <c r="I54" s="100">
        <f>Müəllimlər!M11</f>
        <v>0</v>
      </c>
      <c r="J54" s="100">
        <f>Müəllimlər!N11</f>
        <v>0</v>
      </c>
      <c r="K54" s="98">
        <f>'Az-t'!K158</f>
        <v>20</v>
      </c>
      <c r="L54" s="98">
        <f>'Az-t'!L158</f>
        <v>9</v>
      </c>
      <c r="M54" s="112">
        <f>'Az-t'!M158</f>
        <v>29</v>
      </c>
      <c r="N54" s="99">
        <f>'Az-t'!N158</f>
        <v>57.384615384615387</v>
      </c>
      <c r="O54" s="99">
        <f>'Az-t'!O158</f>
        <v>0</v>
      </c>
      <c r="P54" s="99">
        <f>'Az-t'!P158</f>
        <v>0</v>
      </c>
      <c r="Q54" s="99">
        <f>'Az-t'!Q158</f>
        <v>0</v>
      </c>
      <c r="R54" s="99">
        <f>'Az-t'!R158</f>
        <v>41.948717948717942</v>
      </c>
      <c r="S54" s="99">
        <f>'Az-t'!S158</f>
        <v>0</v>
      </c>
      <c r="T54" s="99">
        <f>'Az-t'!T158</f>
        <v>41.948717948717942</v>
      </c>
      <c r="U54" s="99">
        <f>'Az-t'!U158</f>
        <v>0</v>
      </c>
      <c r="V54" s="99">
        <f>'Az-t'!V158</f>
        <v>0</v>
      </c>
      <c r="W54" s="99">
        <f>'Az-t'!W158</f>
        <v>0</v>
      </c>
      <c r="X54" s="99">
        <f>'Az-t'!X158</f>
        <v>0</v>
      </c>
      <c r="Y54" s="99">
        <f>'Az-t'!Y158</f>
        <v>0</v>
      </c>
      <c r="Z54" s="99">
        <f>'Az-t'!Z158</f>
        <v>0</v>
      </c>
      <c r="AA54" s="99">
        <f>'Az-t'!AA158</f>
        <v>0</v>
      </c>
      <c r="AB54" s="99">
        <f>'Az-t'!AB158</f>
        <v>0</v>
      </c>
      <c r="AC54" s="99">
        <f>'Az-t'!AC158</f>
        <v>41.948717948717942</v>
      </c>
      <c r="AD54" s="99">
        <f>'Az-t'!AD158</f>
        <v>0</v>
      </c>
      <c r="AE54" s="99">
        <f>'Az-t'!AE158</f>
        <v>41.948717948717942</v>
      </c>
      <c r="AF54" s="99">
        <f>'Az-t'!AF158</f>
        <v>0</v>
      </c>
      <c r="AG54" s="98" t="str">
        <f>'Az-t'!AG158</f>
        <v>Oğlanlar</v>
      </c>
    </row>
    <row r="55" spans="2:33" x14ac:dyDescent="0.25">
      <c r="B55" s="119"/>
      <c r="C55" s="100"/>
      <c r="D55" s="100"/>
      <c r="E55" s="100" t="s">
        <v>113</v>
      </c>
      <c r="F55" s="100">
        <f>Müəllimlər!O11</f>
        <v>0</v>
      </c>
      <c r="G55" s="100">
        <f>Müəllimlər!P11</f>
        <v>0</v>
      </c>
      <c r="H55" s="100">
        <f>Müəllimlər!Q11</f>
        <v>0</v>
      </c>
      <c r="I55" s="100">
        <f>Müəllimlər!R11</f>
        <v>0</v>
      </c>
      <c r="J55" s="100">
        <f>Müəllimlər!S11</f>
        <v>0</v>
      </c>
      <c r="K55" s="100"/>
      <c r="L55" s="100"/>
      <c r="M55" s="100"/>
      <c r="N55" s="99">
        <f>'Az-t'!N159</f>
        <v>69</v>
      </c>
      <c r="O55" s="99">
        <f>'Az-t'!O159</f>
        <v>0</v>
      </c>
      <c r="P55" s="99">
        <f>'Az-t'!P159</f>
        <v>0</v>
      </c>
      <c r="Q55" s="99">
        <f>'Az-t'!Q159</f>
        <v>0</v>
      </c>
      <c r="R55" s="99">
        <f>'Az-t'!R159</f>
        <v>51.952380952380949</v>
      </c>
      <c r="S55" s="99">
        <f>'Az-t'!S159</f>
        <v>0</v>
      </c>
      <c r="T55" s="99">
        <f>'Az-t'!T159</f>
        <v>51.952380952380949</v>
      </c>
      <c r="U55" s="99">
        <f>'Az-t'!U159</f>
        <v>0</v>
      </c>
      <c r="V55" s="99">
        <f>'Az-t'!V159</f>
        <v>0</v>
      </c>
      <c r="W55" s="99">
        <f>'Az-t'!W159</f>
        <v>0</v>
      </c>
      <c r="X55" s="99">
        <f>'Az-t'!X159</f>
        <v>0</v>
      </c>
      <c r="Y55" s="99">
        <f>'Az-t'!Y159</f>
        <v>0</v>
      </c>
      <c r="Z55" s="99">
        <f>'Az-t'!Z159</f>
        <v>0</v>
      </c>
      <c r="AA55" s="99">
        <f>'Az-t'!AA159</f>
        <v>0</v>
      </c>
      <c r="AB55" s="99">
        <f>'Az-t'!AB159</f>
        <v>0</v>
      </c>
      <c r="AC55" s="99">
        <f>'Az-t'!AC159</f>
        <v>51.952380952380949</v>
      </c>
      <c r="AD55" s="99">
        <f>'Az-t'!AD159</f>
        <v>0</v>
      </c>
      <c r="AE55" s="99">
        <f>'Az-t'!AE159</f>
        <v>51.952380952380949</v>
      </c>
      <c r="AF55" s="99">
        <f>'Az-t'!AF159</f>
        <v>0</v>
      </c>
      <c r="AG55" s="98" t="str">
        <f>'Az-t'!AG159</f>
        <v>Qızlar</v>
      </c>
    </row>
    <row r="56" spans="2:33" x14ac:dyDescent="0.25">
      <c r="B56" s="224"/>
      <c r="C56" s="222"/>
      <c r="D56" s="222"/>
      <c r="E56" s="222" t="s">
        <v>122</v>
      </c>
      <c r="F56" s="222">
        <f>Müəllimlər!T11</f>
        <v>0</v>
      </c>
      <c r="G56" s="222">
        <f>Müəllimlər!U11</f>
        <v>0</v>
      </c>
      <c r="H56" s="222">
        <f>Müəllimlər!V11</f>
        <v>0</v>
      </c>
      <c r="I56" s="222">
        <f>Müəllimlər!W11</f>
        <v>0</v>
      </c>
      <c r="J56" s="222">
        <f>Müəllimlər!X11</f>
        <v>0</v>
      </c>
      <c r="K56" s="222"/>
      <c r="L56" s="222"/>
      <c r="M56" s="222"/>
      <c r="N56" s="99">
        <f>'Az-t'!N160</f>
        <v>15</v>
      </c>
      <c r="O56" s="99" t="str">
        <f>'Az-t'!O160</f>
        <v/>
      </c>
      <c r="P56" s="99" t="str">
        <f>'Az-t'!P160</f>
        <v/>
      </c>
      <c r="Q56" s="99" t="str">
        <f>'Az-t'!Q160</f>
        <v/>
      </c>
      <c r="R56" s="99">
        <f>'Az-t'!R160</f>
        <v>0</v>
      </c>
      <c r="S56" s="99" t="str">
        <f>'Az-t'!S160</f>
        <v/>
      </c>
      <c r="T56" s="99">
        <f>'Az-t'!T160</f>
        <v>0</v>
      </c>
      <c r="U56" s="99" t="str">
        <f>'Az-t'!U160</f>
        <v/>
      </c>
      <c r="V56" s="99" t="str">
        <f>'Az-t'!V160</f>
        <v/>
      </c>
      <c r="W56" s="99" t="str">
        <f>'Az-t'!W160</f>
        <v/>
      </c>
      <c r="X56" s="99" t="str">
        <f>'Az-t'!X160</f>
        <v/>
      </c>
      <c r="Y56" s="99" t="str">
        <f>'Az-t'!Y160</f>
        <v/>
      </c>
      <c r="Z56" s="99" t="str">
        <f>'Az-t'!Z160</f>
        <v/>
      </c>
      <c r="AA56" s="99" t="str">
        <f>'Az-t'!AA160</f>
        <v/>
      </c>
      <c r="AB56" s="99" t="str">
        <f>'Az-t'!AB160</f>
        <v/>
      </c>
      <c r="AC56" s="99">
        <f>'Az-t'!AC160</f>
        <v>0</v>
      </c>
      <c r="AD56" s="99" t="str">
        <f>'Az-t'!AD160</f>
        <v/>
      </c>
      <c r="AE56" s="99">
        <f>'Az-t'!AE160</f>
        <v>0</v>
      </c>
      <c r="AF56" s="99" t="str">
        <f>'Az-t'!AF160</f>
        <v/>
      </c>
      <c r="AG56" s="98" t="str">
        <f>'Az-t'!AG160</f>
        <v>(80-100]</v>
      </c>
    </row>
    <row r="57" spans="2:33" x14ac:dyDescent="0.25">
      <c r="B57" s="224"/>
      <c r="C57" s="222"/>
      <c r="D57" s="222"/>
      <c r="E57" s="222" t="s">
        <v>119</v>
      </c>
      <c r="F57" s="222">
        <f>Müəllimlər!Y11</f>
        <v>0</v>
      </c>
      <c r="G57" s="222">
        <f>Müəllimlər!Z11</f>
        <v>0</v>
      </c>
      <c r="H57" s="222">
        <f>Müəllimlər!AA11</f>
        <v>0</v>
      </c>
      <c r="I57" s="222">
        <f>Müəllimlər!AB11</f>
        <v>0</v>
      </c>
      <c r="J57" s="222">
        <f>Müəllimlər!AC11</f>
        <v>0</v>
      </c>
      <c r="K57" s="222"/>
      <c r="L57" s="222"/>
      <c r="M57" s="222"/>
      <c r="N57" s="99">
        <f>'Az-t'!N161</f>
        <v>30</v>
      </c>
      <c r="O57" s="99" t="str">
        <f>'Az-t'!O161</f>
        <v/>
      </c>
      <c r="P57" s="99" t="str">
        <f>'Az-t'!P161</f>
        <v/>
      </c>
      <c r="Q57" s="99" t="str">
        <f>'Az-t'!Q161</f>
        <v/>
      </c>
      <c r="R57" s="99">
        <f>'Az-t'!R161</f>
        <v>20</v>
      </c>
      <c r="S57" s="99" t="str">
        <f>'Az-t'!S161</f>
        <v/>
      </c>
      <c r="T57" s="99">
        <f>'Az-t'!T161</f>
        <v>20</v>
      </c>
      <c r="U57" s="99" t="str">
        <f>'Az-t'!U161</f>
        <v/>
      </c>
      <c r="V57" s="99" t="str">
        <f>'Az-t'!V161</f>
        <v/>
      </c>
      <c r="W57" s="99" t="str">
        <f>'Az-t'!W161</f>
        <v/>
      </c>
      <c r="X57" s="99" t="str">
        <f>'Az-t'!X161</f>
        <v/>
      </c>
      <c r="Y57" s="99" t="str">
        <f>'Az-t'!Y161</f>
        <v/>
      </c>
      <c r="Z57" s="99" t="str">
        <f>'Az-t'!Z161</f>
        <v/>
      </c>
      <c r="AA57" s="99" t="str">
        <f>'Az-t'!AA161</f>
        <v/>
      </c>
      <c r="AB57" s="99" t="str">
        <f>'Az-t'!AB161</f>
        <v/>
      </c>
      <c r="AC57" s="99">
        <f>'Az-t'!AC161</f>
        <v>20</v>
      </c>
      <c r="AD57" s="99" t="str">
        <f>'Az-t'!AD161</f>
        <v/>
      </c>
      <c r="AE57" s="99">
        <f>'Az-t'!AE161</f>
        <v>20</v>
      </c>
      <c r="AF57" s="99" t="str">
        <f>'Az-t'!AF161</f>
        <v/>
      </c>
      <c r="AG57" s="98" t="str">
        <f>'Az-t'!AG161</f>
        <v>(60-80]</v>
      </c>
    </row>
    <row r="58" spans="2:33" x14ac:dyDescent="0.25">
      <c r="B58" s="119"/>
      <c r="C58" s="100"/>
      <c r="D58" s="100"/>
      <c r="E58" s="100" t="s">
        <v>120</v>
      </c>
      <c r="F58" s="100">
        <f>Müəllimlər!AD11</f>
        <v>0</v>
      </c>
      <c r="G58" s="100">
        <f>Müəllimlər!AE11</f>
        <v>0</v>
      </c>
      <c r="H58" s="100">
        <f>Müəllimlər!AF11</f>
        <v>0</v>
      </c>
      <c r="I58" s="100">
        <f>Müəllimlər!AG11</f>
        <v>0</v>
      </c>
      <c r="J58" s="100">
        <f>Müəllimlər!AH11</f>
        <v>0</v>
      </c>
      <c r="K58" s="100"/>
      <c r="L58" s="100"/>
      <c r="M58" s="100"/>
      <c r="N58" s="99">
        <f>'Az-t'!N162</f>
        <v>55</v>
      </c>
      <c r="O58" s="99" t="str">
        <f>'Az-t'!O162</f>
        <v/>
      </c>
      <c r="P58" s="99" t="str">
        <f>'Az-t'!P162</f>
        <v/>
      </c>
      <c r="Q58" s="99" t="str">
        <f>'Az-t'!Q162</f>
        <v/>
      </c>
      <c r="R58" s="99">
        <f>'Az-t'!R162</f>
        <v>80</v>
      </c>
      <c r="S58" s="99" t="str">
        <f>'Az-t'!S162</f>
        <v/>
      </c>
      <c r="T58" s="99">
        <f>'Az-t'!T162</f>
        <v>80</v>
      </c>
      <c r="U58" s="99" t="str">
        <f>'Az-t'!U162</f>
        <v/>
      </c>
      <c r="V58" s="99" t="str">
        <f>'Az-t'!V162</f>
        <v/>
      </c>
      <c r="W58" s="99" t="str">
        <f>'Az-t'!W162</f>
        <v/>
      </c>
      <c r="X58" s="99" t="str">
        <f>'Az-t'!X162</f>
        <v/>
      </c>
      <c r="Y58" s="99" t="str">
        <f>'Az-t'!Y162</f>
        <v/>
      </c>
      <c r="Z58" s="99" t="str">
        <f>'Az-t'!Z162</f>
        <v/>
      </c>
      <c r="AA58" s="99" t="str">
        <f>'Az-t'!AA162</f>
        <v/>
      </c>
      <c r="AB58" s="99" t="str">
        <f>'Az-t'!AB162</f>
        <v/>
      </c>
      <c r="AC58" s="99">
        <f>'Az-t'!AC162</f>
        <v>80</v>
      </c>
      <c r="AD58" s="99" t="str">
        <f>'Az-t'!AD162</f>
        <v/>
      </c>
      <c r="AE58" s="99">
        <f>'Az-t'!AE162</f>
        <v>80</v>
      </c>
      <c r="AF58" s="99" t="str">
        <f>'Az-t'!AF162</f>
        <v/>
      </c>
      <c r="AG58" s="98" t="str">
        <f>'Az-t'!AG162</f>
        <v>(30-60]</v>
      </c>
    </row>
    <row r="59" spans="2:33" x14ac:dyDescent="0.25">
      <c r="B59" s="119"/>
      <c r="C59" s="100"/>
      <c r="D59" s="100"/>
      <c r="E59" s="223" t="s">
        <v>121</v>
      </c>
      <c r="F59" s="100">
        <f>Müəllimlər!AI11</f>
        <v>0</v>
      </c>
      <c r="G59" s="100">
        <f>Müəllimlər!AJ11</f>
        <v>0</v>
      </c>
      <c r="H59" s="100">
        <f>Müəllimlər!AK11</f>
        <v>0</v>
      </c>
      <c r="I59" s="100">
        <f>Müəllimlər!AL11</f>
        <v>0</v>
      </c>
      <c r="J59" s="100">
        <f>Müəllimlər!AM11</f>
        <v>0</v>
      </c>
      <c r="K59" s="100"/>
      <c r="L59" s="100"/>
      <c r="M59" s="100"/>
      <c r="N59" s="99">
        <f>'Az-t'!N163</f>
        <v>0</v>
      </c>
      <c r="O59" s="107" t="str">
        <f>'Az-t'!O163</f>
        <v/>
      </c>
      <c r="P59" s="107" t="str">
        <f>'Az-t'!P163</f>
        <v/>
      </c>
      <c r="Q59" s="107" t="str">
        <f>'Az-t'!Q163</f>
        <v/>
      </c>
      <c r="R59" s="107">
        <f>'Az-t'!R163</f>
        <v>0</v>
      </c>
      <c r="S59" s="107" t="str">
        <f>'Az-t'!S163</f>
        <v/>
      </c>
      <c r="T59" s="107">
        <f>'Az-t'!T163</f>
        <v>0</v>
      </c>
      <c r="U59" s="107" t="str">
        <f>'Az-t'!U163</f>
        <v/>
      </c>
      <c r="V59" s="107" t="str">
        <f>'Az-t'!V163</f>
        <v/>
      </c>
      <c r="W59" s="107" t="str">
        <f>'Az-t'!W163</f>
        <v/>
      </c>
      <c r="X59" s="107" t="str">
        <f>'Az-t'!X163</f>
        <v/>
      </c>
      <c r="Y59" s="107" t="str">
        <f>'Az-t'!Y163</f>
        <v/>
      </c>
      <c r="Z59" s="107" t="str">
        <f>'Az-t'!Z163</f>
        <v/>
      </c>
      <c r="AA59" s="107" t="str">
        <f>'Az-t'!AA163</f>
        <v/>
      </c>
      <c r="AB59" s="107" t="str">
        <f>'Az-t'!AB163</f>
        <v/>
      </c>
      <c r="AC59" s="107">
        <f>'Az-t'!AC163</f>
        <v>0</v>
      </c>
      <c r="AD59" s="107" t="str">
        <f>'Az-t'!AD163</f>
        <v/>
      </c>
      <c r="AE59" s="107">
        <f>'Az-t'!AE163</f>
        <v>0</v>
      </c>
      <c r="AF59" s="107" t="str">
        <f>'Az-t'!AF163</f>
        <v/>
      </c>
      <c r="AG59" s="108" t="str">
        <f>'Az-t'!AG163</f>
        <v>[0-30]</v>
      </c>
    </row>
    <row r="60" spans="2:33" x14ac:dyDescent="0.25">
      <c r="B60" s="95">
        <f>'Ü-t'!B157</f>
        <v>8</v>
      </c>
      <c r="C60" s="95" t="str">
        <f>'Ü-t'!C157</f>
        <v>e</v>
      </c>
      <c r="D60" s="95" t="str">
        <f>'Ü-t'!D157</f>
        <v>Ümumi tarix</v>
      </c>
      <c r="E60" s="95" t="str">
        <f>'Ü-t'!E157</f>
        <v>Bayramova Tahirə Müslüm</v>
      </c>
      <c r="F60" s="95">
        <f>'Ü-t'!F157</f>
        <v>34</v>
      </c>
      <c r="G60" s="95" t="str">
        <f>'Ü-t'!G157</f>
        <v>Azərbaycan</v>
      </c>
      <c r="H60" s="95">
        <f>'Ü-t'!H157</f>
        <v>13</v>
      </c>
      <c r="I60" s="95">
        <f>'Ü-t'!I157</f>
        <v>7</v>
      </c>
      <c r="J60" s="95">
        <f>'Ü-t'!J157</f>
        <v>20</v>
      </c>
      <c r="K60" s="96">
        <f>'Ü-t'!K157</f>
        <v>1.1312217194570136</v>
      </c>
      <c r="L60" s="96">
        <f>'Ü-t'!L157</f>
        <v>1.680672268907563</v>
      </c>
      <c r="M60" s="113">
        <f>'Ü-t'!M157</f>
        <v>1.3235294117647058</v>
      </c>
      <c r="N60" s="96">
        <f>'Ü-t'!N157</f>
        <v>61.9</v>
      </c>
      <c r="O60" s="96" t="str">
        <f>'Ü-t'!O157</f>
        <v/>
      </c>
      <c r="P60" s="96" t="str">
        <f>'Ü-t'!P157</f>
        <v/>
      </c>
      <c r="Q60" s="96" t="str">
        <f>'Ü-t'!Q157</f>
        <v/>
      </c>
      <c r="R60" s="96">
        <f>'Ü-t'!R157</f>
        <v>43.516666666666666</v>
      </c>
      <c r="S60" s="96" t="str">
        <f>'Ü-t'!S157</f>
        <v/>
      </c>
      <c r="T60" s="96">
        <f>'Ü-t'!T157</f>
        <v>43.516666666666666</v>
      </c>
      <c r="U60" s="96" t="str">
        <f>'Ü-t'!U157</f>
        <v/>
      </c>
      <c r="V60" s="96" t="str">
        <f>'Ü-t'!V157</f>
        <v/>
      </c>
      <c r="W60" s="96" t="str">
        <f>'Ü-t'!W157</f>
        <v/>
      </c>
      <c r="X60" s="96" t="str">
        <f>'Ü-t'!X157</f>
        <v/>
      </c>
      <c r="Y60" s="96" t="str">
        <f>'Ü-t'!Y157</f>
        <v/>
      </c>
      <c r="Z60" s="96" t="str">
        <f>'Ü-t'!Z157</f>
        <v/>
      </c>
      <c r="AA60" s="96" t="str">
        <f>'Ü-t'!AA157</f>
        <v/>
      </c>
      <c r="AB60" s="96" t="str">
        <f>'Ü-t'!AB157</f>
        <v/>
      </c>
      <c r="AC60" s="96">
        <f>'Ü-t'!AC157</f>
        <v>43.516666666666666</v>
      </c>
      <c r="AD60" s="96" t="str">
        <f>'Ü-t'!AD157</f>
        <v/>
      </c>
      <c r="AE60" s="96">
        <f>'Ü-t'!AE157</f>
        <v>43.516666666666666</v>
      </c>
      <c r="AF60" s="96" t="str">
        <f>'Ü-t'!AF157</f>
        <v/>
      </c>
      <c r="AG60" s="96" t="str">
        <f>'Ü-t'!AG157</f>
        <v>Ümumi</v>
      </c>
    </row>
    <row r="61" spans="2:33" x14ac:dyDescent="0.25">
      <c r="B61" s="120"/>
      <c r="C61" s="97"/>
      <c r="D61" s="97"/>
      <c r="E61" s="97" t="s">
        <v>111</v>
      </c>
      <c r="F61" s="97">
        <f>Müəllimlər!J12</f>
        <v>0</v>
      </c>
      <c r="G61" s="97">
        <f>Müəllimlər!K12</f>
        <v>0</v>
      </c>
      <c r="H61" s="97">
        <f>Müəllimlər!L12</f>
        <v>0</v>
      </c>
      <c r="I61" s="97">
        <f>Müəllimlər!M12</f>
        <v>0</v>
      </c>
      <c r="J61" s="97">
        <f>Müəllimlər!N12</f>
        <v>0</v>
      </c>
      <c r="K61" s="95">
        <f>'Ü-t'!K158</f>
        <v>5</v>
      </c>
      <c r="L61" s="95">
        <f>'Ü-t'!L158</f>
        <v>4</v>
      </c>
      <c r="M61" s="109">
        <f>'Ü-t'!M158</f>
        <v>9</v>
      </c>
      <c r="N61" s="96">
        <f>'Ü-t'!N158</f>
        <v>57.230769230769234</v>
      </c>
      <c r="O61" s="96">
        <f>'Ü-t'!O158</f>
        <v>0</v>
      </c>
      <c r="P61" s="96">
        <f>'Ü-t'!P158</f>
        <v>0</v>
      </c>
      <c r="Q61" s="96">
        <f>'Ü-t'!Q158</f>
        <v>0</v>
      </c>
      <c r="R61" s="96">
        <f>'Ü-t'!R158</f>
        <v>39.230769230769234</v>
      </c>
      <c r="S61" s="96">
        <f>'Ü-t'!S158</f>
        <v>0</v>
      </c>
      <c r="T61" s="96">
        <f>'Ü-t'!T158</f>
        <v>39.230769230769234</v>
      </c>
      <c r="U61" s="96">
        <f>'Ü-t'!U158</f>
        <v>0</v>
      </c>
      <c r="V61" s="96">
        <f>'Ü-t'!V158</f>
        <v>0</v>
      </c>
      <c r="W61" s="96">
        <f>'Ü-t'!W158</f>
        <v>0</v>
      </c>
      <c r="X61" s="96">
        <f>'Ü-t'!X158</f>
        <v>0</v>
      </c>
      <c r="Y61" s="96">
        <f>'Ü-t'!Y158</f>
        <v>0</v>
      </c>
      <c r="Z61" s="96">
        <f>'Ü-t'!Z158</f>
        <v>0</v>
      </c>
      <c r="AA61" s="96">
        <f>'Ü-t'!AA158</f>
        <v>0</v>
      </c>
      <c r="AB61" s="96">
        <f>'Ü-t'!AB158</f>
        <v>0</v>
      </c>
      <c r="AC61" s="96">
        <f>'Ü-t'!AC158</f>
        <v>39.230769230769234</v>
      </c>
      <c r="AD61" s="96">
        <f>'Ü-t'!AD158</f>
        <v>0</v>
      </c>
      <c r="AE61" s="96">
        <f>'Ü-t'!AE158</f>
        <v>39.230769230769234</v>
      </c>
      <c r="AF61" s="96">
        <f>'Ü-t'!AF158</f>
        <v>0</v>
      </c>
      <c r="AG61" s="96" t="str">
        <f>'Ü-t'!AG158</f>
        <v>Oğlanlar</v>
      </c>
    </row>
    <row r="62" spans="2:33" x14ac:dyDescent="0.25">
      <c r="B62" s="120"/>
      <c r="C62" s="97"/>
      <c r="D62" s="97"/>
      <c r="E62" s="97" t="s">
        <v>113</v>
      </c>
      <c r="F62" s="97">
        <f>Müəllimlər!O12</f>
        <v>0</v>
      </c>
      <c r="G62" s="97">
        <f>Müəllimlər!P12</f>
        <v>0</v>
      </c>
      <c r="H62" s="97">
        <f>Müəllimlər!Q12</f>
        <v>0</v>
      </c>
      <c r="I62" s="97">
        <f>Müəllimlər!R12</f>
        <v>0</v>
      </c>
      <c r="J62" s="97">
        <f>Müəllimlər!S12</f>
        <v>0</v>
      </c>
      <c r="K62" s="97"/>
      <c r="L62" s="97"/>
      <c r="M62" s="97"/>
      <c r="N62" s="96">
        <f>'Ü-t'!N159</f>
        <v>70.571428571428569</v>
      </c>
      <c r="O62" s="96">
        <f>'Ü-t'!O159</f>
        <v>0</v>
      </c>
      <c r="P62" s="96">
        <f>'Ü-t'!P159</f>
        <v>0</v>
      </c>
      <c r="Q62" s="96">
        <f>'Ü-t'!Q159</f>
        <v>0</v>
      </c>
      <c r="R62" s="96">
        <f>'Ü-t'!R159</f>
        <v>51.476190476190474</v>
      </c>
      <c r="S62" s="96">
        <f>'Ü-t'!S159</f>
        <v>0</v>
      </c>
      <c r="T62" s="96">
        <f>'Ü-t'!T159</f>
        <v>51.476190476190474</v>
      </c>
      <c r="U62" s="96">
        <f>'Ü-t'!U159</f>
        <v>0</v>
      </c>
      <c r="V62" s="96">
        <f>'Ü-t'!V159</f>
        <v>0</v>
      </c>
      <c r="W62" s="96">
        <f>'Ü-t'!W159</f>
        <v>0</v>
      </c>
      <c r="X62" s="96">
        <f>'Ü-t'!X159</f>
        <v>0</v>
      </c>
      <c r="Y62" s="96">
        <f>'Ü-t'!Y159</f>
        <v>0</v>
      </c>
      <c r="Z62" s="96">
        <f>'Ü-t'!Z159</f>
        <v>0</v>
      </c>
      <c r="AA62" s="96">
        <f>'Ü-t'!AA159</f>
        <v>0</v>
      </c>
      <c r="AB62" s="96">
        <f>'Ü-t'!AB159</f>
        <v>0</v>
      </c>
      <c r="AC62" s="96">
        <f>'Ü-t'!AC159</f>
        <v>51.476190476190474</v>
      </c>
      <c r="AD62" s="96">
        <f>'Ü-t'!AD159</f>
        <v>0</v>
      </c>
      <c r="AE62" s="96">
        <f>'Ü-t'!AE159</f>
        <v>51.476190476190474</v>
      </c>
      <c r="AF62" s="96">
        <f>'Ü-t'!AF159</f>
        <v>0</v>
      </c>
      <c r="AG62" s="96" t="str">
        <f>'Ü-t'!AG159</f>
        <v>Qızlar</v>
      </c>
    </row>
    <row r="63" spans="2:33" x14ac:dyDescent="0.25">
      <c r="B63" s="117"/>
      <c r="C63" s="106"/>
      <c r="D63" s="106"/>
      <c r="E63" s="106" t="s">
        <v>122</v>
      </c>
      <c r="F63" s="106">
        <f>Müəllimlər!T12</f>
        <v>0</v>
      </c>
      <c r="G63" s="106">
        <f>Müəllimlər!U12</f>
        <v>0</v>
      </c>
      <c r="H63" s="106">
        <f>Müəllimlər!V12</f>
        <v>0</v>
      </c>
      <c r="I63" s="106">
        <f>Müəllimlər!W12</f>
        <v>0</v>
      </c>
      <c r="J63" s="106">
        <f>Müəllimlər!X12</f>
        <v>0</v>
      </c>
      <c r="K63" s="106"/>
      <c r="L63" s="106"/>
      <c r="M63" s="106"/>
      <c r="N63" s="96">
        <f>'Ü-t'!N160</f>
        <v>20</v>
      </c>
      <c r="O63" s="96" t="str">
        <f>'Ü-t'!O160</f>
        <v/>
      </c>
      <c r="P63" s="96" t="str">
        <f>'Ü-t'!P160</f>
        <v/>
      </c>
      <c r="Q63" s="96" t="str">
        <f>'Ü-t'!Q160</f>
        <v/>
      </c>
      <c r="R63" s="96">
        <f>'Ü-t'!R160</f>
        <v>5</v>
      </c>
      <c r="S63" s="96" t="str">
        <f>'Ü-t'!S160</f>
        <v/>
      </c>
      <c r="T63" s="96">
        <f>'Ü-t'!T160</f>
        <v>5</v>
      </c>
      <c r="U63" s="96" t="str">
        <f>'Ü-t'!U160</f>
        <v/>
      </c>
      <c r="V63" s="96" t="str">
        <f>'Ü-t'!V160</f>
        <v/>
      </c>
      <c r="W63" s="96" t="str">
        <f>'Ü-t'!W160</f>
        <v/>
      </c>
      <c r="X63" s="96" t="str">
        <f>'Ü-t'!X160</f>
        <v/>
      </c>
      <c r="Y63" s="96" t="str">
        <f>'Ü-t'!Y160</f>
        <v/>
      </c>
      <c r="Z63" s="96" t="str">
        <f>'Ü-t'!Z160</f>
        <v/>
      </c>
      <c r="AA63" s="96" t="str">
        <f>'Ü-t'!AA160</f>
        <v/>
      </c>
      <c r="AB63" s="96" t="str">
        <f>'Ü-t'!AB160</f>
        <v/>
      </c>
      <c r="AC63" s="96">
        <f>'Ü-t'!AC160</f>
        <v>5</v>
      </c>
      <c r="AD63" s="96" t="str">
        <f>'Ü-t'!AD160</f>
        <v/>
      </c>
      <c r="AE63" s="96">
        <f>'Ü-t'!AE160</f>
        <v>5</v>
      </c>
      <c r="AF63" s="96" t="str">
        <f>'Ü-t'!AF160</f>
        <v/>
      </c>
      <c r="AG63" s="96" t="str">
        <f>'Ü-t'!AG160</f>
        <v>(80-100]</v>
      </c>
    </row>
    <row r="64" spans="2:33" x14ac:dyDescent="0.25">
      <c r="B64" s="117"/>
      <c r="C64" s="106"/>
      <c r="D64" s="106"/>
      <c r="E64" s="106" t="s">
        <v>119</v>
      </c>
      <c r="F64" s="106">
        <f>Müəllimlər!Y12</f>
        <v>0</v>
      </c>
      <c r="G64" s="106">
        <f>Müəllimlər!Z12</f>
        <v>0</v>
      </c>
      <c r="H64" s="106">
        <f>Müəllimlər!AA12</f>
        <v>0</v>
      </c>
      <c r="I64" s="106">
        <f>Müəllimlər!AB12</f>
        <v>0</v>
      </c>
      <c r="J64" s="106">
        <f>Müəllimlər!AC12</f>
        <v>0</v>
      </c>
      <c r="K64" s="106"/>
      <c r="L64" s="106"/>
      <c r="M64" s="106"/>
      <c r="N64" s="96">
        <f>'Ü-t'!N161</f>
        <v>30</v>
      </c>
      <c r="O64" s="96" t="str">
        <f>'Ü-t'!O161</f>
        <v/>
      </c>
      <c r="P64" s="96" t="str">
        <f>'Ü-t'!P161</f>
        <v/>
      </c>
      <c r="Q64" s="96" t="str">
        <f>'Ü-t'!Q161</f>
        <v/>
      </c>
      <c r="R64" s="96">
        <f>'Ü-t'!R161</f>
        <v>15</v>
      </c>
      <c r="S64" s="96" t="str">
        <f>'Ü-t'!S161</f>
        <v/>
      </c>
      <c r="T64" s="96">
        <f>'Ü-t'!T161</f>
        <v>15</v>
      </c>
      <c r="U64" s="96" t="str">
        <f>'Ü-t'!U161</f>
        <v/>
      </c>
      <c r="V64" s="96" t="str">
        <f>'Ü-t'!V161</f>
        <v/>
      </c>
      <c r="W64" s="96" t="str">
        <f>'Ü-t'!W161</f>
        <v/>
      </c>
      <c r="X64" s="96" t="str">
        <f>'Ü-t'!X161</f>
        <v/>
      </c>
      <c r="Y64" s="96" t="str">
        <f>'Ü-t'!Y161</f>
        <v/>
      </c>
      <c r="Z64" s="96" t="str">
        <f>'Ü-t'!Z161</f>
        <v/>
      </c>
      <c r="AA64" s="96" t="str">
        <f>'Ü-t'!AA161</f>
        <v/>
      </c>
      <c r="AB64" s="96" t="str">
        <f>'Ü-t'!AB161</f>
        <v/>
      </c>
      <c r="AC64" s="96">
        <f>'Ü-t'!AC161</f>
        <v>15</v>
      </c>
      <c r="AD64" s="96" t="str">
        <f>'Ü-t'!AD161</f>
        <v/>
      </c>
      <c r="AE64" s="96">
        <f>'Ü-t'!AE161</f>
        <v>15</v>
      </c>
      <c r="AF64" s="96" t="str">
        <f>'Ü-t'!AF161</f>
        <v/>
      </c>
      <c r="AG64" s="96" t="str">
        <f>'Ü-t'!AG161</f>
        <v>(60-80]</v>
      </c>
    </row>
    <row r="65" spans="2:33" x14ac:dyDescent="0.25">
      <c r="B65" s="120"/>
      <c r="C65" s="97"/>
      <c r="D65" s="97"/>
      <c r="E65" s="97" t="s">
        <v>120</v>
      </c>
      <c r="F65" s="97">
        <f>Müəllimlər!AD12</f>
        <v>0</v>
      </c>
      <c r="G65" s="97">
        <f>Müəllimlər!AE12</f>
        <v>0</v>
      </c>
      <c r="H65" s="97">
        <f>Müəllimlər!AF12</f>
        <v>0</v>
      </c>
      <c r="I65" s="97">
        <f>Müəllimlər!AG12</f>
        <v>0</v>
      </c>
      <c r="J65" s="97">
        <f>Müəllimlər!AH12</f>
        <v>0</v>
      </c>
      <c r="K65" s="97"/>
      <c r="L65" s="97"/>
      <c r="M65" s="97"/>
      <c r="N65" s="96">
        <f>'Ü-t'!N162</f>
        <v>50</v>
      </c>
      <c r="O65" s="96" t="str">
        <f>'Ü-t'!O162</f>
        <v/>
      </c>
      <c r="P65" s="96" t="str">
        <f>'Ü-t'!P162</f>
        <v/>
      </c>
      <c r="Q65" s="96" t="str">
        <f>'Ü-t'!Q162</f>
        <v/>
      </c>
      <c r="R65" s="96">
        <f>'Ü-t'!R162</f>
        <v>75</v>
      </c>
      <c r="S65" s="96" t="str">
        <f>'Ü-t'!S162</f>
        <v/>
      </c>
      <c r="T65" s="96">
        <f>'Ü-t'!T162</f>
        <v>75</v>
      </c>
      <c r="U65" s="96" t="str">
        <f>'Ü-t'!U162</f>
        <v/>
      </c>
      <c r="V65" s="96" t="str">
        <f>'Ü-t'!V162</f>
        <v/>
      </c>
      <c r="W65" s="96" t="str">
        <f>'Ü-t'!W162</f>
        <v/>
      </c>
      <c r="X65" s="96" t="str">
        <f>'Ü-t'!X162</f>
        <v/>
      </c>
      <c r="Y65" s="96" t="str">
        <f>'Ü-t'!Y162</f>
        <v/>
      </c>
      <c r="Z65" s="96" t="str">
        <f>'Ü-t'!Z162</f>
        <v/>
      </c>
      <c r="AA65" s="96" t="str">
        <f>'Ü-t'!AA162</f>
        <v/>
      </c>
      <c r="AB65" s="96" t="str">
        <f>'Ü-t'!AB162</f>
        <v/>
      </c>
      <c r="AC65" s="96">
        <f>'Ü-t'!AC162</f>
        <v>75</v>
      </c>
      <c r="AD65" s="96" t="str">
        <f>'Ü-t'!AD162</f>
        <v/>
      </c>
      <c r="AE65" s="96">
        <f>'Ü-t'!AE162</f>
        <v>75</v>
      </c>
      <c r="AF65" s="96" t="str">
        <f>'Ü-t'!AF162</f>
        <v/>
      </c>
      <c r="AG65" s="96" t="str">
        <f>'Ü-t'!AG162</f>
        <v>(30-60]</v>
      </c>
    </row>
    <row r="66" spans="2:33" x14ac:dyDescent="0.25">
      <c r="B66" s="120"/>
      <c r="C66" s="97"/>
      <c r="D66" s="97"/>
      <c r="E66" s="229" t="s">
        <v>121</v>
      </c>
      <c r="F66" s="97">
        <f>Müəllimlər!AI12</f>
        <v>0</v>
      </c>
      <c r="G66" s="97">
        <f>Müəllimlər!AJ12</f>
        <v>0</v>
      </c>
      <c r="H66" s="97">
        <f>Müəllimlər!AK12</f>
        <v>0</v>
      </c>
      <c r="I66" s="97">
        <f>Müəllimlər!AL12</f>
        <v>0</v>
      </c>
      <c r="J66" s="97">
        <f>Müəllimlər!AM12</f>
        <v>0</v>
      </c>
      <c r="K66" s="97"/>
      <c r="L66" s="97"/>
      <c r="M66" s="97"/>
      <c r="N66" s="96">
        <f>'Ü-t'!N163</f>
        <v>0</v>
      </c>
      <c r="O66" s="110" t="str">
        <f>'Ü-t'!O163</f>
        <v/>
      </c>
      <c r="P66" s="110" t="str">
        <f>'Ü-t'!P163</f>
        <v/>
      </c>
      <c r="Q66" s="110" t="str">
        <f>'Ü-t'!Q163</f>
        <v/>
      </c>
      <c r="R66" s="110">
        <f>'Ü-t'!R163</f>
        <v>5</v>
      </c>
      <c r="S66" s="110" t="str">
        <f>'Ü-t'!S163</f>
        <v/>
      </c>
      <c r="T66" s="110">
        <f>'Ü-t'!T163</f>
        <v>5</v>
      </c>
      <c r="U66" s="110" t="str">
        <f>'Ü-t'!U163</f>
        <v/>
      </c>
      <c r="V66" s="110" t="str">
        <f>'Ü-t'!V163</f>
        <v/>
      </c>
      <c r="W66" s="110" t="str">
        <f>'Ü-t'!W163</f>
        <v/>
      </c>
      <c r="X66" s="110" t="str">
        <f>'Ü-t'!X163</f>
        <v/>
      </c>
      <c r="Y66" s="110" t="str">
        <f>'Ü-t'!Y163</f>
        <v/>
      </c>
      <c r="Z66" s="110" t="str">
        <f>'Ü-t'!Z163</f>
        <v/>
      </c>
      <c r="AA66" s="110" t="str">
        <f>'Ü-t'!AA163</f>
        <v/>
      </c>
      <c r="AB66" s="110" t="str">
        <f>'Ü-t'!AB163</f>
        <v/>
      </c>
      <c r="AC66" s="110">
        <f>'Ü-t'!AC163</f>
        <v>5</v>
      </c>
      <c r="AD66" s="110" t="str">
        <f>'Ü-t'!AD163</f>
        <v/>
      </c>
      <c r="AE66" s="110">
        <f>'Ü-t'!AE163</f>
        <v>5</v>
      </c>
      <c r="AF66" s="110" t="str">
        <f>'Ü-t'!AF163</f>
        <v/>
      </c>
      <c r="AG66" s="110" t="str">
        <f>'Ü-t'!AG163</f>
        <v>[0-30]</v>
      </c>
    </row>
    <row r="67" spans="2:33" x14ac:dyDescent="0.25">
      <c r="B67" s="98">
        <f>Fiz!B157</f>
        <v>8</v>
      </c>
      <c r="C67" s="98" t="str">
        <f>Fiz!C157</f>
        <v>e</v>
      </c>
      <c r="D67" s="98" t="str">
        <f>Fiz!D157</f>
        <v>Fizika</v>
      </c>
      <c r="E67" s="98" t="str">
        <f>Fiz!E157</f>
        <v>Süleymanava Nərminə Əlövsət</v>
      </c>
      <c r="F67" s="98">
        <f>Fiz!F157</f>
        <v>68</v>
      </c>
      <c r="G67" s="98" t="str">
        <f>Fiz!G157</f>
        <v>Azərbaycan</v>
      </c>
      <c r="H67" s="98">
        <f>Fiz!H157</f>
        <v>13</v>
      </c>
      <c r="I67" s="98">
        <f>Fiz!I157</f>
        <v>7</v>
      </c>
      <c r="J67" s="98">
        <f>Fiz!J157</f>
        <v>20</v>
      </c>
      <c r="K67" s="99">
        <f>Fiz!K157</f>
        <v>5.0904977375565608</v>
      </c>
      <c r="L67" s="99">
        <f>Fiz!L157</f>
        <v>4.8319327731092434</v>
      </c>
      <c r="M67" s="219">
        <f>Fiz!M157</f>
        <v>5</v>
      </c>
      <c r="N67" s="99">
        <f>Fiz!N157</f>
        <v>62.4</v>
      </c>
      <c r="O67" s="99" t="str">
        <f>Fiz!O157</f>
        <v/>
      </c>
      <c r="P67" s="99" t="str">
        <f>Fiz!P157</f>
        <v/>
      </c>
      <c r="Q67" s="99" t="str">
        <f>Fiz!Q157</f>
        <v/>
      </c>
      <c r="R67" s="99">
        <f>Fiz!R157</f>
        <v>58.4</v>
      </c>
      <c r="S67" s="99" t="str">
        <f>Fiz!S157</f>
        <v/>
      </c>
      <c r="T67" s="99">
        <f>Fiz!T157</f>
        <v>58.4</v>
      </c>
      <c r="U67" s="99" t="str">
        <f>Fiz!U157</f>
        <v/>
      </c>
      <c r="V67" s="99" t="str">
        <f>Fiz!V157</f>
        <v/>
      </c>
      <c r="W67" s="99" t="str">
        <f>Fiz!W157</f>
        <v/>
      </c>
      <c r="X67" s="99" t="str">
        <f>Fiz!X157</f>
        <v/>
      </c>
      <c r="Y67" s="99" t="str">
        <f>Fiz!Y157</f>
        <v/>
      </c>
      <c r="Z67" s="99" t="str">
        <f>Fiz!Z157</f>
        <v/>
      </c>
      <c r="AA67" s="99" t="str">
        <f>Fiz!AA157</f>
        <v/>
      </c>
      <c r="AB67" s="99" t="str">
        <f>Fiz!AB157</f>
        <v/>
      </c>
      <c r="AC67" s="99">
        <f>Fiz!AC157</f>
        <v>58.4</v>
      </c>
      <c r="AD67" s="99" t="str">
        <f>Fiz!AD157</f>
        <v/>
      </c>
      <c r="AE67" s="99">
        <f>Fiz!AE157</f>
        <v>58.4</v>
      </c>
      <c r="AF67" s="99" t="str">
        <f>Fiz!AF157</f>
        <v/>
      </c>
      <c r="AG67" s="98" t="str">
        <f>Fiz!AG157</f>
        <v>Ümumi</v>
      </c>
    </row>
    <row r="68" spans="2:33" x14ac:dyDescent="0.25">
      <c r="B68" s="119"/>
      <c r="C68" s="100"/>
      <c r="D68" s="100"/>
      <c r="E68" s="100" t="s">
        <v>111</v>
      </c>
      <c r="F68" s="100">
        <f>Müəllimlər!J13</f>
        <v>0</v>
      </c>
      <c r="G68" s="100">
        <f>Müəllimlər!K13</f>
        <v>0</v>
      </c>
      <c r="H68" s="100">
        <f>Müəllimlər!L13</f>
        <v>0</v>
      </c>
      <c r="I68" s="100">
        <f>Müəllimlər!M13</f>
        <v>0</v>
      </c>
      <c r="J68" s="100">
        <f>Müəllimlər!N13</f>
        <v>0</v>
      </c>
      <c r="K68" s="98">
        <f>Fiz!K158</f>
        <v>45</v>
      </c>
      <c r="L68" s="98">
        <f>Fiz!L158</f>
        <v>23</v>
      </c>
      <c r="M68" s="112">
        <f>Fiz!M158</f>
        <v>68</v>
      </c>
      <c r="N68" s="99">
        <f>Fiz!N158</f>
        <v>56.384615384615387</v>
      </c>
      <c r="O68" s="99">
        <f>Fiz!O158</f>
        <v>0</v>
      </c>
      <c r="P68" s="99">
        <f>Fiz!P158</f>
        <v>0</v>
      </c>
      <c r="Q68" s="99">
        <f>Fiz!Q158</f>
        <v>0</v>
      </c>
      <c r="R68" s="99">
        <f>Fiz!R158</f>
        <v>47.92307692307692</v>
      </c>
      <c r="S68" s="99">
        <f>Fiz!S158</f>
        <v>0</v>
      </c>
      <c r="T68" s="99">
        <f>Fiz!T158</f>
        <v>47.92307692307692</v>
      </c>
      <c r="U68" s="99">
        <f>Fiz!U158</f>
        <v>0</v>
      </c>
      <c r="V68" s="99">
        <f>Fiz!V158</f>
        <v>0</v>
      </c>
      <c r="W68" s="99">
        <f>Fiz!W158</f>
        <v>0</v>
      </c>
      <c r="X68" s="99">
        <f>Fiz!X158</f>
        <v>0</v>
      </c>
      <c r="Y68" s="99">
        <f>Fiz!Y158</f>
        <v>0</v>
      </c>
      <c r="Z68" s="99">
        <f>Fiz!Z158</f>
        <v>0</v>
      </c>
      <c r="AA68" s="99">
        <f>Fiz!AA158</f>
        <v>0</v>
      </c>
      <c r="AB68" s="99">
        <f>Fiz!AB158</f>
        <v>0</v>
      </c>
      <c r="AC68" s="99">
        <f>Fiz!AC158</f>
        <v>47.92307692307692</v>
      </c>
      <c r="AD68" s="99">
        <f>Fiz!AD158</f>
        <v>0</v>
      </c>
      <c r="AE68" s="99">
        <f>Fiz!AE158</f>
        <v>47.92307692307692</v>
      </c>
      <c r="AF68" s="99">
        <f>Fiz!AF158</f>
        <v>0</v>
      </c>
      <c r="AG68" s="98" t="str">
        <f>Fiz!AG158</f>
        <v>Oğlanlar</v>
      </c>
    </row>
    <row r="69" spans="2:33" x14ac:dyDescent="0.25">
      <c r="B69" s="119"/>
      <c r="C69" s="100"/>
      <c r="D69" s="100"/>
      <c r="E69" s="100" t="s">
        <v>113</v>
      </c>
      <c r="F69" s="100">
        <f>Müəllimlər!O13</f>
        <v>0</v>
      </c>
      <c r="G69" s="100">
        <f>Müəllimlər!P13</f>
        <v>0</v>
      </c>
      <c r="H69" s="100">
        <f>Müəllimlər!Q13</f>
        <v>0</v>
      </c>
      <c r="I69" s="100">
        <f>Müəllimlər!R13</f>
        <v>0</v>
      </c>
      <c r="J69" s="100">
        <f>Müəllimlər!S13</f>
        <v>0</v>
      </c>
      <c r="K69" s="100"/>
      <c r="L69" s="100"/>
      <c r="M69" s="230"/>
      <c r="N69" s="99">
        <f>Fiz!N159</f>
        <v>73.571428571428569</v>
      </c>
      <c r="O69" s="99">
        <f>Fiz!O159</f>
        <v>0</v>
      </c>
      <c r="P69" s="99">
        <f>Fiz!P159</f>
        <v>0</v>
      </c>
      <c r="Q69" s="99">
        <f>Fiz!Q159</f>
        <v>0</v>
      </c>
      <c r="R69" s="99">
        <f>Fiz!R159</f>
        <v>77.857142857142861</v>
      </c>
      <c r="S69" s="99">
        <f>Fiz!S159</f>
        <v>0</v>
      </c>
      <c r="T69" s="99">
        <f>Fiz!T159</f>
        <v>77.857142857142861</v>
      </c>
      <c r="U69" s="99">
        <f>Fiz!U159</f>
        <v>0</v>
      </c>
      <c r="V69" s="99">
        <f>Fiz!V159</f>
        <v>0</v>
      </c>
      <c r="W69" s="99">
        <f>Fiz!W159</f>
        <v>0</v>
      </c>
      <c r="X69" s="99">
        <f>Fiz!X159</f>
        <v>0</v>
      </c>
      <c r="Y69" s="99">
        <f>Fiz!Y159</f>
        <v>0</v>
      </c>
      <c r="Z69" s="99">
        <f>Fiz!Z159</f>
        <v>0</v>
      </c>
      <c r="AA69" s="99">
        <f>Fiz!AA159</f>
        <v>0</v>
      </c>
      <c r="AB69" s="99">
        <f>Fiz!AB159</f>
        <v>0</v>
      </c>
      <c r="AC69" s="99">
        <f>Fiz!AC159</f>
        <v>77.857142857142861</v>
      </c>
      <c r="AD69" s="99">
        <f>Fiz!AD159</f>
        <v>0</v>
      </c>
      <c r="AE69" s="99">
        <f>Fiz!AE159</f>
        <v>77.857142857142861</v>
      </c>
      <c r="AF69" s="99">
        <f>Fiz!AF159</f>
        <v>0</v>
      </c>
      <c r="AG69" s="98" t="str">
        <f>Fiz!AG159</f>
        <v>Qızlar</v>
      </c>
    </row>
    <row r="70" spans="2:33" x14ac:dyDescent="0.25">
      <c r="B70" s="119"/>
      <c r="C70" s="100"/>
      <c r="D70" s="100"/>
      <c r="E70" s="100" t="s">
        <v>122</v>
      </c>
      <c r="F70" s="100">
        <f>Müəllimlər!T13</f>
        <v>0</v>
      </c>
      <c r="G70" s="100">
        <f>Müəllimlər!U13</f>
        <v>0</v>
      </c>
      <c r="H70" s="100">
        <f>Müəllimlər!V13</f>
        <v>0</v>
      </c>
      <c r="I70" s="100">
        <f>Müəllimlər!W13</f>
        <v>0</v>
      </c>
      <c r="J70" s="100">
        <f>Müəllimlər!X13</f>
        <v>0</v>
      </c>
      <c r="K70" s="100"/>
      <c r="L70" s="100"/>
      <c r="M70" s="230"/>
      <c r="N70" s="99">
        <f>Fiz!N160</f>
        <v>20</v>
      </c>
      <c r="O70" s="99" t="str">
        <f>Fiz!O160</f>
        <v/>
      </c>
      <c r="P70" s="99" t="str">
        <f>Fiz!P160</f>
        <v/>
      </c>
      <c r="Q70" s="99" t="str">
        <f>Fiz!Q160</f>
        <v/>
      </c>
      <c r="R70" s="99">
        <f>Fiz!R160</f>
        <v>20</v>
      </c>
      <c r="S70" s="99" t="str">
        <f>Fiz!S160</f>
        <v/>
      </c>
      <c r="T70" s="99">
        <f>Fiz!T160</f>
        <v>20</v>
      </c>
      <c r="U70" s="99" t="str">
        <f>Fiz!U160</f>
        <v/>
      </c>
      <c r="V70" s="99" t="str">
        <f>Fiz!V160</f>
        <v/>
      </c>
      <c r="W70" s="99" t="str">
        <f>Fiz!W160</f>
        <v/>
      </c>
      <c r="X70" s="99" t="str">
        <f>Fiz!X160</f>
        <v/>
      </c>
      <c r="Y70" s="99" t="str">
        <f>Fiz!Y160</f>
        <v/>
      </c>
      <c r="Z70" s="99" t="str">
        <f>Fiz!Z160</f>
        <v/>
      </c>
      <c r="AA70" s="99" t="str">
        <f>Fiz!AA160</f>
        <v/>
      </c>
      <c r="AB70" s="99" t="str">
        <f>Fiz!AB160</f>
        <v/>
      </c>
      <c r="AC70" s="99">
        <f>Fiz!AC160</f>
        <v>20</v>
      </c>
      <c r="AD70" s="99" t="str">
        <f>Fiz!AD160</f>
        <v/>
      </c>
      <c r="AE70" s="99">
        <f>Fiz!AE160</f>
        <v>20</v>
      </c>
      <c r="AF70" s="99" t="str">
        <f>Fiz!AF160</f>
        <v/>
      </c>
      <c r="AG70" s="98" t="str">
        <f>Fiz!AG160</f>
        <v>(80-100]</v>
      </c>
    </row>
    <row r="71" spans="2:33" x14ac:dyDescent="0.25">
      <c r="B71" s="119"/>
      <c r="C71" s="100"/>
      <c r="D71" s="100"/>
      <c r="E71" s="100" t="s">
        <v>119</v>
      </c>
      <c r="F71" s="100">
        <f>Müəllimlər!Y13</f>
        <v>0</v>
      </c>
      <c r="G71" s="100">
        <f>Müəllimlər!Z13</f>
        <v>0</v>
      </c>
      <c r="H71" s="100">
        <f>Müəllimlər!AA13</f>
        <v>0</v>
      </c>
      <c r="I71" s="100">
        <f>Müəllimlər!AB13</f>
        <v>0</v>
      </c>
      <c r="J71" s="100">
        <f>Müəllimlər!AC13</f>
        <v>0</v>
      </c>
      <c r="K71" s="100"/>
      <c r="L71" s="100"/>
      <c r="M71" s="230"/>
      <c r="N71" s="99">
        <f>Fiz!N161</f>
        <v>40</v>
      </c>
      <c r="O71" s="99" t="str">
        <f>Fiz!O161</f>
        <v/>
      </c>
      <c r="P71" s="99" t="str">
        <f>Fiz!P161</f>
        <v/>
      </c>
      <c r="Q71" s="99" t="str">
        <f>Fiz!Q161</f>
        <v/>
      </c>
      <c r="R71" s="99">
        <f>Fiz!R161</f>
        <v>25</v>
      </c>
      <c r="S71" s="99" t="str">
        <f>Fiz!S161</f>
        <v/>
      </c>
      <c r="T71" s="99">
        <f>Fiz!T161</f>
        <v>25</v>
      </c>
      <c r="U71" s="99" t="str">
        <f>Fiz!U161</f>
        <v/>
      </c>
      <c r="V71" s="99" t="str">
        <f>Fiz!V161</f>
        <v/>
      </c>
      <c r="W71" s="99" t="str">
        <f>Fiz!W161</f>
        <v/>
      </c>
      <c r="X71" s="99" t="str">
        <f>Fiz!X161</f>
        <v/>
      </c>
      <c r="Y71" s="99" t="str">
        <f>Fiz!Y161</f>
        <v/>
      </c>
      <c r="Z71" s="99" t="str">
        <f>Fiz!Z161</f>
        <v/>
      </c>
      <c r="AA71" s="99" t="str">
        <f>Fiz!AA161</f>
        <v/>
      </c>
      <c r="AB71" s="99" t="str">
        <f>Fiz!AB161</f>
        <v/>
      </c>
      <c r="AC71" s="99">
        <f>Fiz!AC161</f>
        <v>25</v>
      </c>
      <c r="AD71" s="99" t="str">
        <f>Fiz!AD161</f>
        <v/>
      </c>
      <c r="AE71" s="99">
        <f>Fiz!AE161</f>
        <v>25</v>
      </c>
      <c r="AF71" s="99" t="str">
        <f>Fiz!AF161</f>
        <v/>
      </c>
      <c r="AG71" s="98" t="str">
        <f>Fiz!AG161</f>
        <v>(60-80]</v>
      </c>
    </row>
    <row r="72" spans="2:33" x14ac:dyDescent="0.25">
      <c r="B72" s="119"/>
      <c r="C72" s="100"/>
      <c r="D72" s="100"/>
      <c r="E72" s="100" t="s">
        <v>120</v>
      </c>
      <c r="F72" s="100">
        <f>Müəllimlər!AD13</f>
        <v>0</v>
      </c>
      <c r="G72" s="100">
        <f>Müəllimlər!AE13</f>
        <v>0</v>
      </c>
      <c r="H72" s="100">
        <f>Müəllimlər!AF13</f>
        <v>0</v>
      </c>
      <c r="I72" s="100">
        <f>Müəllimlər!AG13</f>
        <v>0</v>
      </c>
      <c r="J72" s="100">
        <f>Müəllimlər!AH13</f>
        <v>0</v>
      </c>
      <c r="K72" s="100"/>
      <c r="L72" s="100"/>
      <c r="M72" s="230"/>
      <c r="N72" s="99">
        <f>Fiz!N162</f>
        <v>40</v>
      </c>
      <c r="O72" s="99" t="str">
        <f>Fiz!O162</f>
        <v/>
      </c>
      <c r="P72" s="99" t="str">
        <f>Fiz!P162</f>
        <v/>
      </c>
      <c r="Q72" s="99" t="str">
        <f>Fiz!Q162</f>
        <v/>
      </c>
      <c r="R72" s="99">
        <f>Fiz!R162</f>
        <v>55</v>
      </c>
      <c r="S72" s="99" t="str">
        <f>Fiz!S162</f>
        <v/>
      </c>
      <c r="T72" s="99">
        <f>Fiz!T162</f>
        <v>55</v>
      </c>
      <c r="U72" s="99" t="str">
        <f>Fiz!U162</f>
        <v/>
      </c>
      <c r="V72" s="99" t="str">
        <f>Fiz!V162</f>
        <v/>
      </c>
      <c r="W72" s="99" t="str">
        <f>Fiz!W162</f>
        <v/>
      </c>
      <c r="X72" s="99" t="str">
        <f>Fiz!X162</f>
        <v/>
      </c>
      <c r="Y72" s="99" t="str">
        <f>Fiz!Y162</f>
        <v/>
      </c>
      <c r="Z72" s="99" t="str">
        <f>Fiz!Z162</f>
        <v/>
      </c>
      <c r="AA72" s="99" t="str">
        <f>Fiz!AA162</f>
        <v/>
      </c>
      <c r="AB72" s="99" t="str">
        <f>Fiz!AB162</f>
        <v/>
      </c>
      <c r="AC72" s="99">
        <f>Fiz!AC162</f>
        <v>55</v>
      </c>
      <c r="AD72" s="99" t="str">
        <f>Fiz!AD162</f>
        <v/>
      </c>
      <c r="AE72" s="99">
        <f>Fiz!AE162</f>
        <v>55</v>
      </c>
      <c r="AF72" s="99" t="str">
        <f>Fiz!AF162</f>
        <v/>
      </c>
      <c r="AG72" s="98" t="str">
        <f>Fiz!AG162</f>
        <v>(30-60]</v>
      </c>
    </row>
    <row r="73" spans="2:33" x14ac:dyDescent="0.25">
      <c r="B73" s="119"/>
      <c r="C73" s="100"/>
      <c r="D73" s="100"/>
      <c r="E73" s="223" t="s">
        <v>121</v>
      </c>
      <c r="F73" s="100">
        <f>Müəllimlər!AI13</f>
        <v>0</v>
      </c>
      <c r="G73" s="100">
        <f>Müəllimlər!AJ13</f>
        <v>0</v>
      </c>
      <c r="H73" s="100">
        <f>Müəllimlər!AK13</f>
        <v>0</v>
      </c>
      <c r="I73" s="100">
        <f>Müəllimlər!AL13</f>
        <v>0</v>
      </c>
      <c r="J73" s="100">
        <f>Müəllimlər!AM13</f>
        <v>0</v>
      </c>
      <c r="K73" s="100"/>
      <c r="L73" s="100"/>
      <c r="M73" s="100"/>
      <c r="N73" s="99">
        <f>Fiz!N163</f>
        <v>0</v>
      </c>
      <c r="O73" s="99" t="str">
        <f>Fiz!O163</f>
        <v/>
      </c>
      <c r="P73" s="99" t="str">
        <f>Fiz!P163</f>
        <v/>
      </c>
      <c r="Q73" s="99" t="str">
        <f>Fiz!Q163</f>
        <v/>
      </c>
      <c r="R73" s="99">
        <f>Fiz!R163</f>
        <v>0</v>
      </c>
      <c r="S73" s="99" t="str">
        <f>Fiz!S163</f>
        <v/>
      </c>
      <c r="T73" s="99">
        <f>Fiz!T163</f>
        <v>0</v>
      </c>
      <c r="U73" s="99" t="str">
        <f>Fiz!U163</f>
        <v/>
      </c>
      <c r="V73" s="99" t="str">
        <f>Fiz!V163</f>
        <v/>
      </c>
      <c r="W73" s="99" t="str">
        <f>Fiz!W163</f>
        <v/>
      </c>
      <c r="X73" s="99" t="str">
        <f>Fiz!X163</f>
        <v/>
      </c>
      <c r="Y73" s="99" t="str">
        <f>Fiz!Y163</f>
        <v/>
      </c>
      <c r="Z73" s="99" t="str">
        <f>Fiz!Z163</f>
        <v/>
      </c>
      <c r="AA73" s="99" t="str">
        <f>Fiz!AA163</f>
        <v/>
      </c>
      <c r="AB73" s="99" t="str">
        <f>Fiz!AB163</f>
        <v/>
      </c>
      <c r="AC73" s="99">
        <f>Fiz!AC163</f>
        <v>0</v>
      </c>
      <c r="AD73" s="99" t="str">
        <f>Fiz!AD163</f>
        <v/>
      </c>
      <c r="AE73" s="99">
        <f>Fiz!AE163</f>
        <v>0</v>
      </c>
      <c r="AF73" s="99" t="str">
        <f>Fiz!AF163</f>
        <v/>
      </c>
      <c r="AG73" s="98" t="str">
        <f>Fiz!AG163</f>
        <v>[0-30]</v>
      </c>
    </row>
    <row r="74" spans="2:33" x14ac:dyDescent="0.25">
      <c r="B74" s="95">
        <f>Kim!B157</f>
        <v>8</v>
      </c>
      <c r="C74" s="95" t="str">
        <f>Kim!C157</f>
        <v>e</v>
      </c>
      <c r="D74" s="95" t="str">
        <f>Kim!D157</f>
        <v>Kimya</v>
      </c>
      <c r="E74" s="95" t="str">
        <f>Kim!E157</f>
        <v>Hüseynova Rəna Qədir</v>
      </c>
      <c r="F74" s="95">
        <f>Kim!F157</f>
        <v>34</v>
      </c>
      <c r="G74" s="95" t="str">
        <f>Kim!G157</f>
        <v>Azərbaycan</v>
      </c>
      <c r="H74" s="95">
        <f>Kim!H157</f>
        <v>13</v>
      </c>
      <c r="I74" s="95">
        <f>Kim!I157</f>
        <v>7</v>
      </c>
      <c r="J74" s="95">
        <f>Kim!J157</f>
        <v>20</v>
      </c>
      <c r="K74" s="96">
        <f>Kim!K157</f>
        <v>2.4886877828054299</v>
      </c>
      <c r="L74" s="96">
        <f>Kim!L157</f>
        <v>3.7815126050420167</v>
      </c>
      <c r="M74" s="113">
        <f>Kim!M157</f>
        <v>2.9411764705882355</v>
      </c>
      <c r="N74" s="96">
        <f>Kim!N157</f>
        <v>57.2</v>
      </c>
      <c r="O74" s="96" t="str">
        <f>Kim!O157</f>
        <v/>
      </c>
      <c r="P74" s="96" t="str">
        <f>Kim!P157</f>
        <v/>
      </c>
      <c r="Q74" s="96" t="str">
        <f>Kim!Q157</f>
        <v/>
      </c>
      <c r="R74" s="96">
        <f>Kim!R157</f>
        <v>50.6</v>
      </c>
      <c r="S74" s="96" t="str">
        <f>Kim!S157</f>
        <v/>
      </c>
      <c r="T74" s="96">
        <f>Kim!T157</f>
        <v>50.6</v>
      </c>
      <c r="U74" s="96" t="str">
        <f>Kim!U157</f>
        <v/>
      </c>
      <c r="V74" s="96" t="str">
        <f>Kim!V157</f>
        <v/>
      </c>
      <c r="W74" s="96" t="str">
        <f>Kim!W157</f>
        <v/>
      </c>
      <c r="X74" s="96" t="str">
        <f>Kim!X157</f>
        <v/>
      </c>
      <c r="Y74" s="96" t="str">
        <f>Kim!Y157</f>
        <v/>
      </c>
      <c r="Z74" s="96" t="str">
        <f>Kim!Z157</f>
        <v/>
      </c>
      <c r="AA74" s="96" t="str">
        <f>Kim!AA157</f>
        <v/>
      </c>
      <c r="AB74" s="96" t="str">
        <f>Kim!AB157</f>
        <v/>
      </c>
      <c r="AC74" s="96">
        <f>Kim!AC157</f>
        <v>50.6</v>
      </c>
      <c r="AD74" s="96" t="str">
        <f>Kim!AD157</f>
        <v/>
      </c>
      <c r="AE74" s="96">
        <f>Kim!AE157</f>
        <v>50.6</v>
      </c>
      <c r="AF74" s="96" t="str">
        <f>Kim!AF157</f>
        <v/>
      </c>
      <c r="AG74" s="95" t="str">
        <f>Kim!AG157</f>
        <v>Ümumi</v>
      </c>
    </row>
    <row r="75" spans="2:33" x14ac:dyDescent="0.25">
      <c r="B75" s="120"/>
      <c r="C75" s="97"/>
      <c r="D75" s="97"/>
      <c r="E75" s="97" t="s">
        <v>111</v>
      </c>
      <c r="F75" s="97">
        <f>Müəllimlər!J14</f>
        <v>0</v>
      </c>
      <c r="G75" s="97">
        <f>Müəllimlər!K14</f>
        <v>0</v>
      </c>
      <c r="H75" s="97">
        <f>Müəllimlər!L14</f>
        <v>0</v>
      </c>
      <c r="I75" s="97">
        <f>Müəllimlər!M14</f>
        <v>0</v>
      </c>
      <c r="J75" s="97">
        <f>Müəllimlər!N14</f>
        <v>0</v>
      </c>
      <c r="K75" s="95">
        <f>Kim!K158</f>
        <v>11</v>
      </c>
      <c r="L75" s="95">
        <f>Kim!L158</f>
        <v>9</v>
      </c>
      <c r="M75" s="109">
        <f>Kim!M158</f>
        <v>20</v>
      </c>
      <c r="N75" s="96">
        <f>Kim!N158</f>
        <v>54.384615384615387</v>
      </c>
      <c r="O75" s="96">
        <f>Kim!O158</f>
        <v>0</v>
      </c>
      <c r="P75" s="96">
        <f>Kim!P158</f>
        <v>0</v>
      </c>
      <c r="Q75" s="96">
        <f>Kim!Q158</f>
        <v>0</v>
      </c>
      <c r="R75" s="96">
        <f>Kim!R158</f>
        <v>46.102564102564102</v>
      </c>
      <c r="S75" s="96">
        <f>Kim!S158</f>
        <v>0</v>
      </c>
      <c r="T75" s="96">
        <f>Kim!T158</f>
        <v>46.102564102564102</v>
      </c>
      <c r="U75" s="96">
        <f>Kim!U158</f>
        <v>0</v>
      </c>
      <c r="V75" s="96">
        <f>Kim!V158</f>
        <v>0</v>
      </c>
      <c r="W75" s="96">
        <f>Kim!W158</f>
        <v>0</v>
      </c>
      <c r="X75" s="96">
        <f>Kim!X158</f>
        <v>0</v>
      </c>
      <c r="Y75" s="96">
        <f>Kim!Y158</f>
        <v>0</v>
      </c>
      <c r="Z75" s="96">
        <f>Kim!Z158</f>
        <v>0</v>
      </c>
      <c r="AA75" s="96">
        <f>Kim!AA158</f>
        <v>0</v>
      </c>
      <c r="AB75" s="96">
        <f>Kim!AB158</f>
        <v>0</v>
      </c>
      <c r="AC75" s="96">
        <f>Kim!AC158</f>
        <v>46.102564102564102</v>
      </c>
      <c r="AD75" s="96">
        <f>Kim!AD158</f>
        <v>0</v>
      </c>
      <c r="AE75" s="96">
        <f>Kim!AE158</f>
        <v>46.102564102564102</v>
      </c>
      <c r="AF75" s="96">
        <f>Kim!AF158</f>
        <v>0</v>
      </c>
      <c r="AG75" s="95" t="str">
        <f>Kim!AG158</f>
        <v>Oğlanlar</v>
      </c>
    </row>
    <row r="76" spans="2:33" x14ac:dyDescent="0.25">
      <c r="B76" s="120"/>
      <c r="C76" s="97"/>
      <c r="D76" s="97"/>
      <c r="E76" s="97" t="s">
        <v>113</v>
      </c>
      <c r="F76" s="97">
        <f>Müəllimlər!O14</f>
        <v>0</v>
      </c>
      <c r="G76" s="97">
        <f>Müəllimlər!P14</f>
        <v>0</v>
      </c>
      <c r="H76" s="97">
        <f>Müəllimlər!Q14</f>
        <v>0</v>
      </c>
      <c r="I76" s="97">
        <f>Müəllimlər!R14</f>
        <v>0</v>
      </c>
      <c r="J76" s="97">
        <f>Müəllimlər!S14</f>
        <v>0</v>
      </c>
      <c r="K76" s="97"/>
      <c r="L76" s="97"/>
      <c r="M76" s="97"/>
      <c r="N76" s="96">
        <f>Kim!N159</f>
        <v>62.428571428571431</v>
      </c>
      <c r="O76" s="96">
        <f>Kim!O159</f>
        <v>0</v>
      </c>
      <c r="P76" s="96">
        <f>Kim!P159</f>
        <v>0</v>
      </c>
      <c r="Q76" s="96">
        <f>Kim!Q159</f>
        <v>0</v>
      </c>
      <c r="R76" s="96">
        <f>Kim!R159</f>
        <v>58.952380952380956</v>
      </c>
      <c r="S76" s="96">
        <f>Kim!S159</f>
        <v>0</v>
      </c>
      <c r="T76" s="96">
        <f>Kim!T159</f>
        <v>58.952380952380956</v>
      </c>
      <c r="U76" s="96">
        <f>Kim!U159</f>
        <v>0</v>
      </c>
      <c r="V76" s="96">
        <f>Kim!V159</f>
        <v>0</v>
      </c>
      <c r="W76" s="96">
        <f>Kim!W159</f>
        <v>0</v>
      </c>
      <c r="X76" s="96">
        <f>Kim!X159</f>
        <v>0</v>
      </c>
      <c r="Y76" s="96">
        <f>Kim!Y159</f>
        <v>0</v>
      </c>
      <c r="Z76" s="96">
        <f>Kim!Z159</f>
        <v>0</v>
      </c>
      <c r="AA76" s="96">
        <f>Kim!AA159</f>
        <v>0</v>
      </c>
      <c r="AB76" s="96">
        <f>Kim!AB159</f>
        <v>0</v>
      </c>
      <c r="AC76" s="96">
        <f>Kim!AC159</f>
        <v>58.952380952380956</v>
      </c>
      <c r="AD76" s="96">
        <f>Kim!AD159</f>
        <v>0</v>
      </c>
      <c r="AE76" s="96">
        <f>Kim!AE159</f>
        <v>58.952380952380956</v>
      </c>
      <c r="AF76" s="96">
        <f>Kim!AF159</f>
        <v>0</v>
      </c>
      <c r="AG76" s="95" t="str">
        <f>Kim!AG159</f>
        <v>Qızlar</v>
      </c>
    </row>
    <row r="77" spans="2:33" x14ac:dyDescent="0.25">
      <c r="B77" s="117"/>
      <c r="C77" s="106"/>
      <c r="D77" s="106"/>
      <c r="E77" s="106" t="s">
        <v>122</v>
      </c>
      <c r="F77" s="106">
        <f>Müəllimlər!T14</f>
        <v>0</v>
      </c>
      <c r="G77" s="106">
        <f>Müəllimlər!U14</f>
        <v>0</v>
      </c>
      <c r="H77" s="106">
        <f>Müəllimlər!V14</f>
        <v>0</v>
      </c>
      <c r="I77" s="106">
        <f>Müəllimlər!W14</f>
        <v>0</v>
      </c>
      <c r="J77" s="106">
        <f>Müəllimlər!X14</f>
        <v>0</v>
      </c>
      <c r="K77" s="106"/>
      <c r="L77" s="106"/>
      <c r="M77" s="106"/>
      <c r="N77" s="96">
        <f>Kim!N160</f>
        <v>20</v>
      </c>
      <c r="O77" s="96" t="str">
        <f>Kim!O160</f>
        <v/>
      </c>
      <c r="P77" s="96" t="str">
        <f>Kim!P160</f>
        <v/>
      </c>
      <c r="Q77" s="96" t="str">
        <f>Kim!Q160</f>
        <v/>
      </c>
      <c r="R77" s="96">
        <f>Kim!R160</f>
        <v>5</v>
      </c>
      <c r="S77" s="96" t="str">
        <f>Kim!S160</f>
        <v/>
      </c>
      <c r="T77" s="96">
        <f>Kim!T160</f>
        <v>5</v>
      </c>
      <c r="U77" s="96" t="str">
        <f>Kim!U160</f>
        <v/>
      </c>
      <c r="V77" s="96" t="str">
        <f>Kim!V160</f>
        <v/>
      </c>
      <c r="W77" s="96" t="str">
        <f>Kim!W160</f>
        <v/>
      </c>
      <c r="X77" s="96" t="str">
        <f>Kim!X160</f>
        <v/>
      </c>
      <c r="Y77" s="96" t="str">
        <f>Kim!Y160</f>
        <v/>
      </c>
      <c r="Z77" s="96" t="str">
        <f>Kim!Z160</f>
        <v/>
      </c>
      <c r="AA77" s="96" t="str">
        <f>Kim!AA160</f>
        <v/>
      </c>
      <c r="AB77" s="96" t="str">
        <f>Kim!AB160</f>
        <v/>
      </c>
      <c r="AC77" s="96">
        <f>Kim!AC160</f>
        <v>5</v>
      </c>
      <c r="AD77" s="96" t="str">
        <f>Kim!AD160</f>
        <v/>
      </c>
      <c r="AE77" s="96">
        <f>Kim!AE160</f>
        <v>5</v>
      </c>
      <c r="AF77" s="96" t="str">
        <f>Kim!AF160</f>
        <v/>
      </c>
      <c r="AG77" s="95" t="str">
        <f>Kim!AG160</f>
        <v>(80-100]</v>
      </c>
    </row>
    <row r="78" spans="2:33" x14ac:dyDescent="0.25">
      <c r="B78" s="117"/>
      <c r="C78" s="106"/>
      <c r="D78" s="106"/>
      <c r="E78" s="106" t="s">
        <v>119</v>
      </c>
      <c r="F78" s="106">
        <f>Müəllimlər!Y14</f>
        <v>0</v>
      </c>
      <c r="G78" s="106">
        <f>Müəllimlər!Z14</f>
        <v>0</v>
      </c>
      <c r="H78" s="106">
        <f>Müəllimlər!AA14</f>
        <v>0</v>
      </c>
      <c r="I78" s="106">
        <f>Müəllimlər!AB14</f>
        <v>0</v>
      </c>
      <c r="J78" s="106">
        <f>Müəllimlər!AC14</f>
        <v>0</v>
      </c>
      <c r="K78" s="106"/>
      <c r="L78" s="106"/>
      <c r="M78" s="106"/>
      <c r="N78" s="96">
        <f>Kim!N161</f>
        <v>5</v>
      </c>
      <c r="O78" s="96" t="str">
        <f>Kim!O161</f>
        <v/>
      </c>
      <c r="P78" s="96" t="str">
        <f>Kim!P161</f>
        <v/>
      </c>
      <c r="Q78" s="96" t="str">
        <f>Kim!Q161</f>
        <v/>
      </c>
      <c r="R78" s="96">
        <f>Kim!R161</f>
        <v>30</v>
      </c>
      <c r="S78" s="96" t="str">
        <f>Kim!S161</f>
        <v/>
      </c>
      <c r="T78" s="96">
        <f>Kim!T161</f>
        <v>30</v>
      </c>
      <c r="U78" s="96" t="str">
        <f>Kim!U161</f>
        <v/>
      </c>
      <c r="V78" s="96" t="str">
        <f>Kim!V161</f>
        <v/>
      </c>
      <c r="W78" s="96" t="str">
        <f>Kim!W161</f>
        <v/>
      </c>
      <c r="X78" s="96" t="str">
        <f>Kim!X161</f>
        <v/>
      </c>
      <c r="Y78" s="96" t="str">
        <f>Kim!Y161</f>
        <v/>
      </c>
      <c r="Z78" s="96" t="str">
        <f>Kim!Z161</f>
        <v/>
      </c>
      <c r="AA78" s="96" t="str">
        <f>Kim!AA161</f>
        <v/>
      </c>
      <c r="AB78" s="96" t="str">
        <f>Kim!AB161</f>
        <v/>
      </c>
      <c r="AC78" s="96">
        <f>Kim!AC161</f>
        <v>30</v>
      </c>
      <c r="AD78" s="96" t="str">
        <f>Kim!AD161</f>
        <v/>
      </c>
      <c r="AE78" s="96">
        <f>Kim!AE161</f>
        <v>30</v>
      </c>
      <c r="AF78" s="96" t="str">
        <f>Kim!AF161</f>
        <v/>
      </c>
      <c r="AG78" s="95" t="str">
        <f>Kim!AG161</f>
        <v>(60-80]</v>
      </c>
    </row>
    <row r="79" spans="2:33" x14ac:dyDescent="0.25">
      <c r="B79" s="120"/>
      <c r="C79" s="97"/>
      <c r="D79" s="97"/>
      <c r="E79" s="97" t="s">
        <v>120</v>
      </c>
      <c r="F79" s="97">
        <f>Müəllimlər!AD14</f>
        <v>0</v>
      </c>
      <c r="G79" s="97">
        <f>Müəllimlər!AE14</f>
        <v>0</v>
      </c>
      <c r="H79" s="97">
        <f>Müəllimlər!AF14</f>
        <v>0</v>
      </c>
      <c r="I79" s="97">
        <f>Müəllimlər!AG14</f>
        <v>0</v>
      </c>
      <c r="J79" s="97">
        <f>Müəllimlər!AH14</f>
        <v>0</v>
      </c>
      <c r="K79" s="97"/>
      <c r="L79" s="97"/>
      <c r="M79" s="97"/>
      <c r="N79" s="96">
        <f>Kim!N162</f>
        <v>75</v>
      </c>
      <c r="O79" s="96" t="str">
        <f>Kim!O162</f>
        <v/>
      </c>
      <c r="P79" s="96" t="str">
        <f>Kim!P162</f>
        <v/>
      </c>
      <c r="Q79" s="96" t="str">
        <f>Kim!Q162</f>
        <v/>
      </c>
      <c r="R79" s="96">
        <f>Kim!R162</f>
        <v>65</v>
      </c>
      <c r="S79" s="96" t="str">
        <f>Kim!S162</f>
        <v/>
      </c>
      <c r="T79" s="96">
        <f>Kim!T162</f>
        <v>65</v>
      </c>
      <c r="U79" s="96" t="str">
        <f>Kim!U162</f>
        <v/>
      </c>
      <c r="V79" s="96" t="str">
        <f>Kim!V162</f>
        <v/>
      </c>
      <c r="W79" s="96" t="str">
        <f>Kim!W162</f>
        <v/>
      </c>
      <c r="X79" s="96" t="str">
        <f>Kim!X162</f>
        <v/>
      </c>
      <c r="Y79" s="96" t="str">
        <f>Kim!Y162</f>
        <v/>
      </c>
      <c r="Z79" s="96" t="str">
        <f>Kim!Z162</f>
        <v/>
      </c>
      <c r="AA79" s="96" t="str">
        <f>Kim!AA162</f>
        <v/>
      </c>
      <c r="AB79" s="96" t="str">
        <f>Kim!AB162</f>
        <v/>
      </c>
      <c r="AC79" s="96">
        <f>Kim!AC162</f>
        <v>65</v>
      </c>
      <c r="AD79" s="96" t="str">
        <f>Kim!AD162</f>
        <v/>
      </c>
      <c r="AE79" s="96">
        <f>Kim!AE162</f>
        <v>65</v>
      </c>
      <c r="AF79" s="96" t="str">
        <f>Kim!AF162</f>
        <v/>
      </c>
      <c r="AG79" s="95" t="str">
        <f>Kim!AG162</f>
        <v>(30-60]</v>
      </c>
    </row>
    <row r="80" spans="2:33" x14ac:dyDescent="0.25">
      <c r="B80" s="120"/>
      <c r="C80" s="97"/>
      <c r="D80" s="97"/>
      <c r="E80" s="229" t="s">
        <v>121</v>
      </c>
      <c r="F80" s="97">
        <f>Müəllimlər!AI14</f>
        <v>0</v>
      </c>
      <c r="G80" s="97">
        <f>Müəllimlər!AJ14</f>
        <v>0</v>
      </c>
      <c r="H80" s="97">
        <f>Müəllimlər!AK14</f>
        <v>0</v>
      </c>
      <c r="I80" s="97">
        <f>Müəllimlər!AL14</f>
        <v>0</v>
      </c>
      <c r="J80" s="97">
        <f>Müəllimlər!AM14</f>
        <v>0</v>
      </c>
      <c r="K80" s="97"/>
      <c r="L80" s="97"/>
      <c r="M80" s="97"/>
      <c r="N80" s="96">
        <f>Kim!N163</f>
        <v>0</v>
      </c>
      <c r="O80" s="110" t="str">
        <f>Kim!O163</f>
        <v/>
      </c>
      <c r="P80" s="110" t="str">
        <f>Kim!P163</f>
        <v/>
      </c>
      <c r="Q80" s="110" t="str">
        <f>Kim!Q163</f>
        <v/>
      </c>
      <c r="R80" s="110">
        <f>Kim!R163</f>
        <v>0</v>
      </c>
      <c r="S80" s="110" t="str">
        <f>Kim!S163</f>
        <v/>
      </c>
      <c r="T80" s="110">
        <f>Kim!T163</f>
        <v>0</v>
      </c>
      <c r="U80" s="110" t="str">
        <f>Kim!U163</f>
        <v/>
      </c>
      <c r="V80" s="110" t="str">
        <f>Kim!V163</f>
        <v/>
      </c>
      <c r="W80" s="110" t="str">
        <f>Kim!W163</f>
        <v/>
      </c>
      <c r="X80" s="110" t="str">
        <f>Kim!X163</f>
        <v/>
      </c>
      <c r="Y80" s="110" t="str">
        <f>Kim!Y163</f>
        <v/>
      </c>
      <c r="Z80" s="110" t="str">
        <f>Kim!Z163</f>
        <v/>
      </c>
      <c r="AA80" s="110" t="str">
        <f>Kim!AA163</f>
        <v/>
      </c>
      <c r="AB80" s="110" t="str">
        <f>Kim!AB163</f>
        <v/>
      </c>
      <c r="AC80" s="110">
        <f>Kim!AC163</f>
        <v>0</v>
      </c>
      <c r="AD80" s="110" t="str">
        <f>Kim!AD163</f>
        <v/>
      </c>
      <c r="AE80" s="110">
        <f>Kim!AE163</f>
        <v>0</v>
      </c>
      <c r="AF80" s="110" t="str">
        <f>Kim!AF163</f>
        <v/>
      </c>
      <c r="AG80" s="111" t="str">
        <f>Kim!AG163</f>
        <v>[0-30]</v>
      </c>
    </row>
    <row r="81" spans="2:33" x14ac:dyDescent="0.25">
      <c r="B81" s="98">
        <f>Bio!B157</f>
        <v>8</v>
      </c>
      <c r="C81" s="98" t="str">
        <f>Bio!C157</f>
        <v>e</v>
      </c>
      <c r="D81" s="98" t="str">
        <f>Bio!D157</f>
        <v>Biologiya</v>
      </c>
      <c r="E81" s="98" t="str">
        <f>Bio!E157</f>
        <v>Həmidova Məlahət Mənsub</v>
      </c>
      <c r="F81" s="98">
        <f>Bio!F157</f>
        <v>68</v>
      </c>
      <c r="G81" s="98" t="str">
        <f>Bio!G157</f>
        <v>Azərbaycan</v>
      </c>
      <c r="H81" s="98">
        <f>Bio!H157</f>
        <v>13</v>
      </c>
      <c r="I81" s="98">
        <f>Bio!I157</f>
        <v>7</v>
      </c>
      <c r="J81" s="98">
        <f>Bio!J157</f>
        <v>20</v>
      </c>
      <c r="K81" s="99">
        <f>Bio!K157</f>
        <v>0.22624434389140272</v>
      </c>
      <c r="L81" s="99">
        <f>Bio!L157</f>
        <v>2.1008403361344539</v>
      </c>
      <c r="M81" s="219">
        <f>Bio!M157</f>
        <v>0.88235294117647056</v>
      </c>
      <c r="N81" s="99">
        <f>Bio!N157</f>
        <v>49.95</v>
      </c>
      <c r="O81" s="99" t="str">
        <f>Bio!O157</f>
        <v/>
      </c>
      <c r="P81" s="99" t="str">
        <f>Bio!P157</f>
        <v/>
      </c>
      <c r="Q81" s="99" t="str">
        <f>Bio!Q157</f>
        <v/>
      </c>
      <c r="R81" s="99">
        <f>Bio!R157</f>
        <v>47.433333333333337</v>
      </c>
      <c r="S81" s="99">
        <f>Bio!S157</f>
        <v>49.3</v>
      </c>
      <c r="T81" s="99">
        <f>Bio!T157</f>
        <v>48.553333333333327</v>
      </c>
      <c r="U81" s="99" t="str">
        <f>Bio!U157</f>
        <v/>
      </c>
      <c r="V81" s="99" t="str">
        <f>Bio!V157</f>
        <v/>
      </c>
      <c r="W81" s="99" t="str">
        <f>Bio!W157</f>
        <v/>
      </c>
      <c r="X81" s="99" t="str">
        <f>Bio!X157</f>
        <v/>
      </c>
      <c r="Y81" s="99" t="str">
        <f>Bio!Y157</f>
        <v/>
      </c>
      <c r="Z81" s="99" t="str">
        <f>Bio!Z157</f>
        <v/>
      </c>
      <c r="AA81" s="99" t="str">
        <f>Bio!AA157</f>
        <v/>
      </c>
      <c r="AB81" s="99" t="str">
        <f>Bio!AB157</f>
        <v/>
      </c>
      <c r="AC81" s="99">
        <f>Bio!AC157</f>
        <v>47.433333333333337</v>
      </c>
      <c r="AD81" s="99">
        <f>Bio!AD157</f>
        <v>49.3</v>
      </c>
      <c r="AE81" s="99">
        <f>Bio!AE157</f>
        <v>48.553333333333327</v>
      </c>
      <c r="AF81" s="99" t="str">
        <f>Bio!AF157</f>
        <v/>
      </c>
      <c r="AG81" s="98" t="str">
        <f>Bio!AG157</f>
        <v>Ümumi</v>
      </c>
    </row>
    <row r="82" spans="2:33" x14ac:dyDescent="0.25">
      <c r="B82" s="119"/>
      <c r="C82" s="100"/>
      <c r="D82" s="100"/>
      <c r="E82" s="100" t="s">
        <v>111</v>
      </c>
      <c r="F82" s="100">
        <f>Müəllimlər!J15</f>
        <v>0</v>
      </c>
      <c r="G82" s="100">
        <f>Müəllimlər!K15</f>
        <v>0</v>
      </c>
      <c r="H82" s="100">
        <f>Müəllimlər!L15</f>
        <v>0</v>
      </c>
      <c r="I82" s="100">
        <f>Müəllimlər!M15</f>
        <v>0</v>
      </c>
      <c r="J82" s="100">
        <f>Müəllimlər!N15</f>
        <v>0</v>
      </c>
      <c r="K82" s="98">
        <f>Bio!K158</f>
        <v>2</v>
      </c>
      <c r="L82" s="98">
        <f>Bio!L158</f>
        <v>10</v>
      </c>
      <c r="M82" s="112">
        <f>Bio!M158</f>
        <v>12</v>
      </c>
      <c r="N82" s="99">
        <f>Bio!N158</f>
        <v>47.692307692307693</v>
      </c>
      <c r="O82" s="99">
        <f>Bio!O158</f>
        <v>0</v>
      </c>
      <c r="P82" s="99">
        <f>Bio!P158</f>
        <v>0</v>
      </c>
      <c r="Q82" s="99">
        <f>Bio!Q158</f>
        <v>0</v>
      </c>
      <c r="R82" s="99">
        <f>Bio!R158</f>
        <v>43.435897435897431</v>
      </c>
      <c r="S82" s="99">
        <f>Bio!S158</f>
        <v>46.46153846153846</v>
      </c>
      <c r="T82" s="99">
        <f>Bio!T158</f>
        <v>45.251282051282047</v>
      </c>
      <c r="U82" s="99">
        <f>Bio!U158</f>
        <v>0</v>
      </c>
      <c r="V82" s="99">
        <f>Bio!V158</f>
        <v>0</v>
      </c>
      <c r="W82" s="99">
        <f>Bio!W158</f>
        <v>0</v>
      </c>
      <c r="X82" s="99">
        <f>Bio!X158</f>
        <v>0</v>
      </c>
      <c r="Y82" s="99">
        <f>Bio!Y158</f>
        <v>0</v>
      </c>
      <c r="Z82" s="99">
        <f>Bio!Z158</f>
        <v>0</v>
      </c>
      <c r="AA82" s="99">
        <f>Bio!AA158</f>
        <v>0</v>
      </c>
      <c r="AB82" s="99">
        <f>Bio!AB158</f>
        <v>0</v>
      </c>
      <c r="AC82" s="99">
        <f>Bio!AC158</f>
        <v>43.435897435897431</v>
      </c>
      <c r="AD82" s="99">
        <f>Bio!AD158</f>
        <v>46.46153846153846</v>
      </c>
      <c r="AE82" s="99">
        <f>Bio!AE158</f>
        <v>45.251282051282047</v>
      </c>
      <c r="AF82" s="99">
        <f>Bio!AF158</f>
        <v>0</v>
      </c>
      <c r="AG82" s="98" t="str">
        <f>Bio!AG158</f>
        <v>Oğlanlar</v>
      </c>
    </row>
    <row r="83" spans="2:33" x14ac:dyDescent="0.25">
      <c r="B83" s="119"/>
      <c r="C83" s="100"/>
      <c r="D83" s="100"/>
      <c r="E83" s="100" t="s">
        <v>113</v>
      </c>
      <c r="F83" s="100">
        <f>Müəllimlər!O15</f>
        <v>0</v>
      </c>
      <c r="G83" s="100">
        <f>Müəllimlər!P15</f>
        <v>0</v>
      </c>
      <c r="H83" s="100">
        <f>Müəllimlər!Q15</f>
        <v>0</v>
      </c>
      <c r="I83" s="100">
        <f>Müəllimlər!R15</f>
        <v>0</v>
      </c>
      <c r="J83" s="100">
        <f>Müəllimlər!S15</f>
        <v>0</v>
      </c>
      <c r="K83" s="100"/>
      <c r="L83" s="100"/>
      <c r="M83" s="100"/>
      <c r="N83" s="99">
        <f>Bio!N159</f>
        <v>54.142857142857146</v>
      </c>
      <c r="O83" s="99">
        <f>Bio!O159</f>
        <v>0</v>
      </c>
      <c r="P83" s="99">
        <f>Bio!P159</f>
        <v>0</v>
      </c>
      <c r="Q83" s="99">
        <f>Bio!Q159</f>
        <v>0</v>
      </c>
      <c r="R83" s="99">
        <f>Bio!R159</f>
        <v>54.857142857142854</v>
      </c>
      <c r="S83" s="99">
        <f>Bio!S159</f>
        <v>54.571428571428569</v>
      </c>
      <c r="T83" s="99">
        <f>Bio!T159</f>
        <v>54.685714285714276</v>
      </c>
      <c r="U83" s="99">
        <f>Bio!U159</f>
        <v>0</v>
      </c>
      <c r="V83" s="99">
        <f>Bio!V159</f>
        <v>0</v>
      </c>
      <c r="W83" s="99">
        <f>Bio!W159</f>
        <v>0</v>
      </c>
      <c r="X83" s="99">
        <f>Bio!X159</f>
        <v>0</v>
      </c>
      <c r="Y83" s="99">
        <f>Bio!Y159</f>
        <v>0</v>
      </c>
      <c r="Z83" s="99">
        <f>Bio!Z159</f>
        <v>0</v>
      </c>
      <c r="AA83" s="99">
        <f>Bio!AA159</f>
        <v>0</v>
      </c>
      <c r="AB83" s="99">
        <f>Bio!AB159</f>
        <v>0</v>
      </c>
      <c r="AC83" s="99">
        <f>Bio!AC159</f>
        <v>54.857142857142854</v>
      </c>
      <c r="AD83" s="99">
        <f>Bio!AD159</f>
        <v>54.571428571428569</v>
      </c>
      <c r="AE83" s="99">
        <f>Bio!AE159</f>
        <v>54.685714285714276</v>
      </c>
      <c r="AF83" s="99">
        <f>Bio!AF159</f>
        <v>0</v>
      </c>
      <c r="AG83" s="98" t="str">
        <f>Bio!AG159</f>
        <v>Qızlar</v>
      </c>
    </row>
    <row r="84" spans="2:33" x14ac:dyDescent="0.25">
      <c r="B84" s="224"/>
      <c r="C84" s="222"/>
      <c r="D84" s="222"/>
      <c r="E84" s="222" t="s">
        <v>122</v>
      </c>
      <c r="F84" s="222">
        <f>Müəllimlər!T15</f>
        <v>0</v>
      </c>
      <c r="G84" s="222">
        <f>Müəllimlər!U15</f>
        <v>0</v>
      </c>
      <c r="H84" s="222">
        <f>Müəllimlər!V15</f>
        <v>0</v>
      </c>
      <c r="I84" s="222">
        <f>Müəllimlər!W15</f>
        <v>0</v>
      </c>
      <c r="J84" s="222">
        <f>Müəllimlər!X15</f>
        <v>0</v>
      </c>
      <c r="K84" s="222"/>
      <c r="L84" s="222"/>
      <c r="M84" s="222"/>
      <c r="N84" s="99">
        <f>Bio!N160</f>
        <v>15</v>
      </c>
      <c r="O84" s="99" t="str">
        <f>Bio!O160</f>
        <v/>
      </c>
      <c r="P84" s="99" t="str">
        <f>Bio!P160</f>
        <v/>
      </c>
      <c r="Q84" s="99" t="str">
        <f>Bio!Q160</f>
        <v/>
      </c>
      <c r="R84" s="99">
        <f>Bio!R160</f>
        <v>10</v>
      </c>
      <c r="S84" s="99">
        <f>Bio!S160</f>
        <v>10</v>
      </c>
      <c r="T84" s="99">
        <f>Bio!T160</f>
        <v>10</v>
      </c>
      <c r="U84" s="99" t="str">
        <f>Bio!U160</f>
        <v/>
      </c>
      <c r="V84" s="99" t="str">
        <f>Bio!V160</f>
        <v/>
      </c>
      <c r="W84" s="99" t="str">
        <f>Bio!W160</f>
        <v/>
      </c>
      <c r="X84" s="99" t="str">
        <f>Bio!X160</f>
        <v/>
      </c>
      <c r="Y84" s="99" t="str">
        <f>Bio!Y160</f>
        <v/>
      </c>
      <c r="Z84" s="99" t="str">
        <f>Bio!Z160</f>
        <v/>
      </c>
      <c r="AA84" s="99" t="str">
        <f>Bio!AA160</f>
        <v/>
      </c>
      <c r="AB84" s="99" t="str">
        <f>Bio!AB160</f>
        <v/>
      </c>
      <c r="AC84" s="99">
        <f>Bio!AC160</f>
        <v>10</v>
      </c>
      <c r="AD84" s="99">
        <f>Bio!AD160</f>
        <v>10</v>
      </c>
      <c r="AE84" s="99">
        <f>Bio!AE160</f>
        <v>10</v>
      </c>
      <c r="AF84" s="99" t="str">
        <f>Bio!AF160</f>
        <v/>
      </c>
      <c r="AG84" s="98" t="str">
        <f>Bio!AG160</f>
        <v>(80-100]</v>
      </c>
    </row>
    <row r="85" spans="2:33" x14ac:dyDescent="0.25">
      <c r="B85" s="224"/>
      <c r="C85" s="222"/>
      <c r="D85" s="222"/>
      <c r="E85" s="222" t="s">
        <v>119</v>
      </c>
      <c r="F85" s="222">
        <f>Müəllimlər!Y15</f>
        <v>0</v>
      </c>
      <c r="G85" s="222">
        <f>Müəllimlər!Z15</f>
        <v>0</v>
      </c>
      <c r="H85" s="222">
        <f>Müəllimlər!AA15</f>
        <v>0</v>
      </c>
      <c r="I85" s="222">
        <f>Müəllimlər!AB15</f>
        <v>0</v>
      </c>
      <c r="J85" s="222">
        <f>Müəllimlər!AC15</f>
        <v>0</v>
      </c>
      <c r="K85" s="222"/>
      <c r="L85" s="222"/>
      <c r="M85" s="222"/>
      <c r="N85" s="99">
        <f>Bio!N161</f>
        <v>10</v>
      </c>
      <c r="O85" s="99" t="str">
        <f>Bio!O161</f>
        <v/>
      </c>
      <c r="P85" s="99" t="str">
        <f>Bio!P161</f>
        <v/>
      </c>
      <c r="Q85" s="99" t="str">
        <f>Bio!Q161</f>
        <v/>
      </c>
      <c r="R85" s="99">
        <f>Bio!R161</f>
        <v>15</v>
      </c>
      <c r="S85" s="99">
        <f>Bio!S161</f>
        <v>25</v>
      </c>
      <c r="T85" s="99">
        <f>Bio!T161</f>
        <v>20</v>
      </c>
      <c r="U85" s="99" t="str">
        <f>Bio!U161</f>
        <v/>
      </c>
      <c r="V85" s="99" t="str">
        <f>Bio!V161</f>
        <v/>
      </c>
      <c r="W85" s="99" t="str">
        <f>Bio!W161</f>
        <v/>
      </c>
      <c r="X85" s="99" t="str">
        <f>Bio!X161</f>
        <v/>
      </c>
      <c r="Y85" s="99" t="str">
        <f>Bio!Y161</f>
        <v/>
      </c>
      <c r="Z85" s="99" t="str">
        <f>Bio!Z161</f>
        <v/>
      </c>
      <c r="AA85" s="99" t="str">
        <f>Bio!AA161</f>
        <v/>
      </c>
      <c r="AB85" s="99" t="str">
        <f>Bio!AB161</f>
        <v/>
      </c>
      <c r="AC85" s="99">
        <f>Bio!AC161</f>
        <v>15</v>
      </c>
      <c r="AD85" s="99">
        <f>Bio!AD161</f>
        <v>25</v>
      </c>
      <c r="AE85" s="99">
        <f>Bio!AE161</f>
        <v>20</v>
      </c>
      <c r="AF85" s="99" t="str">
        <f>Bio!AF161</f>
        <v/>
      </c>
      <c r="AG85" s="98" t="str">
        <f>Bio!AG161</f>
        <v>(60-80]</v>
      </c>
    </row>
    <row r="86" spans="2:33" x14ac:dyDescent="0.25">
      <c r="B86" s="119"/>
      <c r="C86" s="100"/>
      <c r="D86" s="100"/>
      <c r="E86" s="100" t="s">
        <v>120</v>
      </c>
      <c r="F86" s="100">
        <f>Müəllimlər!AD15</f>
        <v>0</v>
      </c>
      <c r="G86" s="100">
        <f>Müəllimlər!AE15</f>
        <v>0</v>
      </c>
      <c r="H86" s="100">
        <f>Müəllimlər!AF15</f>
        <v>0</v>
      </c>
      <c r="I86" s="100">
        <f>Müəllimlər!AG15</f>
        <v>0</v>
      </c>
      <c r="J86" s="100">
        <f>Müəllimlər!AH15</f>
        <v>0</v>
      </c>
      <c r="K86" s="100"/>
      <c r="L86" s="100"/>
      <c r="M86" s="100"/>
      <c r="N86" s="99">
        <f>Bio!N162</f>
        <v>75</v>
      </c>
      <c r="O86" s="99" t="str">
        <f>Bio!O162</f>
        <v/>
      </c>
      <c r="P86" s="99" t="str">
        <f>Bio!P162</f>
        <v/>
      </c>
      <c r="Q86" s="99" t="str">
        <f>Bio!Q162</f>
        <v/>
      </c>
      <c r="R86" s="99">
        <f>Bio!R162</f>
        <v>75</v>
      </c>
      <c r="S86" s="99">
        <f>Bio!S162</f>
        <v>65</v>
      </c>
      <c r="T86" s="99">
        <f>Bio!T162</f>
        <v>70</v>
      </c>
      <c r="U86" s="99" t="str">
        <f>Bio!U162</f>
        <v/>
      </c>
      <c r="V86" s="99" t="str">
        <f>Bio!V162</f>
        <v/>
      </c>
      <c r="W86" s="99" t="str">
        <f>Bio!W162</f>
        <v/>
      </c>
      <c r="X86" s="99" t="str">
        <f>Bio!X162</f>
        <v/>
      </c>
      <c r="Y86" s="99" t="str">
        <f>Bio!Y162</f>
        <v/>
      </c>
      <c r="Z86" s="99" t="str">
        <f>Bio!Z162</f>
        <v/>
      </c>
      <c r="AA86" s="99" t="str">
        <f>Bio!AA162</f>
        <v/>
      </c>
      <c r="AB86" s="99" t="str">
        <f>Bio!AB162</f>
        <v/>
      </c>
      <c r="AC86" s="99">
        <f>Bio!AC162</f>
        <v>75</v>
      </c>
      <c r="AD86" s="99">
        <f>Bio!AD162</f>
        <v>65</v>
      </c>
      <c r="AE86" s="99">
        <f>Bio!AE162</f>
        <v>70</v>
      </c>
      <c r="AF86" s="99" t="str">
        <f>Bio!AF162</f>
        <v/>
      </c>
      <c r="AG86" s="98" t="str">
        <f>Bio!AG162</f>
        <v>(30-60]</v>
      </c>
    </row>
    <row r="87" spans="2:33" x14ac:dyDescent="0.25">
      <c r="B87" s="119"/>
      <c r="C87" s="100"/>
      <c r="D87" s="100"/>
      <c r="E87" s="223" t="s">
        <v>121</v>
      </c>
      <c r="F87" s="100">
        <f>Müəllimlər!AI15</f>
        <v>0</v>
      </c>
      <c r="G87" s="100">
        <f>Müəllimlər!AJ15</f>
        <v>0</v>
      </c>
      <c r="H87" s="100">
        <f>Müəllimlər!AK15</f>
        <v>0</v>
      </c>
      <c r="I87" s="100">
        <f>Müəllimlər!AL15</f>
        <v>0</v>
      </c>
      <c r="J87" s="100">
        <f>Müəllimlər!AM15</f>
        <v>0</v>
      </c>
      <c r="K87" s="100"/>
      <c r="L87" s="100"/>
      <c r="M87" s="100"/>
      <c r="N87" s="99">
        <f>Bio!N163</f>
        <v>0</v>
      </c>
      <c r="O87" s="99" t="str">
        <f>Bio!O163</f>
        <v/>
      </c>
      <c r="P87" s="99" t="str">
        <f>Bio!P163</f>
        <v/>
      </c>
      <c r="Q87" s="99" t="str">
        <f>Bio!Q163</f>
        <v/>
      </c>
      <c r="R87" s="99">
        <f>Bio!R163</f>
        <v>0</v>
      </c>
      <c r="S87" s="99">
        <f>Bio!S163</f>
        <v>0</v>
      </c>
      <c r="T87" s="99">
        <f>Bio!T163</f>
        <v>0</v>
      </c>
      <c r="U87" s="99" t="str">
        <f>Bio!U163</f>
        <v/>
      </c>
      <c r="V87" s="99" t="str">
        <f>Bio!V163</f>
        <v/>
      </c>
      <c r="W87" s="99" t="str">
        <f>Bio!W163</f>
        <v/>
      </c>
      <c r="X87" s="99" t="str">
        <f>Bio!X163</f>
        <v/>
      </c>
      <c r="Y87" s="99" t="str">
        <f>Bio!Y163</f>
        <v/>
      </c>
      <c r="Z87" s="99" t="str">
        <f>Bio!Z163</f>
        <v/>
      </c>
      <c r="AA87" s="99" t="str">
        <f>Bio!AA163</f>
        <v/>
      </c>
      <c r="AB87" s="99" t="str">
        <f>Bio!AB163</f>
        <v/>
      </c>
      <c r="AC87" s="99">
        <f>Bio!AC163</f>
        <v>0</v>
      </c>
      <c r="AD87" s="99">
        <f>Bio!AD163</f>
        <v>0</v>
      </c>
      <c r="AE87" s="99">
        <f>Bio!AE163</f>
        <v>0</v>
      </c>
      <c r="AF87" s="99" t="str">
        <f>Bio!AF163</f>
        <v/>
      </c>
      <c r="AG87" s="98" t="str">
        <f>Bio!AG163</f>
        <v>[0-30]</v>
      </c>
    </row>
    <row r="88" spans="2:33" x14ac:dyDescent="0.25">
      <c r="B88" s="95">
        <f>Coğ!B157</f>
        <v>8</v>
      </c>
      <c r="C88" s="95" t="str">
        <f>Coğ!C157</f>
        <v>e</v>
      </c>
      <c r="D88" s="95" t="str">
        <f>Coğ!D157</f>
        <v>Coğrafiya</v>
      </c>
      <c r="E88" s="95" t="str">
        <f>Coğ!E157</f>
        <v>Məmmədova Sevil Zahid</v>
      </c>
      <c r="F88" s="95">
        <f>Coğ!F157</f>
        <v>68</v>
      </c>
      <c r="G88" s="95" t="str">
        <f>Coğ!G157</f>
        <v>Azərbaycan</v>
      </c>
      <c r="H88" s="95">
        <f>Coğ!H157</f>
        <v>13</v>
      </c>
      <c r="I88" s="95">
        <f>Coğ!I157</f>
        <v>7</v>
      </c>
      <c r="J88" s="95">
        <f>Coğ!J157</f>
        <v>20</v>
      </c>
      <c r="K88" s="96">
        <f>Coğ!K157</f>
        <v>2.0361990950226243</v>
      </c>
      <c r="L88" s="96">
        <f>Coğ!L157</f>
        <v>3.7815126050420167</v>
      </c>
      <c r="M88" s="113">
        <f>Coğ!M157</f>
        <v>2.6470588235294117</v>
      </c>
      <c r="N88" s="96">
        <f>Coğ!N157</f>
        <v>62.5</v>
      </c>
      <c r="O88" s="96" t="str">
        <f>Coğ!O157</f>
        <v/>
      </c>
      <c r="P88" s="96" t="str">
        <f>Coğ!P157</f>
        <v/>
      </c>
      <c r="Q88" s="96" t="str">
        <f>Coğ!Q157</f>
        <v/>
      </c>
      <c r="R88" s="96">
        <f>Coğ!R157</f>
        <v>50.88333333333334</v>
      </c>
      <c r="S88" s="96" t="str">
        <f>Coğ!S157</f>
        <v/>
      </c>
      <c r="T88" s="96">
        <f>Coğ!T157</f>
        <v>50.88333333333334</v>
      </c>
      <c r="U88" s="96" t="str">
        <f>Coğ!U157</f>
        <v/>
      </c>
      <c r="V88" s="96" t="str">
        <f>Coğ!V157</f>
        <v/>
      </c>
      <c r="W88" s="96" t="str">
        <f>Coğ!W157</f>
        <v/>
      </c>
      <c r="X88" s="96" t="str">
        <f>Coğ!X157</f>
        <v/>
      </c>
      <c r="Y88" s="96" t="str">
        <f>Coğ!Y157</f>
        <v/>
      </c>
      <c r="Z88" s="96" t="str">
        <f>Coğ!Z157</f>
        <v/>
      </c>
      <c r="AA88" s="96" t="str">
        <f>Coğ!AA157</f>
        <v/>
      </c>
      <c r="AB88" s="96" t="str">
        <f>Coğ!AB157</f>
        <v/>
      </c>
      <c r="AC88" s="96">
        <f>Coğ!AC157</f>
        <v>50.88333333333334</v>
      </c>
      <c r="AD88" s="96" t="str">
        <f>Coğ!AD157</f>
        <v/>
      </c>
      <c r="AE88" s="96">
        <f>Coğ!AE157</f>
        <v>50.88333333333334</v>
      </c>
      <c r="AF88" s="96" t="str">
        <f>Coğ!AF157</f>
        <v/>
      </c>
      <c r="AG88" s="95" t="str">
        <f>Coğ!AG157</f>
        <v>Ümumi</v>
      </c>
    </row>
    <row r="89" spans="2:33" x14ac:dyDescent="0.25">
      <c r="B89" s="120"/>
      <c r="C89" s="97"/>
      <c r="D89" s="97"/>
      <c r="E89" s="97" t="s">
        <v>111</v>
      </c>
      <c r="F89" s="97">
        <f>Müəllimlər!J16</f>
        <v>0</v>
      </c>
      <c r="G89" s="97">
        <f>Müəllimlər!K16</f>
        <v>0</v>
      </c>
      <c r="H89" s="97">
        <f>Müəllimlər!L16</f>
        <v>0</v>
      </c>
      <c r="I89" s="97">
        <f>Müəllimlər!M16</f>
        <v>0</v>
      </c>
      <c r="J89" s="97">
        <f>Müəllimlər!N16</f>
        <v>0</v>
      </c>
      <c r="K89" s="95">
        <f>Coğ!K158</f>
        <v>18</v>
      </c>
      <c r="L89" s="95">
        <f>Coğ!L158</f>
        <v>18</v>
      </c>
      <c r="M89" s="109">
        <f>Coğ!M158</f>
        <v>36</v>
      </c>
      <c r="N89" s="96">
        <f>Coğ!N158</f>
        <v>57.92307692307692</v>
      </c>
      <c r="O89" s="96">
        <f>Coğ!O158</f>
        <v>0</v>
      </c>
      <c r="P89" s="96">
        <f>Coğ!P158</f>
        <v>0</v>
      </c>
      <c r="Q89" s="96">
        <f>Coğ!Q158</f>
        <v>0</v>
      </c>
      <c r="R89" s="96">
        <f>Coğ!R158</f>
        <v>46.53846153846154</v>
      </c>
      <c r="S89" s="96">
        <f>Coğ!S158</f>
        <v>0</v>
      </c>
      <c r="T89" s="96">
        <f>Coğ!T158</f>
        <v>46.53846153846154</v>
      </c>
      <c r="U89" s="96">
        <f>Coğ!U158</f>
        <v>0</v>
      </c>
      <c r="V89" s="96">
        <f>Coğ!V158</f>
        <v>0</v>
      </c>
      <c r="W89" s="96">
        <f>Coğ!W158</f>
        <v>0</v>
      </c>
      <c r="X89" s="96">
        <f>Coğ!X158</f>
        <v>0</v>
      </c>
      <c r="Y89" s="96">
        <f>Coğ!Y158</f>
        <v>0</v>
      </c>
      <c r="Z89" s="96">
        <f>Coğ!Z158</f>
        <v>0</v>
      </c>
      <c r="AA89" s="96">
        <f>Coğ!AA158</f>
        <v>0</v>
      </c>
      <c r="AB89" s="96">
        <f>Coğ!AB158</f>
        <v>0</v>
      </c>
      <c r="AC89" s="96">
        <f>Coğ!AC158</f>
        <v>46.53846153846154</v>
      </c>
      <c r="AD89" s="96">
        <f>Coğ!AD158</f>
        <v>0</v>
      </c>
      <c r="AE89" s="96">
        <f>Coğ!AE158</f>
        <v>46.53846153846154</v>
      </c>
      <c r="AF89" s="96">
        <f>Coğ!AF158</f>
        <v>0</v>
      </c>
      <c r="AG89" s="95" t="str">
        <f>Coğ!AG158</f>
        <v>Oğlanlar</v>
      </c>
    </row>
    <row r="90" spans="2:33" x14ac:dyDescent="0.25">
      <c r="B90" s="120"/>
      <c r="C90" s="97"/>
      <c r="D90" s="97"/>
      <c r="E90" s="97" t="s">
        <v>113</v>
      </c>
      <c r="F90" s="97">
        <f>Müəllimlər!O16</f>
        <v>0</v>
      </c>
      <c r="G90" s="97">
        <f>Müəllimlər!P16</f>
        <v>0</v>
      </c>
      <c r="H90" s="97">
        <f>Müəllimlər!Q16</f>
        <v>0</v>
      </c>
      <c r="I90" s="97">
        <f>Müəllimlər!R16</f>
        <v>0</v>
      </c>
      <c r="J90" s="97">
        <f>Müəllimlər!S16</f>
        <v>0</v>
      </c>
      <c r="K90" s="97"/>
      <c r="L90" s="97"/>
      <c r="M90" s="97"/>
      <c r="N90" s="96">
        <f>Coğ!N159</f>
        <v>71</v>
      </c>
      <c r="O90" s="96">
        <f>Coğ!O159</f>
        <v>0</v>
      </c>
      <c r="P90" s="96">
        <f>Coğ!P159</f>
        <v>0</v>
      </c>
      <c r="Q90" s="96">
        <f>Coğ!Q159</f>
        <v>0</v>
      </c>
      <c r="R90" s="96">
        <f>Coğ!R159</f>
        <v>58.952380952380949</v>
      </c>
      <c r="S90" s="96">
        <f>Coğ!S159</f>
        <v>0</v>
      </c>
      <c r="T90" s="96">
        <f>Coğ!T159</f>
        <v>58.952380952380949</v>
      </c>
      <c r="U90" s="96">
        <f>Coğ!U159</f>
        <v>0</v>
      </c>
      <c r="V90" s="96">
        <f>Coğ!V159</f>
        <v>0</v>
      </c>
      <c r="W90" s="96">
        <f>Coğ!W159</f>
        <v>0</v>
      </c>
      <c r="X90" s="96">
        <f>Coğ!X159</f>
        <v>0</v>
      </c>
      <c r="Y90" s="96">
        <f>Coğ!Y159</f>
        <v>0</v>
      </c>
      <c r="Z90" s="96">
        <f>Coğ!Z159</f>
        <v>0</v>
      </c>
      <c r="AA90" s="96">
        <f>Coğ!AA159</f>
        <v>0</v>
      </c>
      <c r="AB90" s="96">
        <f>Coğ!AB159</f>
        <v>0</v>
      </c>
      <c r="AC90" s="96">
        <f>Coğ!AC159</f>
        <v>58.952380952380949</v>
      </c>
      <c r="AD90" s="96">
        <f>Coğ!AD159</f>
        <v>0</v>
      </c>
      <c r="AE90" s="96">
        <f>Coğ!AE159</f>
        <v>58.952380952380949</v>
      </c>
      <c r="AF90" s="96">
        <f>Coğ!AF159</f>
        <v>0</v>
      </c>
      <c r="AG90" s="95" t="str">
        <f>Coğ!AG159</f>
        <v>Qızlar</v>
      </c>
    </row>
    <row r="91" spans="2:33" x14ac:dyDescent="0.25">
      <c r="B91" s="117"/>
      <c r="C91" s="106"/>
      <c r="D91" s="106"/>
      <c r="E91" s="106" t="s">
        <v>122</v>
      </c>
      <c r="F91" s="106">
        <f>Müəllimlər!T16</f>
        <v>0</v>
      </c>
      <c r="G91" s="106">
        <f>Müəllimlər!U16</f>
        <v>0</v>
      </c>
      <c r="H91" s="106">
        <f>Müəllimlər!V16</f>
        <v>0</v>
      </c>
      <c r="I91" s="106">
        <f>Müəllimlər!W16</f>
        <v>0</v>
      </c>
      <c r="J91" s="106">
        <f>Müəllimlər!X16</f>
        <v>0</v>
      </c>
      <c r="K91" s="106"/>
      <c r="L91" s="106"/>
      <c r="M91" s="106"/>
      <c r="N91" s="96">
        <f>Coğ!N160</f>
        <v>20</v>
      </c>
      <c r="O91" s="96" t="str">
        <f>Coğ!O160</f>
        <v/>
      </c>
      <c r="P91" s="96" t="str">
        <f>Coğ!P160</f>
        <v/>
      </c>
      <c r="Q91" s="96" t="str">
        <f>Coğ!Q160</f>
        <v/>
      </c>
      <c r="R91" s="96">
        <f>Coğ!R160</f>
        <v>0</v>
      </c>
      <c r="S91" s="96" t="str">
        <f>Coğ!S160</f>
        <v/>
      </c>
      <c r="T91" s="96">
        <f>Coğ!T160</f>
        <v>0</v>
      </c>
      <c r="U91" s="96" t="str">
        <f>Coğ!U160</f>
        <v/>
      </c>
      <c r="V91" s="96" t="str">
        <f>Coğ!V160</f>
        <v/>
      </c>
      <c r="W91" s="96" t="str">
        <f>Coğ!W160</f>
        <v/>
      </c>
      <c r="X91" s="96" t="str">
        <f>Coğ!X160</f>
        <v/>
      </c>
      <c r="Y91" s="96" t="str">
        <f>Coğ!Y160</f>
        <v/>
      </c>
      <c r="Z91" s="96" t="str">
        <f>Coğ!Z160</f>
        <v/>
      </c>
      <c r="AA91" s="96" t="str">
        <f>Coğ!AA160</f>
        <v/>
      </c>
      <c r="AB91" s="96" t="str">
        <f>Coğ!AB160</f>
        <v/>
      </c>
      <c r="AC91" s="96">
        <f>Coğ!AC160</f>
        <v>0</v>
      </c>
      <c r="AD91" s="96" t="str">
        <f>Coğ!AD160</f>
        <v/>
      </c>
      <c r="AE91" s="96">
        <f>Coğ!AE160</f>
        <v>0</v>
      </c>
      <c r="AF91" s="96" t="str">
        <f>Coğ!AF160</f>
        <v/>
      </c>
      <c r="AG91" s="95" t="str">
        <f>Coğ!AG160</f>
        <v>(80-100]</v>
      </c>
    </row>
    <row r="92" spans="2:33" x14ac:dyDescent="0.25">
      <c r="B92" s="117"/>
      <c r="C92" s="106"/>
      <c r="D92" s="106"/>
      <c r="E92" s="106" t="s">
        <v>119</v>
      </c>
      <c r="F92" s="106">
        <f>Müəllimlər!Y16</f>
        <v>0</v>
      </c>
      <c r="G92" s="106">
        <f>Müəllimlər!Z16</f>
        <v>0</v>
      </c>
      <c r="H92" s="106">
        <f>Müəllimlər!AA16</f>
        <v>0</v>
      </c>
      <c r="I92" s="106">
        <f>Müəllimlər!AB16</f>
        <v>0</v>
      </c>
      <c r="J92" s="106">
        <f>Müəllimlər!AC16</f>
        <v>0</v>
      </c>
      <c r="K92" s="106"/>
      <c r="L92" s="106"/>
      <c r="M92" s="106"/>
      <c r="N92" s="96">
        <f>Coğ!N161</f>
        <v>20</v>
      </c>
      <c r="O92" s="96" t="str">
        <f>Coğ!O161</f>
        <v/>
      </c>
      <c r="P92" s="96" t="str">
        <f>Coğ!P161</f>
        <v/>
      </c>
      <c r="Q92" s="96" t="str">
        <f>Coğ!Q161</f>
        <v/>
      </c>
      <c r="R92" s="96">
        <f>Coğ!R161</f>
        <v>25</v>
      </c>
      <c r="S92" s="96" t="str">
        <f>Coğ!S161</f>
        <v/>
      </c>
      <c r="T92" s="96">
        <f>Coğ!T161</f>
        <v>25</v>
      </c>
      <c r="U92" s="96" t="str">
        <f>Coğ!U161</f>
        <v/>
      </c>
      <c r="V92" s="96" t="str">
        <f>Coğ!V161</f>
        <v/>
      </c>
      <c r="W92" s="96" t="str">
        <f>Coğ!W161</f>
        <v/>
      </c>
      <c r="X92" s="96" t="str">
        <f>Coğ!X161</f>
        <v/>
      </c>
      <c r="Y92" s="96" t="str">
        <f>Coğ!Y161</f>
        <v/>
      </c>
      <c r="Z92" s="96" t="str">
        <f>Coğ!Z161</f>
        <v/>
      </c>
      <c r="AA92" s="96" t="str">
        <f>Coğ!AA161</f>
        <v/>
      </c>
      <c r="AB92" s="96" t="str">
        <f>Coğ!AB161</f>
        <v/>
      </c>
      <c r="AC92" s="96">
        <f>Coğ!AC161</f>
        <v>25</v>
      </c>
      <c r="AD92" s="96" t="str">
        <f>Coğ!AD161</f>
        <v/>
      </c>
      <c r="AE92" s="96">
        <f>Coğ!AE161</f>
        <v>25</v>
      </c>
      <c r="AF92" s="96" t="str">
        <f>Coğ!AF161</f>
        <v/>
      </c>
      <c r="AG92" s="95" t="str">
        <f>Coğ!AG161</f>
        <v>(60-80]</v>
      </c>
    </row>
    <row r="93" spans="2:33" x14ac:dyDescent="0.25">
      <c r="B93" s="120"/>
      <c r="C93" s="97"/>
      <c r="D93" s="97"/>
      <c r="E93" s="97" t="s">
        <v>120</v>
      </c>
      <c r="F93" s="97">
        <f>Müəllimlər!AD16</f>
        <v>0</v>
      </c>
      <c r="G93" s="97">
        <f>Müəllimlər!AE16</f>
        <v>0</v>
      </c>
      <c r="H93" s="97">
        <f>Müəllimlər!AF16</f>
        <v>0</v>
      </c>
      <c r="I93" s="97">
        <f>Müəllimlər!AG16</f>
        <v>0</v>
      </c>
      <c r="J93" s="97">
        <f>Müəllimlər!AH16</f>
        <v>0</v>
      </c>
      <c r="K93" s="97"/>
      <c r="L93" s="97"/>
      <c r="M93" s="97"/>
      <c r="N93" s="96">
        <f>Coğ!N162</f>
        <v>60</v>
      </c>
      <c r="O93" s="96" t="str">
        <f>Coğ!O162</f>
        <v/>
      </c>
      <c r="P93" s="96" t="str">
        <f>Coğ!P162</f>
        <v/>
      </c>
      <c r="Q93" s="96" t="str">
        <f>Coğ!Q162</f>
        <v/>
      </c>
      <c r="R93" s="96">
        <f>Coğ!R162</f>
        <v>75</v>
      </c>
      <c r="S93" s="96" t="str">
        <f>Coğ!S162</f>
        <v/>
      </c>
      <c r="T93" s="96">
        <f>Coğ!T162</f>
        <v>75</v>
      </c>
      <c r="U93" s="96" t="str">
        <f>Coğ!U162</f>
        <v/>
      </c>
      <c r="V93" s="96" t="str">
        <f>Coğ!V162</f>
        <v/>
      </c>
      <c r="W93" s="96" t="str">
        <f>Coğ!W162</f>
        <v/>
      </c>
      <c r="X93" s="96" t="str">
        <f>Coğ!X162</f>
        <v/>
      </c>
      <c r="Y93" s="96" t="str">
        <f>Coğ!Y162</f>
        <v/>
      </c>
      <c r="Z93" s="96" t="str">
        <f>Coğ!Z162</f>
        <v/>
      </c>
      <c r="AA93" s="96" t="str">
        <f>Coğ!AA162</f>
        <v/>
      </c>
      <c r="AB93" s="96" t="str">
        <f>Coğ!AB162</f>
        <v/>
      </c>
      <c r="AC93" s="96">
        <f>Coğ!AC162</f>
        <v>75</v>
      </c>
      <c r="AD93" s="96" t="str">
        <f>Coğ!AD162</f>
        <v/>
      </c>
      <c r="AE93" s="96">
        <f>Coğ!AE162</f>
        <v>75</v>
      </c>
      <c r="AF93" s="96" t="str">
        <f>Coğ!AF162</f>
        <v/>
      </c>
      <c r="AG93" s="95" t="str">
        <f>Coğ!AG162</f>
        <v>(30-60]</v>
      </c>
    </row>
    <row r="94" spans="2:33" x14ac:dyDescent="0.25">
      <c r="B94" s="120"/>
      <c r="C94" s="97"/>
      <c r="D94" s="97"/>
      <c r="E94" s="229" t="s">
        <v>121</v>
      </c>
      <c r="F94" s="97">
        <f>Müəllimlər!AI16</f>
        <v>0</v>
      </c>
      <c r="G94" s="97">
        <f>Müəllimlər!AJ16</f>
        <v>0</v>
      </c>
      <c r="H94" s="97">
        <f>Müəllimlər!AK16</f>
        <v>0</v>
      </c>
      <c r="I94" s="97">
        <f>Müəllimlər!AL16</f>
        <v>0</v>
      </c>
      <c r="J94" s="97">
        <f>Müəllimlər!AM16</f>
        <v>0</v>
      </c>
      <c r="K94" s="97"/>
      <c r="L94" s="97"/>
      <c r="M94" s="97"/>
      <c r="N94" s="96">
        <f>Coğ!N163</f>
        <v>0</v>
      </c>
      <c r="O94" s="110" t="str">
        <f>Coğ!O163</f>
        <v/>
      </c>
      <c r="P94" s="110" t="str">
        <f>Coğ!P163</f>
        <v/>
      </c>
      <c r="Q94" s="110" t="str">
        <f>Coğ!Q163</f>
        <v/>
      </c>
      <c r="R94" s="110">
        <f>Coğ!R163</f>
        <v>0</v>
      </c>
      <c r="S94" s="110" t="str">
        <f>Coğ!S163</f>
        <v/>
      </c>
      <c r="T94" s="110">
        <f>Coğ!T163</f>
        <v>0</v>
      </c>
      <c r="U94" s="110" t="str">
        <f>Coğ!U163</f>
        <v/>
      </c>
      <c r="V94" s="110" t="str">
        <f>Coğ!V163</f>
        <v/>
      </c>
      <c r="W94" s="110" t="str">
        <f>Coğ!W163</f>
        <v/>
      </c>
      <c r="X94" s="110" t="str">
        <f>Coğ!X163</f>
        <v/>
      </c>
      <c r="Y94" s="110" t="str">
        <f>Coğ!Y163</f>
        <v/>
      </c>
      <c r="Z94" s="110" t="str">
        <f>Coğ!Z163</f>
        <v/>
      </c>
      <c r="AA94" s="110" t="str">
        <f>Coğ!AA163</f>
        <v/>
      </c>
      <c r="AB94" s="110" t="str">
        <f>Coğ!AB163</f>
        <v/>
      </c>
      <c r="AC94" s="110">
        <f>Coğ!AC163</f>
        <v>0</v>
      </c>
      <c r="AD94" s="110" t="str">
        <f>Coğ!AD163</f>
        <v/>
      </c>
      <c r="AE94" s="110">
        <f>Coğ!AE163</f>
        <v>0</v>
      </c>
      <c r="AF94" s="110" t="str">
        <f>Coğ!AF163</f>
        <v/>
      </c>
      <c r="AG94" s="111" t="str">
        <f>Coğ!AG163</f>
        <v>[0-30]</v>
      </c>
    </row>
    <row r="95" spans="2:33" x14ac:dyDescent="0.25">
      <c r="B95" s="98">
        <f>'Həy-b'!B157</f>
        <v>8</v>
      </c>
      <c r="C95" s="98" t="str">
        <f>'Həy-b'!C157</f>
        <v>e</v>
      </c>
      <c r="D95" s="98" t="str">
        <f>'Həy-b'!D157</f>
        <v>Həyat bilgisi</v>
      </c>
      <c r="E95" s="98" t="str">
        <f>'Həy-b'!E157</f>
        <v>Həmidova Məlahət Mənsub</v>
      </c>
      <c r="F95" s="98">
        <f>'Həy-b'!F157</f>
        <v>34</v>
      </c>
      <c r="G95" s="98" t="str">
        <f>'Həy-b'!G157</f>
        <v>Azərbaycan</v>
      </c>
      <c r="H95" s="98">
        <f>'Həy-b'!H157</f>
        <v>13</v>
      </c>
      <c r="I95" s="98">
        <f>'Həy-b'!I157</f>
        <v>7</v>
      </c>
      <c r="J95" s="98">
        <f>'Həy-b'!J157</f>
        <v>20</v>
      </c>
      <c r="K95" s="99">
        <f>'Həy-b'!K157</f>
        <v>0</v>
      </c>
      <c r="L95" s="99">
        <f>'Həy-b'!L157</f>
        <v>2.9411764705882355</v>
      </c>
      <c r="M95" s="219">
        <f>'Həy-b'!M157</f>
        <v>1.0294117647058822</v>
      </c>
      <c r="N95" s="99">
        <f>'Həy-b'!N157</f>
        <v>56.3</v>
      </c>
      <c r="O95" s="99" t="str">
        <f>'Həy-b'!O157</f>
        <v/>
      </c>
      <c r="P95" s="99" t="str">
        <f>'Həy-b'!P157</f>
        <v/>
      </c>
      <c r="Q95" s="99" t="str">
        <f>'Həy-b'!Q157</f>
        <v/>
      </c>
      <c r="R95" s="99">
        <f>'Həy-b'!R157</f>
        <v>53.9</v>
      </c>
      <c r="S95" s="99" t="str">
        <f>'Həy-b'!S157</f>
        <v/>
      </c>
      <c r="T95" s="99">
        <f>'Həy-b'!T157</f>
        <v>53.9</v>
      </c>
      <c r="U95" s="99" t="str">
        <f>'Həy-b'!U157</f>
        <v/>
      </c>
      <c r="V95" s="99" t="str">
        <f>'Həy-b'!V157</f>
        <v/>
      </c>
      <c r="W95" s="99" t="str">
        <f>'Həy-b'!W157</f>
        <v/>
      </c>
      <c r="X95" s="99" t="str">
        <f>'Həy-b'!X157</f>
        <v/>
      </c>
      <c r="Y95" s="99" t="str">
        <f>'Həy-b'!Y157</f>
        <v/>
      </c>
      <c r="Z95" s="99" t="str">
        <f>'Həy-b'!Z157</f>
        <v/>
      </c>
      <c r="AA95" s="99" t="str">
        <f>'Həy-b'!AA157</f>
        <v/>
      </c>
      <c r="AB95" s="99" t="str">
        <f>'Həy-b'!AB157</f>
        <v/>
      </c>
      <c r="AC95" s="99">
        <f>'Həy-b'!AC157</f>
        <v>53.9</v>
      </c>
      <c r="AD95" s="99" t="str">
        <f>'Həy-b'!AD157</f>
        <v/>
      </c>
      <c r="AE95" s="99">
        <f>'Həy-b'!AE157</f>
        <v>53.9</v>
      </c>
      <c r="AF95" s="99" t="str">
        <f>'Həy-b'!AF157</f>
        <v/>
      </c>
      <c r="AG95" s="98" t="str">
        <f>'Həy-b'!AG157</f>
        <v>Ümumi</v>
      </c>
    </row>
    <row r="96" spans="2:33" x14ac:dyDescent="0.25">
      <c r="B96" s="119"/>
      <c r="C96" s="100"/>
      <c r="D96" s="100"/>
      <c r="E96" s="100" t="s">
        <v>111</v>
      </c>
      <c r="F96" s="100">
        <f>Müəllimlər!J17</f>
        <v>0</v>
      </c>
      <c r="G96" s="100">
        <f>Müəllimlər!K17</f>
        <v>0</v>
      </c>
      <c r="H96" s="100">
        <f>Müəllimlər!L17</f>
        <v>0</v>
      </c>
      <c r="I96" s="100">
        <f>Müəllimlər!M17</f>
        <v>0</v>
      </c>
      <c r="J96" s="100">
        <f>Müəllimlər!N17</f>
        <v>0</v>
      </c>
      <c r="K96" s="98">
        <f>'Həy-b'!K158</f>
        <v>0</v>
      </c>
      <c r="L96" s="98">
        <f>'Həy-b'!L158</f>
        <v>7</v>
      </c>
      <c r="M96" s="112">
        <f>'Həy-b'!M158</f>
        <v>7</v>
      </c>
      <c r="N96" s="99">
        <f>'Həy-b'!N158</f>
        <v>51</v>
      </c>
      <c r="O96" s="99">
        <f>'Həy-b'!O158</f>
        <v>0</v>
      </c>
      <c r="P96" s="99">
        <f>'Həy-b'!P158</f>
        <v>0</v>
      </c>
      <c r="Q96" s="99">
        <f>'Həy-b'!Q158</f>
        <v>0</v>
      </c>
      <c r="R96" s="99">
        <f>'Həy-b'!R158</f>
        <v>49.282051282051277</v>
      </c>
      <c r="S96" s="99">
        <f>'Həy-b'!S158</f>
        <v>0</v>
      </c>
      <c r="T96" s="99">
        <f>'Həy-b'!T158</f>
        <v>49.282051282051277</v>
      </c>
      <c r="U96" s="99">
        <f>'Həy-b'!U158</f>
        <v>0</v>
      </c>
      <c r="V96" s="99">
        <f>'Həy-b'!V158</f>
        <v>0</v>
      </c>
      <c r="W96" s="99">
        <f>'Həy-b'!W158</f>
        <v>0</v>
      </c>
      <c r="X96" s="99">
        <f>'Həy-b'!X158</f>
        <v>0</v>
      </c>
      <c r="Y96" s="99">
        <f>'Həy-b'!Y158</f>
        <v>0</v>
      </c>
      <c r="Z96" s="99">
        <f>'Həy-b'!Z158</f>
        <v>0</v>
      </c>
      <c r="AA96" s="99">
        <f>'Həy-b'!AA158</f>
        <v>0</v>
      </c>
      <c r="AB96" s="99">
        <f>'Həy-b'!AB158</f>
        <v>0</v>
      </c>
      <c r="AC96" s="99">
        <f>'Həy-b'!AC158</f>
        <v>49.282051282051277</v>
      </c>
      <c r="AD96" s="99">
        <f>'Həy-b'!AD158</f>
        <v>0</v>
      </c>
      <c r="AE96" s="99">
        <f>'Həy-b'!AE158</f>
        <v>49.282051282051277</v>
      </c>
      <c r="AF96" s="99">
        <f>'Həy-b'!AF158</f>
        <v>0</v>
      </c>
      <c r="AG96" s="98" t="str">
        <f>'Həy-b'!AG158</f>
        <v>Oğlanlar</v>
      </c>
    </row>
    <row r="97" spans="2:33" x14ac:dyDescent="0.25">
      <c r="B97" s="119"/>
      <c r="C97" s="100"/>
      <c r="D97" s="100"/>
      <c r="E97" s="100" t="s">
        <v>113</v>
      </c>
      <c r="F97" s="100">
        <f>Müəllimlər!O17</f>
        <v>0</v>
      </c>
      <c r="G97" s="100">
        <f>Müəllimlər!P17</f>
        <v>0</v>
      </c>
      <c r="H97" s="100">
        <f>Müəllimlər!Q17</f>
        <v>0</v>
      </c>
      <c r="I97" s="100">
        <f>Müəllimlər!R17</f>
        <v>0</v>
      </c>
      <c r="J97" s="100">
        <f>Müəllimlər!S17</f>
        <v>0</v>
      </c>
      <c r="K97" s="100"/>
      <c r="L97" s="100"/>
      <c r="M97" s="100"/>
      <c r="N97" s="99">
        <f>'Həy-b'!N159</f>
        <v>66.142857142857139</v>
      </c>
      <c r="O97" s="99">
        <f>'Həy-b'!O159</f>
        <v>0</v>
      </c>
      <c r="P97" s="99">
        <f>'Həy-b'!P159</f>
        <v>0</v>
      </c>
      <c r="Q97" s="99">
        <f>'Həy-b'!Q159</f>
        <v>0</v>
      </c>
      <c r="R97" s="99">
        <f>'Həy-b'!R159</f>
        <v>62.476190476190474</v>
      </c>
      <c r="S97" s="99">
        <f>'Həy-b'!S159</f>
        <v>0</v>
      </c>
      <c r="T97" s="99">
        <f>'Həy-b'!T159</f>
        <v>62.476190476190474</v>
      </c>
      <c r="U97" s="99">
        <f>'Həy-b'!U159</f>
        <v>0</v>
      </c>
      <c r="V97" s="99">
        <f>'Həy-b'!V159</f>
        <v>0</v>
      </c>
      <c r="W97" s="99">
        <f>'Həy-b'!W159</f>
        <v>0</v>
      </c>
      <c r="X97" s="99">
        <f>'Həy-b'!X159</f>
        <v>0</v>
      </c>
      <c r="Y97" s="99">
        <f>'Həy-b'!Y159</f>
        <v>0</v>
      </c>
      <c r="Z97" s="99">
        <f>'Həy-b'!Z159</f>
        <v>0</v>
      </c>
      <c r="AA97" s="99">
        <f>'Həy-b'!AA159</f>
        <v>0</v>
      </c>
      <c r="AB97" s="99">
        <f>'Həy-b'!AB159</f>
        <v>0</v>
      </c>
      <c r="AC97" s="99">
        <f>'Həy-b'!AC159</f>
        <v>62.476190476190474</v>
      </c>
      <c r="AD97" s="99">
        <f>'Həy-b'!AD159</f>
        <v>0</v>
      </c>
      <c r="AE97" s="99">
        <f>'Həy-b'!AE159</f>
        <v>62.476190476190474</v>
      </c>
      <c r="AF97" s="99">
        <f>'Həy-b'!AF159</f>
        <v>0</v>
      </c>
      <c r="AG97" s="98" t="str">
        <f>'Həy-b'!AG159</f>
        <v>Qızlar</v>
      </c>
    </row>
    <row r="98" spans="2:33" x14ac:dyDescent="0.25">
      <c r="B98" s="224"/>
      <c r="C98" s="222"/>
      <c r="D98" s="222"/>
      <c r="E98" s="222" t="s">
        <v>122</v>
      </c>
      <c r="F98" s="222">
        <f>Müəllimlər!T17</f>
        <v>0</v>
      </c>
      <c r="G98" s="222">
        <f>Müəllimlər!U17</f>
        <v>0</v>
      </c>
      <c r="H98" s="222">
        <f>Müəllimlər!V17</f>
        <v>0</v>
      </c>
      <c r="I98" s="222">
        <f>Müəllimlər!W17</f>
        <v>0</v>
      </c>
      <c r="J98" s="222">
        <f>Müəllimlər!X17</f>
        <v>0</v>
      </c>
      <c r="K98" s="222"/>
      <c r="L98" s="222"/>
      <c r="M98" s="222"/>
      <c r="N98" s="99">
        <f>'Həy-b'!N160</f>
        <v>15</v>
      </c>
      <c r="O98" s="99" t="str">
        <f>'Həy-b'!O160</f>
        <v/>
      </c>
      <c r="P98" s="99" t="str">
        <f>'Həy-b'!P160</f>
        <v/>
      </c>
      <c r="Q98" s="99" t="str">
        <f>'Həy-b'!Q160</f>
        <v/>
      </c>
      <c r="R98" s="99">
        <f>'Həy-b'!R160</f>
        <v>10</v>
      </c>
      <c r="S98" s="99" t="str">
        <f>'Həy-b'!S160</f>
        <v/>
      </c>
      <c r="T98" s="99">
        <f>'Həy-b'!T160</f>
        <v>10</v>
      </c>
      <c r="U98" s="99" t="str">
        <f>'Həy-b'!U160</f>
        <v/>
      </c>
      <c r="V98" s="99" t="str">
        <f>'Həy-b'!V160</f>
        <v/>
      </c>
      <c r="W98" s="99" t="str">
        <f>'Həy-b'!W160</f>
        <v/>
      </c>
      <c r="X98" s="99" t="str">
        <f>'Həy-b'!X160</f>
        <v/>
      </c>
      <c r="Y98" s="99" t="str">
        <f>'Həy-b'!Y160</f>
        <v/>
      </c>
      <c r="Z98" s="99" t="str">
        <f>'Həy-b'!Z160</f>
        <v/>
      </c>
      <c r="AA98" s="99" t="str">
        <f>'Həy-b'!AA160</f>
        <v/>
      </c>
      <c r="AB98" s="99" t="str">
        <f>'Həy-b'!AB160</f>
        <v/>
      </c>
      <c r="AC98" s="99">
        <f>'Həy-b'!AC160</f>
        <v>10</v>
      </c>
      <c r="AD98" s="99" t="str">
        <f>'Həy-b'!AD160</f>
        <v/>
      </c>
      <c r="AE98" s="99">
        <f>'Həy-b'!AE160</f>
        <v>10</v>
      </c>
      <c r="AF98" s="99" t="str">
        <f>'Həy-b'!AF160</f>
        <v/>
      </c>
      <c r="AG98" s="98" t="str">
        <f>'Həy-b'!AG160</f>
        <v>(80-100]</v>
      </c>
    </row>
    <row r="99" spans="2:33" x14ac:dyDescent="0.25">
      <c r="B99" s="224"/>
      <c r="C99" s="222"/>
      <c r="D99" s="222"/>
      <c r="E99" s="222" t="s">
        <v>119</v>
      </c>
      <c r="F99" s="222">
        <f>Müəllimlər!Y17</f>
        <v>0</v>
      </c>
      <c r="G99" s="222">
        <f>Müəllimlər!Z17</f>
        <v>0</v>
      </c>
      <c r="H99" s="222">
        <f>Müəllimlər!AA17</f>
        <v>0</v>
      </c>
      <c r="I99" s="222">
        <f>Müəllimlər!AB17</f>
        <v>0</v>
      </c>
      <c r="J99" s="222">
        <f>Müəllimlər!AC17</f>
        <v>0</v>
      </c>
      <c r="K99" s="222"/>
      <c r="L99" s="222"/>
      <c r="M99" s="222"/>
      <c r="N99" s="99">
        <f>'Həy-b'!N161</f>
        <v>20</v>
      </c>
      <c r="O99" s="99" t="str">
        <f>'Həy-b'!O161</f>
        <v/>
      </c>
      <c r="P99" s="99" t="str">
        <f>'Həy-b'!P161</f>
        <v/>
      </c>
      <c r="Q99" s="99" t="str">
        <f>'Həy-b'!Q161</f>
        <v/>
      </c>
      <c r="R99" s="99">
        <f>'Həy-b'!R161</f>
        <v>30</v>
      </c>
      <c r="S99" s="99" t="str">
        <f>'Həy-b'!S161</f>
        <v/>
      </c>
      <c r="T99" s="99">
        <f>'Həy-b'!T161</f>
        <v>30</v>
      </c>
      <c r="U99" s="99" t="str">
        <f>'Həy-b'!U161</f>
        <v/>
      </c>
      <c r="V99" s="99" t="str">
        <f>'Həy-b'!V161</f>
        <v/>
      </c>
      <c r="W99" s="99" t="str">
        <f>'Həy-b'!W161</f>
        <v/>
      </c>
      <c r="X99" s="99" t="str">
        <f>'Həy-b'!X161</f>
        <v/>
      </c>
      <c r="Y99" s="99" t="str">
        <f>'Həy-b'!Y161</f>
        <v/>
      </c>
      <c r="Z99" s="99" t="str">
        <f>'Həy-b'!Z161</f>
        <v/>
      </c>
      <c r="AA99" s="99" t="str">
        <f>'Həy-b'!AA161</f>
        <v/>
      </c>
      <c r="AB99" s="99" t="str">
        <f>'Həy-b'!AB161</f>
        <v/>
      </c>
      <c r="AC99" s="99">
        <f>'Həy-b'!AC161</f>
        <v>30</v>
      </c>
      <c r="AD99" s="99" t="str">
        <f>'Həy-b'!AD161</f>
        <v/>
      </c>
      <c r="AE99" s="99">
        <f>'Həy-b'!AE161</f>
        <v>30</v>
      </c>
      <c r="AF99" s="99" t="str">
        <f>'Həy-b'!AF161</f>
        <v/>
      </c>
      <c r="AG99" s="98" t="str">
        <f>'Həy-b'!AG161</f>
        <v>(60-80]</v>
      </c>
    </row>
    <row r="100" spans="2:33" x14ac:dyDescent="0.25">
      <c r="B100" s="119"/>
      <c r="C100" s="100"/>
      <c r="D100" s="100"/>
      <c r="E100" s="100" t="s">
        <v>120</v>
      </c>
      <c r="F100" s="100">
        <f>Müəllimlər!AD17</f>
        <v>0</v>
      </c>
      <c r="G100" s="100">
        <f>Müəllimlər!AE17</f>
        <v>0</v>
      </c>
      <c r="H100" s="100">
        <f>Müəllimlər!AF17</f>
        <v>0</v>
      </c>
      <c r="I100" s="100">
        <f>Müəllimlər!AG17</f>
        <v>0</v>
      </c>
      <c r="J100" s="100">
        <f>Müəllimlər!AH17</f>
        <v>0</v>
      </c>
      <c r="K100" s="100"/>
      <c r="L100" s="100"/>
      <c r="M100" s="100"/>
      <c r="N100" s="99">
        <f>'Həy-b'!N162</f>
        <v>65</v>
      </c>
      <c r="O100" s="99" t="str">
        <f>'Həy-b'!O162</f>
        <v/>
      </c>
      <c r="P100" s="99" t="str">
        <f>'Həy-b'!P162</f>
        <v/>
      </c>
      <c r="Q100" s="99" t="str">
        <f>'Həy-b'!Q162</f>
        <v/>
      </c>
      <c r="R100" s="99">
        <f>'Həy-b'!R162</f>
        <v>60</v>
      </c>
      <c r="S100" s="99" t="str">
        <f>'Həy-b'!S162</f>
        <v/>
      </c>
      <c r="T100" s="99">
        <f>'Həy-b'!T162</f>
        <v>60</v>
      </c>
      <c r="U100" s="99" t="str">
        <f>'Həy-b'!U162</f>
        <v/>
      </c>
      <c r="V100" s="99" t="str">
        <f>'Həy-b'!V162</f>
        <v/>
      </c>
      <c r="W100" s="99" t="str">
        <f>'Həy-b'!W162</f>
        <v/>
      </c>
      <c r="X100" s="99" t="str">
        <f>'Həy-b'!X162</f>
        <v/>
      </c>
      <c r="Y100" s="99" t="str">
        <f>'Həy-b'!Y162</f>
        <v/>
      </c>
      <c r="Z100" s="99" t="str">
        <f>'Həy-b'!Z162</f>
        <v/>
      </c>
      <c r="AA100" s="99" t="str">
        <f>'Həy-b'!AA162</f>
        <v/>
      </c>
      <c r="AB100" s="99" t="str">
        <f>'Həy-b'!AB162</f>
        <v/>
      </c>
      <c r="AC100" s="99">
        <f>'Həy-b'!AC162</f>
        <v>60</v>
      </c>
      <c r="AD100" s="99" t="str">
        <f>'Həy-b'!AD162</f>
        <v/>
      </c>
      <c r="AE100" s="99">
        <f>'Həy-b'!AE162</f>
        <v>60</v>
      </c>
      <c r="AF100" s="99" t="str">
        <f>'Həy-b'!AF162</f>
        <v/>
      </c>
      <c r="AG100" s="98" t="str">
        <f>'Həy-b'!AG162</f>
        <v>(30-60]</v>
      </c>
    </row>
    <row r="101" spans="2:33" x14ac:dyDescent="0.25">
      <c r="B101" s="119"/>
      <c r="C101" s="100"/>
      <c r="D101" s="100"/>
      <c r="E101" s="223" t="s">
        <v>121</v>
      </c>
      <c r="F101" s="100">
        <f>Müəllimlər!AI17</f>
        <v>0</v>
      </c>
      <c r="G101" s="100">
        <f>Müəllimlər!AJ17</f>
        <v>0</v>
      </c>
      <c r="H101" s="100">
        <f>Müəllimlər!AK17</f>
        <v>0</v>
      </c>
      <c r="I101" s="100">
        <f>Müəllimlər!AL17</f>
        <v>0</v>
      </c>
      <c r="J101" s="100">
        <f>Müəllimlər!AM17</f>
        <v>0</v>
      </c>
      <c r="K101" s="100"/>
      <c r="L101" s="100"/>
      <c r="M101" s="100"/>
      <c r="N101" s="99">
        <f>'Həy-b'!N163</f>
        <v>0</v>
      </c>
      <c r="O101" s="107" t="str">
        <f>'Həy-b'!O163</f>
        <v/>
      </c>
      <c r="P101" s="107" t="str">
        <f>'Həy-b'!P163</f>
        <v/>
      </c>
      <c r="Q101" s="107" t="str">
        <f>'Həy-b'!Q163</f>
        <v/>
      </c>
      <c r="R101" s="107">
        <f>'Həy-b'!R163</f>
        <v>0</v>
      </c>
      <c r="S101" s="107" t="str">
        <f>'Həy-b'!S163</f>
        <v/>
      </c>
      <c r="T101" s="107">
        <f>'Həy-b'!T163</f>
        <v>0</v>
      </c>
      <c r="U101" s="107" t="str">
        <f>'Həy-b'!U163</f>
        <v/>
      </c>
      <c r="V101" s="107" t="str">
        <f>'Həy-b'!V163</f>
        <v/>
      </c>
      <c r="W101" s="107" t="str">
        <f>'Həy-b'!W163</f>
        <v/>
      </c>
      <c r="X101" s="107" t="str">
        <f>'Həy-b'!X163</f>
        <v/>
      </c>
      <c r="Y101" s="107" t="str">
        <f>'Həy-b'!Y163</f>
        <v/>
      </c>
      <c r="Z101" s="107" t="str">
        <f>'Həy-b'!Z163</f>
        <v/>
      </c>
      <c r="AA101" s="107" t="str">
        <f>'Həy-b'!AA163</f>
        <v/>
      </c>
      <c r="AB101" s="107" t="str">
        <f>'Həy-b'!AB163</f>
        <v/>
      </c>
      <c r="AC101" s="107">
        <f>'Həy-b'!AC163</f>
        <v>0</v>
      </c>
      <c r="AD101" s="107" t="str">
        <f>'Həy-b'!AD163</f>
        <v/>
      </c>
      <c r="AE101" s="107">
        <f>'Həy-b'!AE163</f>
        <v>0</v>
      </c>
      <c r="AF101" s="107" t="str">
        <f>'Həy-b'!AF163</f>
        <v/>
      </c>
      <c r="AG101" s="108" t="str">
        <f>'Həy-b'!AG163</f>
        <v>[0-30]</v>
      </c>
    </row>
    <row r="102" spans="2:33" x14ac:dyDescent="0.25">
      <c r="B102" s="95">
        <f>Texn!B157</f>
        <v>8</v>
      </c>
      <c r="C102" s="95" t="str">
        <f>Texn!C157</f>
        <v>e</v>
      </c>
      <c r="D102" s="95" t="str">
        <f>Texn!D157</f>
        <v>Texnologiya</v>
      </c>
      <c r="E102" s="95" t="str">
        <f>Texn!E157</f>
        <v>Atakişiyeva Səadət Hüseyin, Məmmədova Rübabə Rəsul</v>
      </c>
      <c r="F102" s="95">
        <f>Texn!F157</f>
        <v>34.340000000000003</v>
      </c>
      <c r="G102" s="95" t="str">
        <f>Texn!G157</f>
        <v>Azərbaycan</v>
      </c>
      <c r="H102" s="95">
        <f>Texn!H157</f>
        <v>13</v>
      </c>
      <c r="I102" s="95">
        <f>Texn!I157</f>
        <v>7</v>
      </c>
      <c r="J102" s="95">
        <f>Texn!J157</f>
        <v>20</v>
      </c>
      <c r="K102" s="96">
        <f>Texn!K157</f>
        <v>0</v>
      </c>
      <c r="L102" s="96">
        <f>Texn!L157</f>
        <v>0</v>
      </c>
      <c r="M102" s="113">
        <f>Texn!M157</f>
        <v>0</v>
      </c>
      <c r="N102" s="96">
        <f>Texn!N157</f>
        <v>63.25</v>
      </c>
      <c r="O102" s="96" t="str">
        <f>Texn!O157</f>
        <v/>
      </c>
      <c r="P102" s="96" t="str">
        <f>Texn!P157</f>
        <v/>
      </c>
      <c r="Q102" s="96" t="str">
        <f>Texn!Q157</f>
        <v/>
      </c>
      <c r="R102" s="96">
        <f>Texn!R157</f>
        <v>66.533333333333331</v>
      </c>
      <c r="S102" s="96" t="str">
        <f>Texn!S157</f>
        <v/>
      </c>
      <c r="T102" s="96">
        <f>Texn!T157</f>
        <v>66.533333333333331</v>
      </c>
      <c r="U102" s="96" t="str">
        <f>Texn!U157</f>
        <v/>
      </c>
      <c r="V102" s="96" t="str">
        <f>Texn!V157</f>
        <v/>
      </c>
      <c r="W102" s="96" t="str">
        <f>Texn!W157</f>
        <v/>
      </c>
      <c r="X102" s="96" t="str">
        <f>Texn!X157</f>
        <v/>
      </c>
      <c r="Y102" s="96" t="str">
        <f>Texn!Y157</f>
        <v/>
      </c>
      <c r="Z102" s="96" t="str">
        <f>Texn!Z157</f>
        <v/>
      </c>
      <c r="AA102" s="96" t="str">
        <f>Texn!AA157</f>
        <v/>
      </c>
      <c r="AB102" s="96" t="str">
        <f>Texn!AB157</f>
        <v/>
      </c>
      <c r="AC102" s="96">
        <f>Texn!AC157</f>
        <v>66.533333333333331</v>
      </c>
      <c r="AD102" s="96" t="str">
        <f>Texn!AD157</f>
        <v/>
      </c>
      <c r="AE102" s="96">
        <f>Texn!AE157</f>
        <v>66.533333333333331</v>
      </c>
      <c r="AF102" s="96" t="str">
        <f>Texn!AF157</f>
        <v/>
      </c>
      <c r="AG102" s="95" t="str">
        <f>Texn!AG157</f>
        <v>Ümumi</v>
      </c>
    </row>
    <row r="103" spans="2:33" x14ac:dyDescent="0.25">
      <c r="B103" s="120"/>
      <c r="C103" s="97"/>
      <c r="D103" s="97"/>
      <c r="E103" s="97" t="s">
        <v>111</v>
      </c>
      <c r="F103" s="97">
        <f>Müəllimlər!J18</f>
        <v>0</v>
      </c>
      <c r="G103" s="97">
        <f>Müəllimlər!K18</f>
        <v>0</v>
      </c>
      <c r="H103" s="97">
        <f>Müəllimlər!L18</f>
        <v>0</v>
      </c>
      <c r="I103" s="97">
        <f>Müəllimlər!M18</f>
        <v>0</v>
      </c>
      <c r="J103" s="97">
        <f>Müəllimlər!N18</f>
        <v>0</v>
      </c>
      <c r="K103" s="95">
        <f>Texn!K158</f>
        <v>0</v>
      </c>
      <c r="L103" s="95">
        <f>Texn!L158</f>
        <v>0</v>
      </c>
      <c r="M103" s="109">
        <f>Texn!M158</f>
        <v>0</v>
      </c>
      <c r="N103" s="96">
        <f>Texn!N158</f>
        <v>58.230769230769234</v>
      </c>
      <c r="O103" s="96">
        <f>Texn!O158</f>
        <v>0</v>
      </c>
      <c r="P103" s="96">
        <f>Texn!P158</f>
        <v>0</v>
      </c>
      <c r="Q103" s="96">
        <f>Texn!Q158</f>
        <v>0</v>
      </c>
      <c r="R103" s="96">
        <f>Texn!R158</f>
        <v>60.589743589743584</v>
      </c>
      <c r="S103" s="96">
        <f>Texn!S158</f>
        <v>0</v>
      </c>
      <c r="T103" s="96">
        <f>Texn!T158</f>
        <v>60.589743589743584</v>
      </c>
      <c r="U103" s="96">
        <f>Texn!U158</f>
        <v>0</v>
      </c>
      <c r="V103" s="96">
        <f>Texn!V158</f>
        <v>0</v>
      </c>
      <c r="W103" s="96">
        <f>Texn!W158</f>
        <v>0</v>
      </c>
      <c r="X103" s="96">
        <f>Texn!X158</f>
        <v>0</v>
      </c>
      <c r="Y103" s="96">
        <f>Texn!Y158</f>
        <v>0</v>
      </c>
      <c r="Z103" s="96">
        <f>Texn!Z158</f>
        <v>0</v>
      </c>
      <c r="AA103" s="96">
        <f>Texn!AA158</f>
        <v>0</v>
      </c>
      <c r="AB103" s="96">
        <f>Texn!AB158</f>
        <v>0</v>
      </c>
      <c r="AC103" s="96">
        <f>Texn!AC158</f>
        <v>60.589743589743584</v>
      </c>
      <c r="AD103" s="96">
        <f>Texn!AD158</f>
        <v>0</v>
      </c>
      <c r="AE103" s="96">
        <f>Texn!AE158</f>
        <v>60.589743589743584</v>
      </c>
      <c r="AF103" s="96">
        <f>Texn!AF158</f>
        <v>0</v>
      </c>
      <c r="AG103" s="95" t="str">
        <f>Texn!AG158</f>
        <v>Oğlanlar</v>
      </c>
    </row>
    <row r="104" spans="2:33" x14ac:dyDescent="0.25">
      <c r="B104" s="120"/>
      <c r="C104" s="97"/>
      <c r="D104" s="97"/>
      <c r="E104" s="97" t="s">
        <v>113</v>
      </c>
      <c r="F104" s="97">
        <f>Müəllimlər!O18</f>
        <v>0</v>
      </c>
      <c r="G104" s="97">
        <f>Müəllimlər!P18</f>
        <v>0</v>
      </c>
      <c r="H104" s="97">
        <f>Müəllimlər!Q18</f>
        <v>0</v>
      </c>
      <c r="I104" s="97">
        <f>Müəllimlər!R18</f>
        <v>0</v>
      </c>
      <c r="J104" s="97">
        <f>Müəllimlər!S18</f>
        <v>0</v>
      </c>
      <c r="K104" s="97"/>
      <c r="L104" s="97"/>
      <c r="M104" s="97"/>
      <c r="N104" s="96">
        <f>Texn!N159</f>
        <v>72.571428571428569</v>
      </c>
      <c r="O104" s="96">
        <f>Texn!O159</f>
        <v>0</v>
      </c>
      <c r="P104" s="96">
        <f>Texn!P159</f>
        <v>0</v>
      </c>
      <c r="Q104" s="96">
        <f>Texn!Q159</f>
        <v>0</v>
      </c>
      <c r="R104" s="96">
        <f>Texn!R159</f>
        <v>77.571428571428569</v>
      </c>
      <c r="S104" s="96">
        <f>Texn!S159</f>
        <v>0</v>
      </c>
      <c r="T104" s="96">
        <f>Texn!T159</f>
        <v>77.571428571428569</v>
      </c>
      <c r="U104" s="96">
        <f>Texn!U159</f>
        <v>0</v>
      </c>
      <c r="V104" s="96">
        <f>Texn!V159</f>
        <v>0</v>
      </c>
      <c r="W104" s="96">
        <f>Texn!W159</f>
        <v>0</v>
      </c>
      <c r="X104" s="96">
        <f>Texn!X159</f>
        <v>0</v>
      </c>
      <c r="Y104" s="96">
        <f>Texn!Y159</f>
        <v>0</v>
      </c>
      <c r="Z104" s="96">
        <f>Texn!Z159</f>
        <v>0</v>
      </c>
      <c r="AA104" s="96">
        <f>Texn!AA159</f>
        <v>0</v>
      </c>
      <c r="AB104" s="96">
        <f>Texn!AB159</f>
        <v>0</v>
      </c>
      <c r="AC104" s="96">
        <f>Texn!AC159</f>
        <v>77.571428571428569</v>
      </c>
      <c r="AD104" s="96">
        <f>Texn!AD159</f>
        <v>0</v>
      </c>
      <c r="AE104" s="96">
        <f>Texn!AE159</f>
        <v>77.571428571428569</v>
      </c>
      <c r="AF104" s="96">
        <f>Texn!AF159</f>
        <v>0</v>
      </c>
      <c r="AG104" s="95" t="str">
        <f>Texn!AG159</f>
        <v>Qızlar</v>
      </c>
    </row>
    <row r="105" spans="2:33" x14ac:dyDescent="0.25">
      <c r="B105" s="117"/>
      <c r="C105" s="106"/>
      <c r="D105" s="106"/>
      <c r="E105" s="106" t="s">
        <v>122</v>
      </c>
      <c r="F105" s="106">
        <f>Müəllimlər!T18</f>
        <v>0</v>
      </c>
      <c r="G105" s="106">
        <f>Müəllimlər!U18</f>
        <v>0</v>
      </c>
      <c r="H105" s="106">
        <f>Müəllimlər!V18</f>
        <v>0</v>
      </c>
      <c r="I105" s="106">
        <f>Müəllimlər!W18</f>
        <v>0</v>
      </c>
      <c r="J105" s="106">
        <f>Müəllimlər!X18</f>
        <v>0</v>
      </c>
      <c r="K105" s="106"/>
      <c r="L105" s="106"/>
      <c r="M105" s="106"/>
      <c r="N105" s="96">
        <f>Texn!N160</f>
        <v>20</v>
      </c>
      <c r="O105" s="96" t="str">
        <f>Texn!O160</f>
        <v/>
      </c>
      <c r="P105" s="96" t="str">
        <f>Texn!P160</f>
        <v/>
      </c>
      <c r="Q105" s="96" t="str">
        <f>Texn!Q160</f>
        <v/>
      </c>
      <c r="R105" s="96">
        <f>Texn!R160</f>
        <v>25</v>
      </c>
      <c r="S105" s="96" t="str">
        <f>Texn!S160</f>
        <v/>
      </c>
      <c r="T105" s="96">
        <f>Texn!T160</f>
        <v>25</v>
      </c>
      <c r="U105" s="96" t="str">
        <f>Texn!U160</f>
        <v/>
      </c>
      <c r="V105" s="96" t="str">
        <f>Texn!V160</f>
        <v/>
      </c>
      <c r="W105" s="96" t="str">
        <f>Texn!W160</f>
        <v/>
      </c>
      <c r="X105" s="96" t="str">
        <f>Texn!X160</f>
        <v/>
      </c>
      <c r="Y105" s="96" t="str">
        <f>Texn!Y160</f>
        <v/>
      </c>
      <c r="Z105" s="96" t="str">
        <f>Texn!Z160</f>
        <v/>
      </c>
      <c r="AA105" s="96" t="str">
        <f>Texn!AA160</f>
        <v/>
      </c>
      <c r="AB105" s="96" t="str">
        <f>Texn!AB160</f>
        <v/>
      </c>
      <c r="AC105" s="96">
        <f>Texn!AC160</f>
        <v>25</v>
      </c>
      <c r="AD105" s="96" t="str">
        <f>Texn!AD160</f>
        <v/>
      </c>
      <c r="AE105" s="96">
        <f>Texn!AE160</f>
        <v>25</v>
      </c>
      <c r="AF105" s="96" t="str">
        <f>Texn!AF160</f>
        <v/>
      </c>
      <c r="AG105" s="95" t="str">
        <f>Texn!AG160</f>
        <v>(80-100]</v>
      </c>
    </row>
    <row r="106" spans="2:33" x14ac:dyDescent="0.25">
      <c r="B106" s="117"/>
      <c r="C106" s="106"/>
      <c r="D106" s="106"/>
      <c r="E106" s="106" t="s">
        <v>119</v>
      </c>
      <c r="F106" s="106">
        <f>Müəllimlər!Y18</f>
        <v>0</v>
      </c>
      <c r="G106" s="106">
        <f>Müəllimlər!Z18</f>
        <v>0</v>
      </c>
      <c r="H106" s="106">
        <f>Müəllimlər!AA18</f>
        <v>0</v>
      </c>
      <c r="I106" s="106">
        <f>Müəllimlər!AB18</f>
        <v>0</v>
      </c>
      <c r="J106" s="106">
        <f>Müəllimlər!AC18</f>
        <v>0</v>
      </c>
      <c r="K106" s="106"/>
      <c r="L106" s="106"/>
      <c r="M106" s="106"/>
      <c r="N106" s="96">
        <f>Texn!N161</f>
        <v>35</v>
      </c>
      <c r="O106" s="96" t="str">
        <f>Texn!O161</f>
        <v/>
      </c>
      <c r="P106" s="96" t="str">
        <f>Texn!P161</f>
        <v/>
      </c>
      <c r="Q106" s="96" t="str">
        <f>Texn!Q161</f>
        <v/>
      </c>
      <c r="R106" s="96">
        <f>Texn!R161</f>
        <v>35</v>
      </c>
      <c r="S106" s="96" t="str">
        <f>Texn!S161</f>
        <v/>
      </c>
      <c r="T106" s="96">
        <f>Texn!T161</f>
        <v>35</v>
      </c>
      <c r="U106" s="96" t="str">
        <f>Texn!U161</f>
        <v/>
      </c>
      <c r="V106" s="96" t="str">
        <f>Texn!V161</f>
        <v/>
      </c>
      <c r="W106" s="96" t="str">
        <f>Texn!W161</f>
        <v/>
      </c>
      <c r="X106" s="96" t="str">
        <f>Texn!X161</f>
        <v/>
      </c>
      <c r="Y106" s="96" t="str">
        <f>Texn!Y161</f>
        <v/>
      </c>
      <c r="Z106" s="96" t="str">
        <f>Texn!Z161</f>
        <v/>
      </c>
      <c r="AA106" s="96" t="str">
        <f>Texn!AA161</f>
        <v/>
      </c>
      <c r="AB106" s="96" t="str">
        <f>Texn!AB161</f>
        <v/>
      </c>
      <c r="AC106" s="96">
        <f>Texn!AC161</f>
        <v>35</v>
      </c>
      <c r="AD106" s="96" t="str">
        <f>Texn!AD161</f>
        <v/>
      </c>
      <c r="AE106" s="96">
        <f>Texn!AE161</f>
        <v>35</v>
      </c>
      <c r="AF106" s="96" t="str">
        <f>Texn!AF161</f>
        <v/>
      </c>
      <c r="AG106" s="95" t="str">
        <f>Texn!AG161</f>
        <v>(60-80]</v>
      </c>
    </row>
    <row r="107" spans="2:33" x14ac:dyDescent="0.25">
      <c r="B107" s="120"/>
      <c r="C107" s="97"/>
      <c r="D107" s="97"/>
      <c r="E107" s="97" t="s">
        <v>120</v>
      </c>
      <c r="F107" s="97">
        <f>Müəllimlər!AD18</f>
        <v>0</v>
      </c>
      <c r="G107" s="97">
        <f>Müəllimlər!AE18</f>
        <v>0</v>
      </c>
      <c r="H107" s="97">
        <f>Müəllimlər!AF18</f>
        <v>0</v>
      </c>
      <c r="I107" s="97">
        <f>Müəllimlər!AG18</f>
        <v>0</v>
      </c>
      <c r="J107" s="97">
        <f>Müəllimlər!AH18</f>
        <v>0</v>
      </c>
      <c r="K107" s="97"/>
      <c r="L107" s="97"/>
      <c r="M107" s="97"/>
      <c r="N107" s="96">
        <f>Texn!N162</f>
        <v>45</v>
      </c>
      <c r="O107" s="96" t="str">
        <f>Texn!O162</f>
        <v/>
      </c>
      <c r="P107" s="96" t="str">
        <f>Texn!P162</f>
        <v/>
      </c>
      <c r="Q107" s="96" t="str">
        <f>Texn!Q162</f>
        <v/>
      </c>
      <c r="R107" s="96">
        <f>Texn!R162</f>
        <v>40</v>
      </c>
      <c r="S107" s="96" t="str">
        <f>Texn!S162</f>
        <v/>
      </c>
      <c r="T107" s="96">
        <f>Texn!T162</f>
        <v>40</v>
      </c>
      <c r="U107" s="96" t="str">
        <f>Texn!U162</f>
        <v/>
      </c>
      <c r="V107" s="96" t="str">
        <f>Texn!V162</f>
        <v/>
      </c>
      <c r="W107" s="96" t="str">
        <f>Texn!W162</f>
        <v/>
      </c>
      <c r="X107" s="96" t="str">
        <f>Texn!X162</f>
        <v/>
      </c>
      <c r="Y107" s="96" t="str">
        <f>Texn!Y162</f>
        <v/>
      </c>
      <c r="Z107" s="96" t="str">
        <f>Texn!Z162</f>
        <v/>
      </c>
      <c r="AA107" s="96" t="str">
        <f>Texn!AA162</f>
        <v/>
      </c>
      <c r="AB107" s="96" t="str">
        <f>Texn!AB162</f>
        <v/>
      </c>
      <c r="AC107" s="96">
        <f>Texn!AC162</f>
        <v>40</v>
      </c>
      <c r="AD107" s="96" t="str">
        <f>Texn!AD162</f>
        <v/>
      </c>
      <c r="AE107" s="96">
        <f>Texn!AE162</f>
        <v>40</v>
      </c>
      <c r="AF107" s="96" t="str">
        <f>Texn!AF162</f>
        <v/>
      </c>
      <c r="AG107" s="95" t="str">
        <f>Texn!AG162</f>
        <v>(30-60]</v>
      </c>
    </row>
    <row r="108" spans="2:33" x14ac:dyDescent="0.25">
      <c r="B108" s="120"/>
      <c r="C108" s="97"/>
      <c r="D108" s="97"/>
      <c r="E108" s="229" t="s">
        <v>121</v>
      </c>
      <c r="F108" s="97">
        <f>Müəllimlər!AI18</f>
        <v>0</v>
      </c>
      <c r="G108" s="97">
        <f>Müəllimlər!AJ18</f>
        <v>0</v>
      </c>
      <c r="H108" s="97">
        <f>Müəllimlər!AK18</f>
        <v>0</v>
      </c>
      <c r="I108" s="97">
        <f>Müəllimlər!AL18</f>
        <v>0</v>
      </c>
      <c r="J108" s="97">
        <f>Müəllimlər!AM18</f>
        <v>0</v>
      </c>
      <c r="K108" s="97"/>
      <c r="L108" s="97"/>
      <c r="M108" s="97"/>
      <c r="N108" s="96">
        <f>Texn!N163</f>
        <v>0</v>
      </c>
      <c r="O108" s="110" t="str">
        <f>Texn!O163</f>
        <v/>
      </c>
      <c r="P108" s="110" t="str">
        <f>Texn!P163</f>
        <v/>
      </c>
      <c r="Q108" s="110" t="str">
        <f>Texn!Q163</f>
        <v/>
      </c>
      <c r="R108" s="110">
        <f>Texn!R163</f>
        <v>0</v>
      </c>
      <c r="S108" s="110" t="str">
        <f>Texn!S163</f>
        <v/>
      </c>
      <c r="T108" s="110">
        <f>Texn!T163</f>
        <v>0</v>
      </c>
      <c r="U108" s="110" t="str">
        <f>Texn!U163</f>
        <v/>
      </c>
      <c r="V108" s="110" t="str">
        <f>Texn!V163</f>
        <v/>
      </c>
      <c r="W108" s="110" t="str">
        <f>Texn!W163</f>
        <v/>
      </c>
      <c r="X108" s="110" t="str">
        <f>Texn!X163</f>
        <v/>
      </c>
      <c r="Y108" s="110" t="str">
        <f>Texn!Y163</f>
        <v/>
      </c>
      <c r="Z108" s="110" t="str">
        <f>Texn!Z163</f>
        <v/>
      </c>
      <c r="AA108" s="110" t="str">
        <f>Texn!AA163</f>
        <v/>
      </c>
      <c r="AB108" s="110" t="str">
        <f>Texn!AB163</f>
        <v/>
      </c>
      <c r="AC108" s="110">
        <f>Texn!AC163</f>
        <v>0</v>
      </c>
      <c r="AD108" s="110" t="str">
        <f>Texn!AD163</f>
        <v/>
      </c>
      <c r="AE108" s="110">
        <f>Texn!AE163</f>
        <v>0</v>
      </c>
      <c r="AF108" s="110" t="str">
        <f>Texn!AF163</f>
        <v/>
      </c>
      <c r="AG108" s="111" t="str">
        <f>Texn!AG163</f>
        <v>[0-30]</v>
      </c>
    </row>
    <row r="109" spans="2:33" x14ac:dyDescent="0.25">
      <c r="B109" s="98">
        <f>'Fiz-t'!B157</f>
        <v>8</v>
      </c>
      <c r="C109" s="98" t="str">
        <f>'Fiz-t'!C157</f>
        <v>e</v>
      </c>
      <c r="D109" s="98" t="str">
        <f>'Fiz-t'!D157</f>
        <v>Fiziki tərbiyə</v>
      </c>
      <c r="E109" s="98" t="str">
        <f>'Fiz-t'!E157</f>
        <v>Xəlilova Bahar Xəlil, İsgəndərova İrina Qasım</v>
      </c>
      <c r="F109" s="98">
        <f>'Fiz-t'!F157</f>
        <v>68.680000000000007</v>
      </c>
      <c r="G109" s="98" t="str">
        <f>'Fiz-t'!G157</f>
        <v>Azərbaycan</v>
      </c>
      <c r="H109" s="98">
        <f>'Fiz-t'!H157</f>
        <v>13</v>
      </c>
      <c r="I109" s="98">
        <f>'Fiz-t'!I157</f>
        <v>7</v>
      </c>
      <c r="J109" s="98">
        <f>'Fiz-t'!J157</f>
        <v>20</v>
      </c>
      <c r="K109" s="99">
        <f>'Fiz-t'!K157</f>
        <v>0</v>
      </c>
      <c r="L109" s="99">
        <f>'Fiz-t'!L157</f>
        <v>0</v>
      </c>
      <c r="M109" s="219">
        <f>'Fiz-t'!M157</f>
        <v>0</v>
      </c>
      <c r="N109" s="99">
        <f>'Fiz-t'!N157</f>
        <v>81.400000000000006</v>
      </c>
      <c r="O109" s="99" t="str">
        <f>'Fiz-t'!O157</f>
        <v/>
      </c>
      <c r="P109" s="99" t="str">
        <f>'Fiz-t'!P157</f>
        <v/>
      </c>
      <c r="Q109" s="99" t="str">
        <f>'Fiz-t'!Q157</f>
        <v/>
      </c>
      <c r="R109" s="99">
        <f>'Fiz-t'!R157</f>
        <v>72.033333333333331</v>
      </c>
      <c r="S109" s="99" t="str">
        <f>'Fiz-t'!S157</f>
        <v/>
      </c>
      <c r="T109" s="99">
        <f>'Fiz-t'!T157</f>
        <v>72.033333333333331</v>
      </c>
      <c r="U109" s="99" t="str">
        <f>'Fiz-t'!U157</f>
        <v/>
      </c>
      <c r="V109" s="99" t="str">
        <f>'Fiz-t'!V157</f>
        <v/>
      </c>
      <c r="W109" s="99" t="str">
        <f>'Fiz-t'!W157</f>
        <v/>
      </c>
      <c r="X109" s="99" t="str">
        <f>'Fiz-t'!X157</f>
        <v/>
      </c>
      <c r="Y109" s="99" t="str">
        <f>'Fiz-t'!Y157</f>
        <v/>
      </c>
      <c r="Z109" s="99" t="str">
        <f>'Fiz-t'!Z157</f>
        <v/>
      </c>
      <c r="AA109" s="99" t="str">
        <f>'Fiz-t'!AA157</f>
        <v/>
      </c>
      <c r="AB109" s="99" t="str">
        <f>'Fiz-t'!AB157</f>
        <v/>
      </c>
      <c r="AC109" s="99">
        <f>'Fiz-t'!AC157</f>
        <v>72.033333333333331</v>
      </c>
      <c r="AD109" s="99" t="str">
        <f>'Fiz-t'!AD157</f>
        <v/>
      </c>
      <c r="AE109" s="99">
        <f>'Fiz-t'!AE157</f>
        <v>72.033333333333331</v>
      </c>
      <c r="AF109" s="99" t="str">
        <f>'Fiz-t'!AF157</f>
        <v/>
      </c>
      <c r="AG109" s="98" t="str">
        <f>'Fiz-t'!AG157</f>
        <v>Ümumi</v>
      </c>
    </row>
    <row r="110" spans="2:33" x14ac:dyDescent="0.25">
      <c r="B110" s="119"/>
      <c r="C110" s="100"/>
      <c r="D110" s="100"/>
      <c r="E110" s="100" t="s">
        <v>111</v>
      </c>
      <c r="F110" s="100">
        <f>Müəllimlər!J19</f>
        <v>0</v>
      </c>
      <c r="G110" s="100">
        <f>Müəllimlər!K19</f>
        <v>0</v>
      </c>
      <c r="H110" s="100">
        <f>Müəllimlər!L19</f>
        <v>0</v>
      </c>
      <c r="I110" s="100">
        <f>Müəllimlər!M19</f>
        <v>0</v>
      </c>
      <c r="J110" s="100">
        <f>Müəllimlər!N19</f>
        <v>0</v>
      </c>
      <c r="K110" s="98">
        <f>'Fiz-t'!K158</f>
        <v>0</v>
      </c>
      <c r="L110" s="98">
        <f>'Fiz-t'!L158</f>
        <v>0</v>
      </c>
      <c r="M110" s="112">
        <f>'Fiz-t'!M158</f>
        <v>0</v>
      </c>
      <c r="N110" s="99">
        <f>'Fiz-t'!N158</f>
        <v>79.538461538461533</v>
      </c>
      <c r="O110" s="99">
        <f>'Fiz-t'!O158</f>
        <v>0</v>
      </c>
      <c r="P110" s="99">
        <f>'Fiz-t'!P158</f>
        <v>0</v>
      </c>
      <c r="Q110" s="99">
        <f>'Fiz-t'!Q158</f>
        <v>0</v>
      </c>
      <c r="R110" s="99">
        <f>'Fiz-t'!R158</f>
        <v>69.358974358974351</v>
      </c>
      <c r="S110" s="99">
        <f>'Fiz-t'!S158</f>
        <v>0</v>
      </c>
      <c r="T110" s="99">
        <f>'Fiz-t'!T158</f>
        <v>69.358974358974351</v>
      </c>
      <c r="U110" s="99">
        <f>'Fiz-t'!U158</f>
        <v>0</v>
      </c>
      <c r="V110" s="99">
        <f>'Fiz-t'!V158</f>
        <v>0</v>
      </c>
      <c r="W110" s="99">
        <f>'Fiz-t'!W158</f>
        <v>0</v>
      </c>
      <c r="X110" s="99">
        <f>'Fiz-t'!X158</f>
        <v>0</v>
      </c>
      <c r="Y110" s="99">
        <f>'Fiz-t'!Y158</f>
        <v>0</v>
      </c>
      <c r="Z110" s="99">
        <f>'Fiz-t'!Z158</f>
        <v>0</v>
      </c>
      <c r="AA110" s="99">
        <f>'Fiz-t'!AA158</f>
        <v>0</v>
      </c>
      <c r="AB110" s="99">
        <f>'Fiz-t'!AB158</f>
        <v>0</v>
      </c>
      <c r="AC110" s="99">
        <f>'Fiz-t'!AC158</f>
        <v>69.358974358974351</v>
      </c>
      <c r="AD110" s="99">
        <f>'Fiz-t'!AD158</f>
        <v>0</v>
      </c>
      <c r="AE110" s="99">
        <f>'Fiz-t'!AE158</f>
        <v>69.358974358974351</v>
      </c>
      <c r="AF110" s="99">
        <f>'Fiz-t'!AF158</f>
        <v>0</v>
      </c>
      <c r="AG110" s="98" t="str">
        <f>'Fiz-t'!AG158</f>
        <v>Oğlanlar</v>
      </c>
    </row>
    <row r="111" spans="2:33" x14ac:dyDescent="0.25">
      <c r="B111" s="119"/>
      <c r="C111" s="100"/>
      <c r="D111" s="100"/>
      <c r="E111" s="100" t="s">
        <v>113</v>
      </c>
      <c r="F111" s="100">
        <f>Müəllimlər!O19</f>
        <v>0</v>
      </c>
      <c r="G111" s="100">
        <f>Müəllimlər!P19</f>
        <v>0</v>
      </c>
      <c r="H111" s="100">
        <f>Müəllimlər!Q19</f>
        <v>0</v>
      </c>
      <c r="I111" s="100">
        <f>Müəllimlər!R19</f>
        <v>0</v>
      </c>
      <c r="J111" s="100">
        <f>Müəllimlər!S19</f>
        <v>0</v>
      </c>
      <c r="K111" s="100"/>
      <c r="L111" s="100"/>
      <c r="M111" s="100"/>
      <c r="N111" s="99">
        <f>'Fiz-t'!N159</f>
        <v>84.857142857142861</v>
      </c>
      <c r="O111" s="99">
        <f>'Fiz-t'!O159</f>
        <v>0</v>
      </c>
      <c r="P111" s="99">
        <f>'Fiz-t'!P159</f>
        <v>0</v>
      </c>
      <c r="Q111" s="99">
        <f>'Fiz-t'!Q159</f>
        <v>0</v>
      </c>
      <c r="R111" s="99">
        <f>'Fiz-t'!R159</f>
        <v>77</v>
      </c>
      <c r="S111" s="99">
        <f>'Fiz-t'!S159</f>
        <v>0</v>
      </c>
      <c r="T111" s="99">
        <f>'Fiz-t'!T159</f>
        <v>77</v>
      </c>
      <c r="U111" s="99">
        <f>'Fiz-t'!U159</f>
        <v>0</v>
      </c>
      <c r="V111" s="99">
        <f>'Fiz-t'!V159</f>
        <v>0</v>
      </c>
      <c r="W111" s="99">
        <f>'Fiz-t'!W159</f>
        <v>0</v>
      </c>
      <c r="X111" s="99">
        <f>'Fiz-t'!X159</f>
        <v>0</v>
      </c>
      <c r="Y111" s="99">
        <f>'Fiz-t'!Y159</f>
        <v>0</v>
      </c>
      <c r="Z111" s="99">
        <f>'Fiz-t'!Z159</f>
        <v>0</v>
      </c>
      <c r="AA111" s="99">
        <f>'Fiz-t'!AA159</f>
        <v>0</v>
      </c>
      <c r="AB111" s="99">
        <f>'Fiz-t'!AB159</f>
        <v>0</v>
      </c>
      <c r="AC111" s="99">
        <f>'Fiz-t'!AC159</f>
        <v>77</v>
      </c>
      <c r="AD111" s="99">
        <f>'Fiz-t'!AD159</f>
        <v>0</v>
      </c>
      <c r="AE111" s="99">
        <f>'Fiz-t'!AE159</f>
        <v>77</v>
      </c>
      <c r="AF111" s="99">
        <f>'Fiz-t'!AF159</f>
        <v>0</v>
      </c>
      <c r="AG111" s="98" t="str">
        <f>'Fiz-t'!AG159</f>
        <v>Qızlar</v>
      </c>
    </row>
    <row r="112" spans="2:33" x14ac:dyDescent="0.25">
      <c r="B112" s="224"/>
      <c r="C112" s="222"/>
      <c r="D112" s="222"/>
      <c r="E112" s="222" t="s">
        <v>122</v>
      </c>
      <c r="F112" s="222">
        <f>Müəllimlər!T19</f>
        <v>0</v>
      </c>
      <c r="G112" s="222">
        <f>Müəllimlər!U19</f>
        <v>0</v>
      </c>
      <c r="H112" s="222">
        <f>Müəllimlər!V19</f>
        <v>0</v>
      </c>
      <c r="I112" s="222">
        <f>Müəllimlər!W19</f>
        <v>0</v>
      </c>
      <c r="J112" s="222">
        <f>Müəllimlər!X19</f>
        <v>0</v>
      </c>
      <c r="K112" s="222"/>
      <c r="L112" s="222"/>
      <c r="M112" s="222"/>
      <c r="N112" s="99">
        <f>'Fiz-t'!N160</f>
        <v>65</v>
      </c>
      <c r="O112" s="99" t="str">
        <f>'Fiz-t'!O160</f>
        <v/>
      </c>
      <c r="P112" s="99" t="str">
        <f>'Fiz-t'!P160</f>
        <v/>
      </c>
      <c r="Q112" s="99" t="str">
        <f>'Fiz-t'!Q160</f>
        <v/>
      </c>
      <c r="R112" s="99">
        <f>'Fiz-t'!R160</f>
        <v>15</v>
      </c>
      <c r="S112" s="99" t="str">
        <f>'Fiz-t'!S160</f>
        <v/>
      </c>
      <c r="T112" s="99">
        <f>'Fiz-t'!T160</f>
        <v>15</v>
      </c>
      <c r="U112" s="99" t="str">
        <f>'Fiz-t'!U160</f>
        <v/>
      </c>
      <c r="V112" s="99" t="str">
        <f>'Fiz-t'!V160</f>
        <v/>
      </c>
      <c r="W112" s="99" t="str">
        <f>'Fiz-t'!W160</f>
        <v/>
      </c>
      <c r="X112" s="99" t="str">
        <f>'Fiz-t'!X160</f>
        <v/>
      </c>
      <c r="Y112" s="99" t="str">
        <f>'Fiz-t'!Y160</f>
        <v/>
      </c>
      <c r="Z112" s="99" t="str">
        <f>'Fiz-t'!Z160</f>
        <v/>
      </c>
      <c r="AA112" s="99" t="str">
        <f>'Fiz-t'!AA160</f>
        <v/>
      </c>
      <c r="AB112" s="99" t="str">
        <f>'Fiz-t'!AB160</f>
        <v/>
      </c>
      <c r="AC112" s="99">
        <f>'Fiz-t'!AC160</f>
        <v>15</v>
      </c>
      <c r="AD112" s="99" t="str">
        <f>'Fiz-t'!AD160</f>
        <v/>
      </c>
      <c r="AE112" s="99">
        <f>'Fiz-t'!AE160</f>
        <v>15</v>
      </c>
      <c r="AF112" s="99" t="str">
        <f>'Fiz-t'!AF160</f>
        <v/>
      </c>
      <c r="AG112" s="98" t="str">
        <f>'Fiz-t'!AG160</f>
        <v>(80-100]</v>
      </c>
    </row>
    <row r="113" spans="2:33" x14ac:dyDescent="0.25">
      <c r="B113" s="224"/>
      <c r="C113" s="222"/>
      <c r="D113" s="222"/>
      <c r="E113" s="222" t="s">
        <v>119</v>
      </c>
      <c r="F113" s="222">
        <f>Müəllimlər!Y19</f>
        <v>0</v>
      </c>
      <c r="G113" s="222">
        <f>Müəllimlər!Z19</f>
        <v>0</v>
      </c>
      <c r="H113" s="222">
        <f>Müəllimlər!AA19</f>
        <v>0</v>
      </c>
      <c r="I113" s="222">
        <f>Müəllimlər!AB19</f>
        <v>0</v>
      </c>
      <c r="J113" s="222">
        <f>Müəllimlər!AC19</f>
        <v>0</v>
      </c>
      <c r="K113" s="222"/>
      <c r="L113" s="222"/>
      <c r="M113" s="222"/>
      <c r="N113" s="99">
        <f>'Fiz-t'!N161</f>
        <v>35</v>
      </c>
      <c r="O113" s="99" t="str">
        <f>'Fiz-t'!O161</f>
        <v/>
      </c>
      <c r="P113" s="99" t="str">
        <f>'Fiz-t'!P161</f>
        <v/>
      </c>
      <c r="Q113" s="99" t="str">
        <f>'Fiz-t'!Q161</f>
        <v/>
      </c>
      <c r="R113" s="99">
        <f>'Fiz-t'!R161</f>
        <v>70</v>
      </c>
      <c r="S113" s="99" t="str">
        <f>'Fiz-t'!S161</f>
        <v/>
      </c>
      <c r="T113" s="99">
        <f>'Fiz-t'!T161</f>
        <v>70</v>
      </c>
      <c r="U113" s="99" t="str">
        <f>'Fiz-t'!U161</f>
        <v/>
      </c>
      <c r="V113" s="99" t="str">
        <f>'Fiz-t'!V161</f>
        <v/>
      </c>
      <c r="W113" s="99" t="str">
        <f>'Fiz-t'!W161</f>
        <v/>
      </c>
      <c r="X113" s="99" t="str">
        <f>'Fiz-t'!X161</f>
        <v/>
      </c>
      <c r="Y113" s="99" t="str">
        <f>'Fiz-t'!Y161</f>
        <v/>
      </c>
      <c r="Z113" s="99" t="str">
        <f>'Fiz-t'!Z161</f>
        <v/>
      </c>
      <c r="AA113" s="99" t="str">
        <f>'Fiz-t'!AA161</f>
        <v/>
      </c>
      <c r="AB113" s="99" t="str">
        <f>'Fiz-t'!AB161</f>
        <v/>
      </c>
      <c r="AC113" s="99">
        <f>'Fiz-t'!AC161</f>
        <v>70</v>
      </c>
      <c r="AD113" s="99" t="str">
        <f>'Fiz-t'!AD161</f>
        <v/>
      </c>
      <c r="AE113" s="99">
        <f>'Fiz-t'!AE161</f>
        <v>70</v>
      </c>
      <c r="AF113" s="99" t="str">
        <f>'Fiz-t'!AF161</f>
        <v/>
      </c>
      <c r="AG113" s="98" t="str">
        <f>'Fiz-t'!AG161</f>
        <v>(60-80]</v>
      </c>
    </row>
    <row r="114" spans="2:33" x14ac:dyDescent="0.25">
      <c r="B114" s="119"/>
      <c r="C114" s="100"/>
      <c r="D114" s="100"/>
      <c r="E114" s="100" t="s">
        <v>120</v>
      </c>
      <c r="F114" s="100">
        <f>Müəllimlər!AD19</f>
        <v>0</v>
      </c>
      <c r="G114" s="100">
        <f>Müəllimlər!AE19</f>
        <v>0</v>
      </c>
      <c r="H114" s="100">
        <f>Müəllimlər!AF19</f>
        <v>0</v>
      </c>
      <c r="I114" s="100">
        <f>Müəllimlər!AG19</f>
        <v>0</v>
      </c>
      <c r="J114" s="100">
        <f>Müəllimlər!AH19</f>
        <v>0</v>
      </c>
      <c r="K114" s="100"/>
      <c r="L114" s="100"/>
      <c r="M114" s="100"/>
      <c r="N114" s="99">
        <f>'Fiz-t'!N162</f>
        <v>0</v>
      </c>
      <c r="O114" s="99" t="str">
        <f>'Fiz-t'!O162</f>
        <v/>
      </c>
      <c r="P114" s="99" t="str">
        <f>'Fiz-t'!P162</f>
        <v/>
      </c>
      <c r="Q114" s="99" t="str">
        <f>'Fiz-t'!Q162</f>
        <v/>
      </c>
      <c r="R114" s="99">
        <f>'Fiz-t'!R162</f>
        <v>15</v>
      </c>
      <c r="S114" s="99" t="str">
        <f>'Fiz-t'!S162</f>
        <v/>
      </c>
      <c r="T114" s="99">
        <f>'Fiz-t'!T162</f>
        <v>15</v>
      </c>
      <c r="U114" s="99" t="str">
        <f>'Fiz-t'!U162</f>
        <v/>
      </c>
      <c r="V114" s="99" t="str">
        <f>'Fiz-t'!V162</f>
        <v/>
      </c>
      <c r="W114" s="99" t="str">
        <f>'Fiz-t'!W162</f>
        <v/>
      </c>
      <c r="X114" s="99" t="str">
        <f>'Fiz-t'!X162</f>
        <v/>
      </c>
      <c r="Y114" s="99" t="str">
        <f>'Fiz-t'!Y162</f>
        <v/>
      </c>
      <c r="Z114" s="99" t="str">
        <f>'Fiz-t'!Z162</f>
        <v/>
      </c>
      <c r="AA114" s="99" t="str">
        <f>'Fiz-t'!AA162</f>
        <v/>
      </c>
      <c r="AB114" s="99" t="str">
        <f>'Fiz-t'!AB162</f>
        <v/>
      </c>
      <c r="AC114" s="99">
        <f>'Fiz-t'!AC162</f>
        <v>15</v>
      </c>
      <c r="AD114" s="99" t="str">
        <f>'Fiz-t'!AD162</f>
        <v/>
      </c>
      <c r="AE114" s="99">
        <f>'Fiz-t'!AE162</f>
        <v>15</v>
      </c>
      <c r="AF114" s="99" t="str">
        <f>'Fiz-t'!AF162</f>
        <v/>
      </c>
      <c r="AG114" s="98" t="str">
        <f>'Fiz-t'!AG162</f>
        <v>(30-60]</v>
      </c>
    </row>
    <row r="115" spans="2:33" x14ac:dyDescent="0.25">
      <c r="B115" s="119"/>
      <c r="C115" s="100"/>
      <c r="D115" s="100"/>
      <c r="E115" s="223" t="s">
        <v>121</v>
      </c>
      <c r="F115" s="100">
        <f>Müəllimlər!AI19</f>
        <v>0</v>
      </c>
      <c r="G115" s="100">
        <f>Müəllimlər!AJ19</f>
        <v>0</v>
      </c>
      <c r="H115" s="100">
        <f>Müəllimlər!AK19</f>
        <v>0</v>
      </c>
      <c r="I115" s="100">
        <f>Müəllimlər!AL19</f>
        <v>0</v>
      </c>
      <c r="J115" s="100">
        <f>Müəllimlər!AM19</f>
        <v>0</v>
      </c>
      <c r="K115" s="100"/>
      <c r="L115" s="100"/>
      <c r="M115" s="100"/>
      <c r="N115" s="99">
        <f>'Fiz-t'!N163</f>
        <v>0</v>
      </c>
      <c r="O115" s="107" t="str">
        <f>'Fiz-t'!O163</f>
        <v/>
      </c>
      <c r="P115" s="107" t="str">
        <f>'Fiz-t'!P163</f>
        <v/>
      </c>
      <c r="Q115" s="107" t="str">
        <f>'Fiz-t'!Q163</f>
        <v/>
      </c>
      <c r="R115" s="107">
        <f>'Fiz-t'!R163</f>
        <v>0</v>
      </c>
      <c r="S115" s="107" t="str">
        <f>'Fiz-t'!S163</f>
        <v/>
      </c>
      <c r="T115" s="107">
        <f>'Fiz-t'!T163</f>
        <v>0</v>
      </c>
      <c r="U115" s="107" t="str">
        <f>'Fiz-t'!U163</f>
        <v/>
      </c>
      <c r="V115" s="107" t="str">
        <f>'Fiz-t'!V163</f>
        <v/>
      </c>
      <c r="W115" s="107" t="str">
        <f>'Fiz-t'!W163</f>
        <v/>
      </c>
      <c r="X115" s="107" t="str">
        <f>'Fiz-t'!X163</f>
        <v/>
      </c>
      <c r="Y115" s="107" t="str">
        <f>'Fiz-t'!Y163</f>
        <v/>
      </c>
      <c r="Z115" s="107" t="str">
        <f>'Fiz-t'!Z163</f>
        <v/>
      </c>
      <c r="AA115" s="107" t="str">
        <f>'Fiz-t'!AA163</f>
        <v/>
      </c>
      <c r="AB115" s="107" t="str">
        <f>'Fiz-t'!AB163</f>
        <v/>
      </c>
      <c r="AC115" s="107">
        <f>'Fiz-t'!AC163</f>
        <v>0</v>
      </c>
      <c r="AD115" s="107" t="str">
        <f>'Fiz-t'!AD163</f>
        <v/>
      </c>
      <c r="AE115" s="107">
        <f>'Fiz-t'!AE163</f>
        <v>0</v>
      </c>
      <c r="AF115" s="107" t="str">
        <f>'Fiz-t'!AF163</f>
        <v/>
      </c>
      <c r="AG115" s="108" t="str">
        <f>'Fiz-t'!AG163</f>
        <v>[0-30]</v>
      </c>
    </row>
    <row r="116" spans="2:33" x14ac:dyDescent="0.25">
      <c r="B116" s="95">
        <f>Mus!B157</f>
        <v>8</v>
      </c>
      <c r="C116" s="95" t="str">
        <f>Mus!C157</f>
        <v>e</v>
      </c>
      <c r="D116" s="95" t="str">
        <f>Mus!D157</f>
        <v>Musiqi</v>
      </c>
      <c r="E116" s="95" t="str">
        <f>Mus!E157</f>
        <v>Həşimova Fəridə Həşim</v>
      </c>
      <c r="F116" s="95">
        <f>Mus!F157</f>
        <v>34</v>
      </c>
      <c r="G116" s="95" t="str">
        <f>Mus!G157</f>
        <v>Azərbaycan</v>
      </c>
      <c r="H116" s="95">
        <f>Mus!H157</f>
        <v>13</v>
      </c>
      <c r="I116" s="95">
        <f>Mus!I157</f>
        <v>7</v>
      </c>
      <c r="J116" s="95">
        <f>Mus!J157</f>
        <v>20</v>
      </c>
      <c r="K116" s="96">
        <f>Mus!K157</f>
        <v>0</v>
      </c>
      <c r="L116" s="96">
        <f>Mus!L157</f>
        <v>0</v>
      </c>
      <c r="M116" s="113">
        <f>Mus!M157</f>
        <v>0</v>
      </c>
      <c r="N116" s="96">
        <f>Mus!N157</f>
        <v>62.9</v>
      </c>
      <c r="O116" s="96" t="str">
        <f>Mus!O157</f>
        <v/>
      </c>
      <c r="P116" s="96" t="str">
        <f>Mus!P157</f>
        <v/>
      </c>
      <c r="Q116" s="96" t="str">
        <f>Mus!Q157</f>
        <v/>
      </c>
      <c r="R116" s="96">
        <f>Mus!R157</f>
        <v>61.29999999999999</v>
      </c>
      <c r="S116" s="96" t="str">
        <f>Mus!S157</f>
        <v/>
      </c>
      <c r="T116" s="96">
        <f>Mus!T157</f>
        <v>61.29999999999999</v>
      </c>
      <c r="U116" s="96" t="str">
        <f>Mus!U157</f>
        <v/>
      </c>
      <c r="V116" s="96" t="str">
        <f>Mus!V157</f>
        <v/>
      </c>
      <c r="W116" s="96" t="str">
        <f>Mus!W157</f>
        <v/>
      </c>
      <c r="X116" s="96" t="str">
        <f>Mus!X157</f>
        <v/>
      </c>
      <c r="Y116" s="96" t="str">
        <f>Mus!Y157</f>
        <v/>
      </c>
      <c r="Z116" s="96" t="str">
        <f>Mus!Z157</f>
        <v/>
      </c>
      <c r="AA116" s="96" t="str">
        <f>Mus!AA157</f>
        <v/>
      </c>
      <c r="AB116" s="96" t="str">
        <f>Mus!AB157</f>
        <v/>
      </c>
      <c r="AC116" s="96">
        <f>Mus!AC157</f>
        <v>61.29999999999999</v>
      </c>
      <c r="AD116" s="96" t="str">
        <f>Mus!AD157</f>
        <v/>
      </c>
      <c r="AE116" s="96">
        <f>Mus!AE157</f>
        <v>61.29999999999999</v>
      </c>
      <c r="AF116" s="96" t="str">
        <f>Mus!AF157</f>
        <v/>
      </c>
      <c r="AG116" s="95" t="str">
        <f>Mus!AG157</f>
        <v>Ümumi</v>
      </c>
    </row>
    <row r="117" spans="2:33" x14ac:dyDescent="0.25">
      <c r="B117" s="120"/>
      <c r="C117" s="97"/>
      <c r="D117" s="97"/>
      <c r="E117" s="97" t="s">
        <v>111</v>
      </c>
      <c r="F117" s="97">
        <f>Müəllimlər!J20</f>
        <v>0</v>
      </c>
      <c r="G117" s="97">
        <f>Müəllimlər!K20</f>
        <v>0</v>
      </c>
      <c r="H117" s="97">
        <f>Müəllimlər!L20</f>
        <v>0</v>
      </c>
      <c r="I117" s="97">
        <f>Müəllimlər!M20</f>
        <v>0</v>
      </c>
      <c r="J117" s="97">
        <f>Müəllimlər!N20</f>
        <v>0</v>
      </c>
      <c r="K117" s="95">
        <f>Mus!K158</f>
        <v>0</v>
      </c>
      <c r="L117" s="95">
        <f>Mus!L158</f>
        <v>0</v>
      </c>
      <c r="M117" s="109">
        <f>Mus!M158</f>
        <v>0</v>
      </c>
      <c r="N117" s="96">
        <f>Mus!N158</f>
        <v>58.230769230769234</v>
      </c>
      <c r="O117" s="96">
        <f>Mus!O158</f>
        <v>0</v>
      </c>
      <c r="P117" s="96">
        <f>Mus!P158</f>
        <v>0</v>
      </c>
      <c r="Q117" s="96">
        <f>Mus!Q158</f>
        <v>0</v>
      </c>
      <c r="R117" s="96">
        <f>Mus!R158</f>
        <v>54.256410256410263</v>
      </c>
      <c r="S117" s="96">
        <f>Mus!S158</f>
        <v>0</v>
      </c>
      <c r="T117" s="96">
        <f>Mus!T158</f>
        <v>54.256410256410263</v>
      </c>
      <c r="U117" s="96">
        <f>Mus!U158</f>
        <v>0</v>
      </c>
      <c r="V117" s="96">
        <f>Mus!V158</f>
        <v>0</v>
      </c>
      <c r="W117" s="96">
        <f>Mus!W158</f>
        <v>0</v>
      </c>
      <c r="X117" s="96">
        <f>Mus!X158</f>
        <v>0</v>
      </c>
      <c r="Y117" s="96">
        <f>Mus!Y158</f>
        <v>0</v>
      </c>
      <c r="Z117" s="96">
        <f>Mus!Z158</f>
        <v>0</v>
      </c>
      <c r="AA117" s="96">
        <f>Mus!AA158</f>
        <v>0</v>
      </c>
      <c r="AB117" s="96">
        <f>Mus!AB158</f>
        <v>0</v>
      </c>
      <c r="AC117" s="96">
        <f>Mus!AC158</f>
        <v>54.256410256410263</v>
      </c>
      <c r="AD117" s="96">
        <f>Mus!AD158</f>
        <v>0</v>
      </c>
      <c r="AE117" s="96">
        <f>Mus!AE158</f>
        <v>54.256410256410263</v>
      </c>
      <c r="AF117" s="96">
        <f>Mus!AF158</f>
        <v>0</v>
      </c>
      <c r="AG117" s="95" t="str">
        <f>Mus!AG158</f>
        <v>Oğlanlar</v>
      </c>
    </row>
    <row r="118" spans="2:33" x14ac:dyDescent="0.25">
      <c r="B118" s="120"/>
      <c r="C118" s="97"/>
      <c r="D118" s="97"/>
      <c r="E118" s="97" t="s">
        <v>113</v>
      </c>
      <c r="F118" s="97">
        <f>Müəllimlər!O20</f>
        <v>0</v>
      </c>
      <c r="G118" s="97">
        <f>Müəllimlər!P20</f>
        <v>0</v>
      </c>
      <c r="H118" s="97">
        <f>Müəllimlər!Q20</f>
        <v>0</v>
      </c>
      <c r="I118" s="97">
        <f>Müəllimlər!R20</f>
        <v>0</v>
      </c>
      <c r="J118" s="97">
        <f>Müəllimlər!S20</f>
        <v>0</v>
      </c>
      <c r="K118" s="97"/>
      <c r="L118" s="97"/>
      <c r="M118" s="97"/>
      <c r="N118" s="96">
        <f>Mus!N159</f>
        <v>71.571428571428569</v>
      </c>
      <c r="O118" s="96">
        <f>Mus!O159</f>
        <v>0</v>
      </c>
      <c r="P118" s="96">
        <f>Mus!P159</f>
        <v>0</v>
      </c>
      <c r="Q118" s="96">
        <f>Mus!Q159</f>
        <v>0</v>
      </c>
      <c r="R118" s="96">
        <f>Mus!R159</f>
        <v>74.38095238095238</v>
      </c>
      <c r="S118" s="96">
        <f>Mus!S159</f>
        <v>0</v>
      </c>
      <c r="T118" s="96">
        <f>Mus!T159</f>
        <v>74.38095238095238</v>
      </c>
      <c r="U118" s="96">
        <f>Mus!U159</f>
        <v>0</v>
      </c>
      <c r="V118" s="96">
        <f>Mus!V159</f>
        <v>0</v>
      </c>
      <c r="W118" s="96">
        <f>Mus!W159</f>
        <v>0</v>
      </c>
      <c r="X118" s="96">
        <f>Mus!X159</f>
        <v>0</v>
      </c>
      <c r="Y118" s="96">
        <f>Mus!Y159</f>
        <v>0</v>
      </c>
      <c r="Z118" s="96">
        <f>Mus!Z159</f>
        <v>0</v>
      </c>
      <c r="AA118" s="96">
        <f>Mus!AA159</f>
        <v>0</v>
      </c>
      <c r="AB118" s="96">
        <f>Mus!AB159</f>
        <v>0</v>
      </c>
      <c r="AC118" s="96">
        <f>Mus!AC159</f>
        <v>74.38095238095238</v>
      </c>
      <c r="AD118" s="96">
        <f>Mus!AD159</f>
        <v>0</v>
      </c>
      <c r="AE118" s="96">
        <f>Mus!AE159</f>
        <v>74.38095238095238</v>
      </c>
      <c r="AF118" s="96">
        <f>Mus!AF159</f>
        <v>0</v>
      </c>
      <c r="AG118" s="95" t="str">
        <f>Mus!AG159</f>
        <v>Qızlar</v>
      </c>
    </row>
    <row r="119" spans="2:33" x14ac:dyDescent="0.25">
      <c r="B119" s="117"/>
      <c r="C119" s="106"/>
      <c r="D119" s="106"/>
      <c r="E119" s="106" t="s">
        <v>122</v>
      </c>
      <c r="F119" s="106">
        <f>Müəllimlər!T20</f>
        <v>0</v>
      </c>
      <c r="G119" s="106">
        <f>Müəllimlər!U20</f>
        <v>0</v>
      </c>
      <c r="H119" s="106">
        <f>Müəllimlər!V20</f>
        <v>0</v>
      </c>
      <c r="I119" s="106">
        <f>Müəllimlər!W20</f>
        <v>0</v>
      </c>
      <c r="J119" s="106">
        <f>Müəllimlər!X20</f>
        <v>0</v>
      </c>
      <c r="K119" s="106"/>
      <c r="L119" s="106"/>
      <c r="M119" s="106"/>
      <c r="N119" s="96">
        <f>Mus!N160</f>
        <v>20</v>
      </c>
      <c r="O119" s="96" t="str">
        <f>Mus!O160</f>
        <v/>
      </c>
      <c r="P119" s="96" t="str">
        <f>Mus!P160</f>
        <v/>
      </c>
      <c r="Q119" s="96" t="str">
        <f>Mus!Q160</f>
        <v/>
      </c>
      <c r="R119" s="96">
        <f>Mus!R160</f>
        <v>20</v>
      </c>
      <c r="S119" s="96" t="str">
        <f>Mus!S160</f>
        <v/>
      </c>
      <c r="T119" s="96">
        <f>Mus!T160</f>
        <v>20</v>
      </c>
      <c r="U119" s="96" t="str">
        <f>Mus!U160</f>
        <v/>
      </c>
      <c r="V119" s="96" t="str">
        <f>Mus!V160</f>
        <v/>
      </c>
      <c r="W119" s="96" t="str">
        <f>Mus!W160</f>
        <v/>
      </c>
      <c r="X119" s="96" t="str">
        <f>Mus!X160</f>
        <v/>
      </c>
      <c r="Y119" s="96" t="str">
        <f>Mus!Y160</f>
        <v/>
      </c>
      <c r="Z119" s="96" t="str">
        <f>Mus!Z160</f>
        <v/>
      </c>
      <c r="AA119" s="96" t="str">
        <f>Mus!AA160</f>
        <v/>
      </c>
      <c r="AB119" s="96" t="str">
        <f>Mus!AB160</f>
        <v/>
      </c>
      <c r="AC119" s="96">
        <f>Mus!AC160</f>
        <v>20</v>
      </c>
      <c r="AD119" s="96" t="str">
        <f>Mus!AD160</f>
        <v/>
      </c>
      <c r="AE119" s="96">
        <f>Mus!AE160</f>
        <v>20</v>
      </c>
      <c r="AF119" s="96" t="str">
        <f>Mus!AF160</f>
        <v/>
      </c>
      <c r="AG119" s="95" t="str">
        <f>Mus!AG160</f>
        <v>(80-100]</v>
      </c>
    </row>
    <row r="120" spans="2:33" x14ac:dyDescent="0.25">
      <c r="B120" s="117"/>
      <c r="C120" s="106"/>
      <c r="D120" s="106"/>
      <c r="E120" s="106" t="s">
        <v>119</v>
      </c>
      <c r="F120" s="106">
        <f>Müəllimlər!Y20</f>
        <v>0</v>
      </c>
      <c r="G120" s="106">
        <f>Müəllimlər!Z20</f>
        <v>0</v>
      </c>
      <c r="H120" s="106">
        <f>Müəllimlər!AA20</f>
        <v>0</v>
      </c>
      <c r="I120" s="106">
        <f>Müəllimlər!AB20</f>
        <v>0</v>
      </c>
      <c r="J120" s="106">
        <f>Müəllimlər!AC20</f>
        <v>0</v>
      </c>
      <c r="K120" s="106"/>
      <c r="L120" s="106"/>
      <c r="M120" s="106"/>
      <c r="N120" s="96">
        <f>Mus!N161</f>
        <v>30</v>
      </c>
      <c r="O120" s="96" t="str">
        <f>Mus!O161</f>
        <v/>
      </c>
      <c r="P120" s="96" t="str">
        <f>Mus!P161</f>
        <v/>
      </c>
      <c r="Q120" s="96" t="str">
        <f>Mus!Q161</f>
        <v/>
      </c>
      <c r="R120" s="96">
        <f>Mus!R161</f>
        <v>30</v>
      </c>
      <c r="S120" s="96" t="str">
        <f>Mus!S161</f>
        <v/>
      </c>
      <c r="T120" s="96">
        <f>Mus!T161</f>
        <v>30</v>
      </c>
      <c r="U120" s="96" t="str">
        <f>Mus!U161</f>
        <v/>
      </c>
      <c r="V120" s="96" t="str">
        <f>Mus!V161</f>
        <v/>
      </c>
      <c r="W120" s="96" t="str">
        <f>Mus!W161</f>
        <v/>
      </c>
      <c r="X120" s="96" t="str">
        <f>Mus!X161</f>
        <v/>
      </c>
      <c r="Y120" s="96" t="str">
        <f>Mus!Y161</f>
        <v/>
      </c>
      <c r="Z120" s="96" t="str">
        <f>Mus!Z161</f>
        <v/>
      </c>
      <c r="AA120" s="96" t="str">
        <f>Mus!AA161</f>
        <v/>
      </c>
      <c r="AB120" s="96" t="str">
        <f>Mus!AB161</f>
        <v/>
      </c>
      <c r="AC120" s="96">
        <f>Mus!AC161</f>
        <v>30</v>
      </c>
      <c r="AD120" s="96" t="str">
        <f>Mus!AD161</f>
        <v/>
      </c>
      <c r="AE120" s="96">
        <f>Mus!AE161</f>
        <v>30</v>
      </c>
      <c r="AF120" s="96" t="str">
        <f>Mus!AF161</f>
        <v/>
      </c>
      <c r="AG120" s="95" t="str">
        <f>Mus!AG161</f>
        <v>(60-80]</v>
      </c>
    </row>
    <row r="121" spans="2:33" x14ac:dyDescent="0.25">
      <c r="B121" s="120"/>
      <c r="C121" s="97"/>
      <c r="D121" s="97"/>
      <c r="E121" s="97" t="s">
        <v>120</v>
      </c>
      <c r="F121" s="97">
        <f>Müəllimlər!AD20</f>
        <v>0</v>
      </c>
      <c r="G121" s="97">
        <f>Müəllimlər!AE20</f>
        <v>0</v>
      </c>
      <c r="H121" s="97">
        <f>Müəllimlər!AF20</f>
        <v>0</v>
      </c>
      <c r="I121" s="97">
        <f>Müəllimlər!AG20</f>
        <v>0</v>
      </c>
      <c r="J121" s="97">
        <f>Müəllimlər!AH20</f>
        <v>0</v>
      </c>
      <c r="K121" s="97"/>
      <c r="L121" s="97"/>
      <c r="M121" s="97"/>
      <c r="N121" s="96">
        <f>Mus!N162</f>
        <v>50</v>
      </c>
      <c r="O121" s="96" t="str">
        <f>Mus!O162</f>
        <v/>
      </c>
      <c r="P121" s="96" t="str">
        <f>Mus!P162</f>
        <v/>
      </c>
      <c r="Q121" s="96" t="str">
        <f>Mus!Q162</f>
        <v/>
      </c>
      <c r="R121" s="96">
        <f>Mus!R162</f>
        <v>50</v>
      </c>
      <c r="S121" s="96" t="str">
        <f>Mus!S162</f>
        <v/>
      </c>
      <c r="T121" s="96">
        <f>Mus!T162</f>
        <v>50</v>
      </c>
      <c r="U121" s="96" t="str">
        <f>Mus!U162</f>
        <v/>
      </c>
      <c r="V121" s="96" t="str">
        <f>Mus!V162</f>
        <v/>
      </c>
      <c r="W121" s="96" t="str">
        <f>Mus!W162</f>
        <v/>
      </c>
      <c r="X121" s="96" t="str">
        <f>Mus!X162</f>
        <v/>
      </c>
      <c r="Y121" s="96" t="str">
        <f>Mus!Y162</f>
        <v/>
      </c>
      <c r="Z121" s="96" t="str">
        <f>Mus!Z162</f>
        <v/>
      </c>
      <c r="AA121" s="96" t="str">
        <f>Mus!AA162</f>
        <v/>
      </c>
      <c r="AB121" s="96" t="str">
        <f>Mus!AB162</f>
        <v/>
      </c>
      <c r="AC121" s="96">
        <f>Mus!AC162</f>
        <v>50</v>
      </c>
      <c r="AD121" s="96" t="str">
        <f>Mus!AD162</f>
        <v/>
      </c>
      <c r="AE121" s="96">
        <f>Mus!AE162</f>
        <v>50</v>
      </c>
      <c r="AF121" s="96" t="str">
        <f>Mus!AF162</f>
        <v/>
      </c>
      <c r="AG121" s="95" t="str">
        <f>Mus!AG162</f>
        <v>(30-60]</v>
      </c>
    </row>
    <row r="122" spans="2:33" x14ac:dyDescent="0.25">
      <c r="B122" s="120"/>
      <c r="C122" s="97"/>
      <c r="D122" s="97"/>
      <c r="E122" s="229" t="s">
        <v>121</v>
      </c>
      <c r="F122" s="97">
        <f>Müəllimlər!AI20</f>
        <v>0</v>
      </c>
      <c r="G122" s="97">
        <f>Müəllimlər!AJ20</f>
        <v>0</v>
      </c>
      <c r="H122" s="97">
        <f>Müəllimlər!AK20</f>
        <v>0</v>
      </c>
      <c r="I122" s="97">
        <f>Müəllimlər!AL20</f>
        <v>0</v>
      </c>
      <c r="J122" s="97">
        <f>Müəllimlər!AM20</f>
        <v>0</v>
      </c>
      <c r="K122" s="97"/>
      <c r="L122" s="97"/>
      <c r="M122" s="97"/>
      <c r="N122" s="96">
        <f>Mus!N163</f>
        <v>0</v>
      </c>
      <c r="O122" s="110" t="str">
        <f>Mus!O163</f>
        <v/>
      </c>
      <c r="P122" s="110" t="str">
        <f>Mus!P163</f>
        <v/>
      </c>
      <c r="Q122" s="110" t="str">
        <f>Mus!Q163</f>
        <v/>
      </c>
      <c r="R122" s="110">
        <f>Mus!R163</f>
        <v>0</v>
      </c>
      <c r="S122" s="110" t="str">
        <f>Mus!S163</f>
        <v/>
      </c>
      <c r="T122" s="110">
        <f>Mus!T163</f>
        <v>0</v>
      </c>
      <c r="U122" s="110" t="str">
        <f>Mus!U163</f>
        <v/>
      </c>
      <c r="V122" s="110" t="str">
        <f>Mus!V163</f>
        <v/>
      </c>
      <c r="W122" s="110" t="str">
        <f>Mus!W163</f>
        <v/>
      </c>
      <c r="X122" s="110" t="str">
        <f>Mus!X163</f>
        <v/>
      </c>
      <c r="Y122" s="110" t="str">
        <f>Mus!Y163</f>
        <v/>
      </c>
      <c r="Z122" s="110" t="str">
        <f>Mus!Z163</f>
        <v/>
      </c>
      <c r="AA122" s="110" t="str">
        <f>Mus!AA163</f>
        <v/>
      </c>
      <c r="AB122" s="110" t="str">
        <f>Mus!AB163</f>
        <v/>
      </c>
      <c r="AC122" s="110">
        <f>Mus!AC163</f>
        <v>0</v>
      </c>
      <c r="AD122" s="110" t="str">
        <f>Mus!AD163</f>
        <v/>
      </c>
      <c r="AE122" s="110">
        <f>Mus!AE163</f>
        <v>0</v>
      </c>
      <c r="AF122" s="110" t="str">
        <f>Mus!AF163</f>
        <v/>
      </c>
      <c r="AG122" s="111" t="str">
        <f>Mus!AG163</f>
        <v>[0-30]</v>
      </c>
    </row>
    <row r="123" spans="2:33" x14ac:dyDescent="0.25">
      <c r="B123" s="98">
        <f>'Təs-i'!B157</f>
        <v>8</v>
      </c>
      <c r="C123" s="98" t="str">
        <f>'Təs-i'!C157</f>
        <v>e</v>
      </c>
      <c r="D123" s="98" t="str">
        <f>'Təs-i'!D157</f>
        <v>Təsviri incəsənət</v>
      </c>
      <c r="E123" s="98" t="str">
        <f>'Təs-i'!E157</f>
        <v>Quliyeva Təranə Xanlar</v>
      </c>
      <c r="F123" s="98">
        <f>'Təs-i'!F157</f>
        <v>34</v>
      </c>
      <c r="G123" s="98" t="str">
        <f>'Təs-i'!G157</f>
        <v>Azərbaycan</v>
      </c>
      <c r="H123" s="98">
        <f>'Təs-i'!H157</f>
        <v>13</v>
      </c>
      <c r="I123" s="98">
        <f>'Təs-i'!I157</f>
        <v>7</v>
      </c>
      <c r="J123" s="98">
        <f>'Təs-i'!J157</f>
        <v>20</v>
      </c>
      <c r="K123" s="99">
        <f>'Təs-i'!K157</f>
        <v>0</v>
      </c>
      <c r="L123" s="99">
        <f>'Təs-i'!L157</f>
        <v>0</v>
      </c>
      <c r="M123" s="219">
        <f>'Təs-i'!M157</f>
        <v>0</v>
      </c>
      <c r="N123" s="99">
        <f>'Təs-i'!N157</f>
        <v>68.650000000000006</v>
      </c>
      <c r="O123" s="99" t="str">
        <f>'Təs-i'!O157</f>
        <v/>
      </c>
      <c r="P123" s="99" t="str">
        <f>'Təs-i'!P157</f>
        <v/>
      </c>
      <c r="Q123" s="99" t="str">
        <f>'Təs-i'!Q157</f>
        <v/>
      </c>
      <c r="R123" s="99">
        <f>'Təs-i'!R157</f>
        <v>63.033333333333346</v>
      </c>
      <c r="S123" s="99" t="str">
        <f>'Təs-i'!S157</f>
        <v/>
      </c>
      <c r="T123" s="99">
        <f>'Təs-i'!T157</f>
        <v>63.033333333333346</v>
      </c>
      <c r="U123" s="99" t="str">
        <f>'Təs-i'!U157</f>
        <v/>
      </c>
      <c r="V123" s="99" t="str">
        <f>'Təs-i'!V157</f>
        <v/>
      </c>
      <c r="W123" s="99" t="str">
        <f>'Təs-i'!W157</f>
        <v/>
      </c>
      <c r="X123" s="99" t="str">
        <f>'Təs-i'!X157</f>
        <v/>
      </c>
      <c r="Y123" s="99" t="str">
        <f>'Təs-i'!Y157</f>
        <v/>
      </c>
      <c r="Z123" s="99" t="str">
        <f>'Təs-i'!Z157</f>
        <v/>
      </c>
      <c r="AA123" s="99" t="str">
        <f>'Təs-i'!AA157</f>
        <v/>
      </c>
      <c r="AB123" s="99" t="str">
        <f>'Təs-i'!AB157</f>
        <v/>
      </c>
      <c r="AC123" s="99">
        <f>'Təs-i'!AC157</f>
        <v>63.033333333333346</v>
      </c>
      <c r="AD123" s="99" t="str">
        <f>'Təs-i'!AD157</f>
        <v/>
      </c>
      <c r="AE123" s="99">
        <f>'Təs-i'!AE157</f>
        <v>63.033333333333346</v>
      </c>
      <c r="AF123" s="99" t="str">
        <f>'Təs-i'!AF157</f>
        <v/>
      </c>
      <c r="AG123" s="98" t="str">
        <f>'Təs-i'!AG157</f>
        <v>Ümumi</v>
      </c>
    </row>
    <row r="124" spans="2:33" x14ac:dyDescent="0.25">
      <c r="B124" s="119"/>
      <c r="C124" s="100"/>
      <c r="D124" s="100"/>
      <c r="E124" s="100" t="s">
        <v>111</v>
      </c>
      <c r="F124" s="100">
        <f>Müəllimlər!J21</f>
        <v>0</v>
      </c>
      <c r="G124" s="100">
        <f>Müəllimlər!K21</f>
        <v>0</v>
      </c>
      <c r="H124" s="100">
        <f>Müəllimlər!L21</f>
        <v>0</v>
      </c>
      <c r="I124" s="100">
        <f>Müəllimlər!M21</f>
        <v>0</v>
      </c>
      <c r="J124" s="100">
        <f>Müəllimlər!N21</f>
        <v>0</v>
      </c>
      <c r="K124" s="98">
        <f>'Təs-i'!K158</f>
        <v>0</v>
      </c>
      <c r="L124" s="98">
        <f>'Təs-i'!L158</f>
        <v>0</v>
      </c>
      <c r="M124" s="112">
        <f>'Təs-i'!M158</f>
        <v>0</v>
      </c>
      <c r="N124" s="99">
        <f>'Təs-i'!N158</f>
        <v>64.15384615384616</v>
      </c>
      <c r="O124" s="99">
        <f>'Təs-i'!O158</f>
        <v>0</v>
      </c>
      <c r="P124" s="99">
        <f>'Təs-i'!P158</f>
        <v>0</v>
      </c>
      <c r="Q124" s="99">
        <f>'Təs-i'!Q158</f>
        <v>0</v>
      </c>
      <c r="R124" s="99">
        <f>'Təs-i'!R158</f>
        <v>55.230769230769234</v>
      </c>
      <c r="S124" s="99">
        <f>'Təs-i'!S158</f>
        <v>0</v>
      </c>
      <c r="T124" s="99">
        <f>'Təs-i'!T158</f>
        <v>55.230769230769234</v>
      </c>
      <c r="U124" s="99">
        <f>'Təs-i'!U158</f>
        <v>0</v>
      </c>
      <c r="V124" s="99">
        <f>'Təs-i'!V158</f>
        <v>0</v>
      </c>
      <c r="W124" s="99">
        <f>'Təs-i'!W158</f>
        <v>0</v>
      </c>
      <c r="X124" s="99">
        <f>'Təs-i'!X158</f>
        <v>0</v>
      </c>
      <c r="Y124" s="99">
        <f>'Təs-i'!Y158</f>
        <v>0</v>
      </c>
      <c r="Z124" s="99">
        <f>'Təs-i'!Z158</f>
        <v>0</v>
      </c>
      <c r="AA124" s="99">
        <f>'Təs-i'!AA158</f>
        <v>0</v>
      </c>
      <c r="AB124" s="99">
        <f>'Təs-i'!AB158</f>
        <v>0</v>
      </c>
      <c r="AC124" s="99">
        <f>'Təs-i'!AC158</f>
        <v>55.230769230769234</v>
      </c>
      <c r="AD124" s="99">
        <f>'Təs-i'!AD158</f>
        <v>0</v>
      </c>
      <c r="AE124" s="99">
        <f>'Təs-i'!AE158</f>
        <v>55.230769230769234</v>
      </c>
      <c r="AF124" s="99">
        <f>'Təs-i'!AF158</f>
        <v>0</v>
      </c>
      <c r="AG124" s="98" t="str">
        <f>'Təs-i'!AG158</f>
        <v>Oğlanlar</v>
      </c>
    </row>
    <row r="125" spans="2:33" x14ac:dyDescent="0.25">
      <c r="B125" s="119"/>
      <c r="C125" s="100"/>
      <c r="D125" s="100"/>
      <c r="E125" s="100" t="s">
        <v>113</v>
      </c>
      <c r="F125" s="100">
        <f>Müəllimlər!O21</f>
        <v>0</v>
      </c>
      <c r="G125" s="100">
        <f>Müəllimlər!P21</f>
        <v>0</v>
      </c>
      <c r="H125" s="100">
        <f>Müəllimlər!Q21</f>
        <v>0</v>
      </c>
      <c r="I125" s="100">
        <f>Müəllimlər!R21</f>
        <v>0</v>
      </c>
      <c r="J125" s="100">
        <f>Müəllimlər!S21</f>
        <v>0</v>
      </c>
      <c r="K125" s="100"/>
      <c r="L125" s="100"/>
      <c r="M125" s="100"/>
      <c r="N125" s="99">
        <f>'Təs-i'!N159</f>
        <v>77</v>
      </c>
      <c r="O125" s="99">
        <f>'Təs-i'!O159</f>
        <v>0</v>
      </c>
      <c r="P125" s="99">
        <f>'Təs-i'!P159</f>
        <v>0</v>
      </c>
      <c r="Q125" s="99">
        <f>'Təs-i'!Q159</f>
        <v>0</v>
      </c>
      <c r="R125" s="99">
        <f>'Təs-i'!R159</f>
        <v>77.523809523809533</v>
      </c>
      <c r="S125" s="99">
        <f>'Təs-i'!S159</f>
        <v>0</v>
      </c>
      <c r="T125" s="99">
        <f>'Təs-i'!T159</f>
        <v>77.523809523809533</v>
      </c>
      <c r="U125" s="99">
        <f>'Təs-i'!U159</f>
        <v>0</v>
      </c>
      <c r="V125" s="99">
        <f>'Təs-i'!V159</f>
        <v>0</v>
      </c>
      <c r="W125" s="99">
        <f>'Təs-i'!W159</f>
        <v>0</v>
      </c>
      <c r="X125" s="99">
        <f>'Təs-i'!X159</f>
        <v>0</v>
      </c>
      <c r="Y125" s="99">
        <f>'Təs-i'!Y159</f>
        <v>0</v>
      </c>
      <c r="Z125" s="99">
        <f>'Təs-i'!Z159</f>
        <v>0</v>
      </c>
      <c r="AA125" s="99">
        <f>'Təs-i'!AA159</f>
        <v>0</v>
      </c>
      <c r="AB125" s="99">
        <f>'Təs-i'!AB159</f>
        <v>0</v>
      </c>
      <c r="AC125" s="99">
        <f>'Təs-i'!AC159</f>
        <v>77.523809523809533</v>
      </c>
      <c r="AD125" s="99">
        <f>'Təs-i'!AD159</f>
        <v>0</v>
      </c>
      <c r="AE125" s="99">
        <f>'Təs-i'!AE159</f>
        <v>77.523809523809533</v>
      </c>
      <c r="AF125" s="99">
        <f>'Təs-i'!AF159</f>
        <v>0</v>
      </c>
      <c r="AG125" s="98" t="str">
        <f>'Təs-i'!AG159</f>
        <v>Qızlar</v>
      </c>
    </row>
    <row r="126" spans="2:33" x14ac:dyDescent="0.25">
      <c r="B126" s="224"/>
      <c r="C126" s="222"/>
      <c r="D126" s="222"/>
      <c r="E126" s="222" t="s">
        <v>122</v>
      </c>
      <c r="F126" s="222">
        <f>Müəllimlər!T21</f>
        <v>0</v>
      </c>
      <c r="G126" s="222">
        <f>Müəllimlər!U21</f>
        <v>0</v>
      </c>
      <c r="H126" s="222">
        <f>Müəllimlər!V21</f>
        <v>0</v>
      </c>
      <c r="I126" s="222">
        <f>Müəllimlər!W21</f>
        <v>0</v>
      </c>
      <c r="J126" s="222">
        <f>Müəllimlər!X21</f>
        <v>0</v>
      </c>
      <c r="K126" s="222"/>
      <c r="L126" s="222"/>
      <c r="M126" s="222"/>
      <c r="N126" s="99">
        <f>'Təs-i'!N160</f>
        <v>25</v>
      </c>
      <c r="O126" s="99" t="str">
        <f>'Təs-i'!O160</f>
        <v/>
      </c>
      <c r="P126" s="99" t="str">
        <f>'Təs-i'!P160</f>
        <v/>
      </c>
      <c r="Q126" s="99" t="str">
        <f>'Təs-i'!Q160</f>
        <v/>
      </c>
      <c r="R126" s="99">
        <f>'Təs-i'!R160</f>
        <v>10</v>
      </c>
      <c r="S126" s="99" t="str">
        <f>'Təs-i'!S160</f>
        <v/>
      </c>
      <c r="T126" s="99">
        <f>'Təs-i'!T160</f>
        <v>10</v>
      </c>
      <c r="U126" s="99" t="str">
        <f>'Təs-i'!U160</f>
        <v/>
      </c>
      <c r="V126" s="99" t="str">
        <f>'Təs-i'!V160</f>
        <v/>
      </c>
      <c r="W126" s="99" t="str">
        <f>'Təs-i'!W160</f>
        <v/>
      </c>
      <c r="X126" s="99" t="str">
        <f>'Təs-i'!X160</f>
        <v/>
      </c>
      <c r="Y126" s="99" t="str">
        <f>'Təs-i'!Y160</f>
        <v/>
      </c>
      <c r="Z126" s="99" t="str">
        <f>'Təs-i'!Z160</f>
        <v/>
      </c>
      <c r="AA126" s="99" t="str">
        <f>'Təs-i'!AA160</f>
        <v/>
      </c>
      <c r="AB126" s="99" t="str">
        <f>'Təs-i'!AB160</f>
        <v/>
      </c>
      <c r="AC126" s="99">
        <f>'Təs-i'!AC160</f>
        <v>10</v>
      </c>
      <c r="AD126" s="99" t="str">
        <f>'Təs-i'!AD160</f>
        <v/>
      </c>
      <c r="AE126" s="99">
        <f>'Təs-i'!AE160</f>
        <v>10</v>
      </c>
      <c r="AF126" s="99" t="str">
        <f>'Təs-i'!AF160</f>
        <v/>
      </c>
      <c r="AG126" s="98" t="str">
        <f>'Təs-i'!AG160</f>
        <v>(80-100]</v>
      </c>
    </row>
    <row r="127" spans="2:33" x14ac:dyDescent="0.25">
      <c r="B127" s="224"/>
      <c r="C127" s="222"/>
      <c r="D127" s="222"/>
      <c r="E127" s="222" t="s">
        <v>119</v>
      </c>
      <c r="F127" s="222">
        <f>Müəllimlər!Y21</f>
        <v>0</v>
      </c>
      <c r="G127" s="222">
        <f>Müəllimlər!Z21</f>
        <v>0</v>
      </c>
      <c r="H127" s="222">
        <f>Müəllimlər!AA21</f>
        <v>0</v>
      </c>
      <c r="I127" s="222">
        <f>Müəllimlər!AB21</f>
        <v>0</v>
      </c>
      <c r="J127" s="222">
        <f>Müəllimlər!AC21</f>
        <v>0</v>
      </c>
      <c r="K127" s="222"/>
      <c r="L127" s="222"/>
      <c r="M127" s="222"/>
      <c r="N127" s="99">
        <f>'Təs-i'!N161</f>
        <v>50</v>
      </c>
      <c r="O127" s="99" t="str">
        <f>'Təs-i'!O161</f>
        <v/>
      </c>
      <c r="P127" s="99" t="str">
        <f>'Təs-i'!P161</f>
        <v/>
      </c>
      <c r="Q127" s="99" t="str">
        <f>'Təs-i'!Q161</f>
        <v/>
      </c>
      <c r="R127" s="99">
        <f>'Təs-i'!R161</f>
        <v>30</v>
      </c>
      <c r="S127" s="99" t="str">
        <f>'Təs-i'!S161</f>
        <v/>
      </c>
      <c r="T127" s="99">
        <f>'Təs-i'!T161</f>
        <v>30</v>
      </c>
      <c r="U127" s="99" t="str">
        <f>'Təs-i'!U161</f>
        <v/>
      </c>
      <c r="V127" s="99" t="str">
        <f>'Təs-i'!V161</f>
        <v/>
      </c>
      <c r="W127" s="99" t="str">
        <f>'Təs-i'!W161</f>
        <v/>
      </c>
      <c r="X127" s="99" t="str">
        <f>'Təs-i'!X161</f>
        <v/>
      </c>
      <c r="Y127" s="99" t="str">
        <f>'Təs-i'!Y161</f>
        <v/>
      </c>
      <c r="Z127" s="99" t="str">
        <f>'Təs-i'!Z161</f>
        <v/>
      </c>
      <c r="AA127" s="99" t="str">
        <f>'Təs-i'!AA161</f>
        <v/>
      </c>
      <c r="AB127" s="99" t="str">
        <f>'Təs-i'!AB161</f>
        <v/>
      </c>
      <c r="AC127" s="99">
        <f>'Təs-i'!AC161</f>
        <v>30</v>
      </c>
      <c r="AD127" s="99" t="str">
        <f>'Təs-i'!AD161</f>
        <v/>
      </c>
      <c r="AE127" s="99">
        <f>'Təs-i'!AE161</f>
        <v>30</v>
      </c>
      <c r="AF127" s="99" t="str">
        <f>'Təs-i'!AF161</f>
        <v/>
      </c>
      <c r="AG127" s="98" t="str">
        <f>'Təs-i'!AG161</f>
        <v>(60-80]</v>
      </c>
    </row>
    <row r="128" spans="2:33" x14ac:dyDescent="0.25">
      <c r="B128" s="119"/>
      <c r="C128" s="100"/>
      <c r="D128" s="100"/>
      <c r="E128" s="100" t="s">
        <v>120</v>
      </c>
      <c r="F128" s="100">
        <f>Müəllimlər!AD21</f>
        <v>0</v>
      </c>
      <c r="G128" s="100">
        <f>Müəllimlər!AE21</f>
        <v>0</v>
      </c>
      <c r="H128" s="100">
        <f>Müəllimlər!AF21</f>
        <v>0</v>
      </c>
      <c r="I128" s="100">
        <f>Müəllimlər!AG21</f>
        <v>0</v>
      </c>
      <c r="J128" s="100">
        <f>Müəllimlər!AH21</f>
        <v>0</v>
      </c>
      <c r="K128" s="100"/>
      <c r="L128" s="100"/>
      <c r="M128" s="100"/>
      <c r="N128" s="99">
        <f>'Təs-i'!N162</f>
        <v>25</v>
      </c>
      <c r="O128" s="99" t="str">
        <f>'Təs-i'!O162</f>
        <v/>
      </c>
      <c r="P128" s="99" t="str">
        <f>'Təs-i'!P162</f>
        <v/>
      </c>
      <c r="Q128" s="99" t="str">
        <f>'Təs-i'!Q162</f>
        <v/>
      </c>
      <c r="R128" s="99">
        <f>'Təs-i'!R162</f>
        <v>60</v>
      </c>
      <c r="S128" s="99" t="str">
        <f>'Təs-i'!S162</f>
        <v/>
      </c>
      <c r="T128" s="99">
        <f>'Təs-i'!T162</f>
        <v>60</v>
      </c>
      <c r="U128" s="99" t="str">
        <f>'Təs-i'!U162</f>
        <v/>
      </c>
      <c r="V128" s="99" t="str">
        <f>'Təs-i'!V162</f>
        <v/>
      </c>
      <c r="W128" s="99" t="str">
        <f>'Təs-i'!W162</f>
        <v/>
      </c>
      <c r="X128" s="99" t="str">
        <f>'Təs-i'!X162</f>
        <v/>
      </c>
      <c r="Y128" s="99" t="str">
        <f>'Təs-i'!Y162</f>
        <v/>
      </c>
      <c r="Z128" s="99" t="str">
        <f>'Təs-i'!Z162</f>
        <v/>
      </c>
      <c r="AA128" s="99" t="str">
        <f>'Təs-i'!AA162</f>
        <v/>
      </c>
      <c r="AB128" s="99" t="str">
        <f>'Təs-i'!AB162</f>
        <v/>
      </c>
      <c r="AC128" s="99">
        <f>'Təs-i'!AC162</f>
        <v>60</v>
      </c>
      <c r="AD128" s="99" t="str">
        <f>'Təs-i'!AD162</f>
        <v/>
      </c>
      <c r="AE128" s="99">
        <f>'Təs-i'!AE162</f>
        <v>60</v>
      </c>
      <c r="AF128" s="99" t="str">
        <f>'Təs-i'!AF162</f>
        <v/>
      </c>
      <c r="AG128" s="98" t="str">
        <f>'Təs-i'!AG162</f>
        <v>(30-60]</v>
      </c>
    </row>
    <row r="129" spans="2:33" x14ac:dyDescent="0.25">
      <c r="B129" s="119"/>
      <c r="C129" s="100"/>
      <c r="D129" s="100"/>
      <c r="E129" s="223" t="s">
        <v>121</v>
      </c>
      <c r="F129" s="100">
        <f>Müəllimlər!AI21</f>
        <v>0</v>
      </c>
      <c r="G129" s="100">
        <f>Müəllimlər!AJ21</f>
        <v>0</v>
      </c>
      <c r="H129" s="100">
        <f>Müəllimlər!AK21</f>
        <v>0</v>
      </c>
      <c r="I129" s="100">
        <f>Müəllimlər!AL21</f>
        <v>0</v>
      </c>
      <c r="J129" s="100">
        <f>Müəllimlər!AM21</f>
        <v>0</v>
      </c>
      <c r="K129" s="100"/>
      <c r="L129" s="100"/>
      <c r="M129" s="100"/>
      <c r="N129" s="99">
        <f>'Təs-i'!N163</f>
        <v>0</v>
      </c>
      <c r="O129" s="107" t="str">
        <f>'Təs-i'!O163</f>
        <v/>
      </c>
      <c r="P129" s="107" t="str">
        <f>'Təs-i'!P163</f>
        <v/>
      </c>
      <c r="Q129" s="107" t="str">
        <f>'Təs-i'!Q163</f>
        <v/>
      </c>
      <c r="R129" s="107">
        <f>'Təs-i'!R163</f>
        <v>0</v>
      </c>
      <c r="S129" s="107" t="str">
        <f>'Təs-i'!S163</f>
        <v/>
      </c>
      <c r="T129" s="107">
        <f>'Təs-i'!T163</f>
        <v>0</v>
      </c>
      <c r="U129" s="107" t="str">
        <f>'Təs-i'!U163</f>
        <v/>
      </c>
      <c r="V129" s="107" t="str">
        <f>'Təs-i'!V163</f>
        <v/>
      </c>
      <c r="W129" s="107" t="str">
        <f>'Təs-i'!W163</f>
        <v/>
      </c>
      <c r="X129" s="107" t="str">
        <f>'Təs-i'!X163</f>
        <v/>
      </c>
      <c r="Y129" s="107" t="str">
        <f>'Təs-i'!Y163</f>
        <v/>
      </c>
      <c r="Z129" s="107" t="str">
        <f>'Təs-i'!Z163</f>
        <v/>
      </c>
      <c r="AA129" s="107" t="str">
        <f>'Təs-i'!AA163</f>
        <v/>
      </c>
      <c r="AB129" s="107" t="str">
        <f>'Təs-i'!AB163</f>
        <v/>
      </c>
      <c r="AC129" s="107">
        <f>'Təs-i'!AC163</f>
        <v>0</v>
      </c>
      <c r="AD129" s="107" t="str">
        <f>'Təs-i'!AD163</f>
        <v/>
      </c>
      <c r="AE129" s="107">
        <f>'Təs-i'!AE163</f>
        <v>0</v>
      </c>
      <c r="AF129" s="107" t="str">
        <f>'Təs-i'!AF163</f>
        <v/>
      </c>
      <c r="AG129" s="108" t="str">
        <f>'Təs-i'!AG163</f>
        <v>[0-30]</v>
      </c>
    </row>
    <row r="130" spans="2:33" x14ac:dyDescent="0.25">
      <c r="B130" s="95">
        <f>'Ç-h'!B157</f>
        <v>8</v>
      </c>
      <c r="C130" s="95" t="str">
        <f>'Ç-h'!C157</f>
        <v>e</v>
      </c>
      <c r="D130" s="95" t="str">
        <f>'Ç-h'!D157</f>
        <v>Çağırışaqədərki hazırlıq</v>
      </c>
      <c r="E130" s="95">
        <f>'Ç-h'!E157</f>
        <v>0</v>
      </c>
      <c r="F130" s="95">
        <f>'Ç-h'!F157</f>
        <v>0</v>
      </c>
      <c r="G130" s="95" t="str">
        <f>'Ç-h'!G157</f>
        <v>Azərbaycan</v>
      </c>
      <c r="H130" s="95">
        <f>'Ç-h'!H157</f>
        <v>13</v>
      </c>
      <c r="I130" s="95">
        <f>'Ç-h'!I157</f>
        <v>7</v>
      </c>
      <c r="J130" s="95">
        <f>'Ç-h'!J157</f>
        <v>20</v>
      </c>
      <c r="K130" s="96" t="e">
        <f>'Ç-h'!K157</f>
        <v>#DIV/0!</v>
      </c>
      <c r="L130" s="96" t="e">
        <f>'Ç-h'!L157</f>
        <v>#DIV/0!</v>
      </c>
      <c r="M130" s="113" t="e">
        <f>'Ç-h'!M157</f>
        <v>#DIV/0!</v>
      </c>
      <c r="N130" s="96" t="str">
        <f>'Ç-h'!N157</f>
        <v/>
      </c>
      <c r="O130" s="96" t="str">
        <f>'Ç-h'!O157</f>
        <v/>
      </c>
      <c r="P130" s="96" t="str">
        <f>'Ç-h'!P157</f>
        <v/>
      </c>
      <c r="Q130" s="96" t="str">
        <f>'Ç-h'!Q157</f>
        <v/>
      </c>
      <c r="R130" s="96" t="str">
        <f>'Ç-h'!R157</f>
        <v/>
      </c>
      <c r="S130" s="96" t="str">
        <f>'Ç-h'!S157</f>
        <v/>
      </c>
      <c r="T130" s="96" t="str">
        <f>'Ç-h'!T157</f>
        <v/>
      </c>
      <c r="U130" s="96" t="str">
        <f>'Ç-h'!U157</f>
        <v/>
      </c>
      <c r="V130" s="96" t="str">
        <f>'Ç-h'!V157</f>
        <v/>
      </c>
      <c r="W130" s="96" t="str">
        <f>'Ç-h'!W157</f>
        <v/>
      </c>
      <c r="X130" s="96" t="str">
        <f>'Ç-h'!X157</f>
        <v/>
      </c>
      <c r="Y130" s="96" t="str">
        <f>'Ç-h'!Y157</f>
        <v/>
      </c>
      <c r="Z130" s="96" t="str">
        <f>'Ç-h'!Z157</f>
        <v/>
      </c>
      <c r="AA130" s="96" t="str">
        <f>'Ç-h'!AA157</f>
        <v/>
      </c>
      <c r="AB130" s="96" t="str">
        <f>'Ç-h'!AB157</f>
        <v/>
      </c>
      <c r="AC130" s="96" t="str">
        <f>'Ç-h'!AC157</f>
        <v/>
      </c>
      <c r="AD130" s="96" t="str">
        <f>'Ç-h'!AD157</f>
        <v/>
      </c>
      <c r="AE130" s="96" t="str">
        <f>'Ç-h'!AE157</f>
        <v/>
      </c>
      <c r="AF130" s="96" t="str">
        <f>'Ç-h'!AF157</f>
        <v/>
      </c>
      <c r="AG130" s="95" t="str">
        <f>'Ç-h'!AG157</f>
        <v>Ümumi</v>
      </c>
    </row>
    <row r="131" spans="2:33" x14ac:dyDescent="0.25">
      <c r="B131" s="120"/>
      <c r="C131" s="97"/>
      <c r="D131" s="97"/>
      <c r="E131" s="97" t="s">
        <v>111</v>
      </c>
      <c r="F131" s="97">
        <f>Müəllimlər!J22</f>
        <v>0</v>
      </c>
      <c r="G131" s="97">
        <f>Müəllimlər!K22</f>
        <v>0</v>
      </c>
      <c r="H131" s="97">
        <f>Müəllimlər!L22</f>
        <v>0</v>
      </c>
      <c r="I131" s="97">
        <f>Müəllimlər!M22</f>
        <v>0</v>
      </c>
      <c r="J131" s="97">
        <f>Müəllimlər!N22</f>
        <v>0</v>
      </c>
      <c r="K131" s="95">
        <f>'Ç-h'!K158</f>
        <v>0</v>
      </c>
      <c r="L131" s="95">
        <f>'Ç-h'!L158</f>
        <v>0</v>
      </c>
      <c r="M131" s="109">
        <f>'Ç-h'!M158</f>
        <v>0</v>
      </c>
      <c r="N131" s="96">
        <f>'Ç-h'!N158</f>
        <v>0</v>
      </c>
      <c r="O131" s="96">
        <f>'Ç-h'!O158</f>
        <v>0</v>
      </c>
      <c r="P131" s="96">
        <f>'Ç-h'!P158</f>
        <v>0</v>
      </c>
      <c r="Q131" s="96">
        <f>'Ç-h'!Q158</f>
        <v>0</v>
      </c>
      <c r="R131" s="96">
        <f>'Ç-h'!R158</f>
        <v>0</v>
      </c>
      <c r="S131" s="96">
        <f>'Ç-h'!S158</f>
        <v>0</v>
      </c>
      <c r="T131" s="96">
        <f>'Ç-h'!T158</f>
        <v>0</v>
      </c>
      <c r="U131" s="96">
        <f>'Ç-h'!U158</f>
        <v>0</v>
      </c>
      <c r="V131" s="96">
        <f>'Ç-h'!V158</f>
        <v>0</v>
      </c>
      <c r="W131" s="96">
        <f>'Ç-h'!W158</f>
        <v>0</v>
      </c>
      <c r="X131" s="96">
        <f>'Ç-h'!X158</f>
        <v>0</v>
      </c>
      <c r="Y131" s="96">
        <f>'Ç-h'!Y158</f>
        <v>0</v>
      </c>
      <c r="Z131" s="96">
        <f>'Ç-h'!Z158</f>
        <v>0</v>
      </c>
      <c r="AA131" s="96">
        <f>'Ç-h'!AA158</f>
        <v>0</v>
      </c>
      <c r="AB131" s="96">
        <f>'Ç-h'!AB158</f>
        <v>0</v>
      </c>
      <c r="AC131" s="96">
        <f>'Ç-h'!AC158</f>
        <v>0</v>
      </c>
      <c r="AD131" s="96">
        <f>'Ç-h'!AD158</f>
        <v>0</v>
      </c>
      <c r="AE131" s="96">
        <f>'Ç-h'!AE158</f>
        <v>0</v>
      </c>
      <c r="AF131" s="96">
        <f>'Ç-h'!AF158</f>
        <v>0</v>
      </c>
      <c r="AG131" s="95" t="str">
        <f>'Ç-h'!AG158</f>
        <v>Oğlanlar</v>
      </c>
    </row>
    <row r="132" spans="2:33" x14ac:dyDescent="0.25">
      <c r="B132" s="120"/>
      <c r="C132" s="97"/>
      <c r="D132" s="97"/>
      <c r="E132" s="97" t="s">
        <v>113</v>
      </c>
      <c r="F132" s="97">
        <f>Müəllimlər!O22</f>
        <v>0</v>
      </c>
      <c r="G132" s="97">
        <f>Müəllimlər!P22</f>
        <v>0</v>
      </c>
      <c r="H132" s="97">
        <f>Müəllimlər!Q22</f>
        <v>0</v>
      </c>
      <c r="I132" s="97">
        <f>Müəllimlər!R22</f>
        <v>0</v>
      </c>
      <c r="J132" s="97">
        <f>Müəllimlər!S22</f>
        <v>0</v>
      </c>
      <c r="K132" s="97"/>
      <c r="L132" s="97"/>
      <c r="M132" s="97"/>
      <c r="N132" s="96">
        <f>'Ç-h'!N159</f>
        <v>0</v>
      </c>
      <c r="O132" s="96">
        <f>'Ç-h'!O159</f>
        <v>0</v>
      </c>
      <c r="P132" s="96">
        <f>'Ç-h'!P159</f>
        <v>0</v>
      </c>
      <c r="Q132" s="96">
        <f>'Ç-h'!Q159</f>
        <v>0</v>
      </c>
      <c r="R132" s="96">
        <f>'Ç-h'!R159</f>
        <v>0</v>
      </c>
      <c r="S132" s="96">
        <f>'Ç-h'!S159</f>
        <v>0</v>
      </c>
      <c r="T132" s="96">
        <f>'Ç-h'!T159</f>
        <v>0</v>
      </c>
      <c r="U132" s="96">
        <f>'Ç-h'!U159</f>
        <v>0</v>
      </c>
      <c r="V132" s="96">
        <f>'Ç-h'!V159</f>
        <v>0</v>
      </c>
      <c r="W132" s="96">
        <f>'Ç-h'!W159</f>
        <v>0</v>
      </c>
      <c r="X132" s="96">
        <f>'Ç-h'!X159</f>
        <v>0</v>
      </c>
      <c r="Y132" s="96">
        <f>'Ç-h'!Y159</f>
        <v>0</v>
      </c>
      <c r="Z132" s="96">
        <f>'Ç-h'!Z159</f>
        <v>0</v>
      </c>
      <c r="AA132" s="96">
        <f>'Ç-h'!AA159</f>
        <v>0</v>
      </c>
      <c r="AB132" s="96">
        <f>'Ç-h'!AB159</f>
        <v>0</v>
      </c>
      <c r="AC132" s="96">
        <f>'Ç-h'!AC159</f>
        <v>0</v>
      </c>
      <c r="AD132" s="96">
        <f>'Ç-h'!AD159</f>
        <v>0</v>
      </c>
      <c r="AE132" s="96">
        <f>'Ç-h'!AE159</f>
        <v>0</v>
      </c>
      <c r="AF132" s="96">
        <f>'Ç-h'!AF159</f>
        <v>0</v>
      </c>
      <c r="AG132" s="95" t="str">
        <f>'Ç-h'!AG159</f>
        <v>Qızlar</v>
      </c>
    </row>
    <row r="133" spans="2:33" x14ac:dyDescent="0.25">
      <c r="B133" s="117"/>
      <c r="C133" s="106"/>
      <c r="D133" s="106"/>
      <c r="E133" s="106" t="s">
        <v>122</v>
      </c>
      <c r="F133" s="106">
        <f>Müəllimlər!T22</f>
        <v>0</v>
      </c>
      <c r="G133" s="106">
        <f>Müəllimlər!U22</f>
        <v>0</v>
      </c>
      <c r="H133" s="106">
        <f>Müəllimlər!V22</f>
        <v>0</v>
      </c>
      <c r="I133" s="106">
        <f>Müəllimlər!W22</f>
        <v>0</v>
      </c>
      <c r="J133" s="106">
        <f>Müəllimlər!X22</f>
        <v>0</v>
      </c>
      <c r="K133" s="106"/>
      <c r="L133" s="106"/>
      <c r="M133" s="106"/>
      <c r="N133" s="96" t="str">
        <f>'Ç-h'!N160</f>
        <v/>
      </c>
      <c r="O133" s="96" t="str">
        <f>'Ç-h'!O160</f>
        <v/>
      </c>
      <c r="P133" s="96" t="str">
        <f>'Ç-h'!P160</f>
        <v/>
      </c>
      <c r="Q133" s="96" t="str">
        <f>'Ç-h'!Q160</f>
        <v/>
      </c>
      <c r="R133" s="96" t="str">
        <f>'Ç-h'!R160</f>
        <v/>
      </c>
      <c r="S133" s="96" t="str">
        <f>'Ç-h'!S160</f>
        <v/>
      </c>
      <c r="T133" s="96" t="str">
        <f>'Ç-h'!T160</f>
        <v/>
      </c>
      <c r="U133" s="96" t="str">
        <f>'Ç-h'!U160</f>
        <v/>
      </c>
      <c r="V133" s="96" t="str">
        <f>'Ç-h'!V160</f>
        <v/>
      </c>
      <c r="W133" s="96" t="str">
        <f>'Ç-h'!W160</f>
        <v/>
      </c>
      <c r="X133" s="96" t="str">
        <f>'Ç-h'!X160</f>
        <v/>
      </c>
      <c r="Y133" s="96" t="str">
        <f>'Ç-h'!Y160</f>
        <v/>
      </c>
      <c r="Z133" s="96" t="str">
        <f>'Ç-h'!Z160</f>
        <v/>
      </c>
      <c r="AA133" s="96" t="str">
        <f>'Ç-h'!AA160</f>
        <v/>
      </c>
      <c r="AB133" s="96" t="str">
        <f>'Ç-h'!AB160</f>
        <v/>
      </c>
      <c r="AC133" s="96" t="str">
        <f>'Ç-h'!AC160</f>
        <v/>
      </c>
      <c r="AD133" s="96" t="str">
        <f>'Ç-h'!AD160</f>
        <v/>
      </c>
      <c r="AE133" s="96" t="str">
        <f>'Ç-h'!AE160</f>
        <v/>
      </c>
      <c r="AF133" s="96" t="str">
        <f>'Ç-h'!AF160</f>
        <v/>
      </c>
      <c r="AG133" s="95" t="str">
        <f>'Ç-h'!AG160</f>
        <v>(80-100]</v>
      </c>
    </row>
    <row r="134" spans="2:33" x14ac:dyDescent="0.25">
      <c r="B134" s="117"/>
      <c r="C134" s="106"/>
      <c r="D134" s="106"/>
      <c r="E134" s="106" t="s">
        <v>119</v>
      </c>
      <c r="F134" s="106">
        <f>Müəllimlər!Y22</f>
        <v>0</v>
      </c>
      <c r="G134" s="106">
        <f>Müəllimlər!Z22</f>
        <v>0</v>
      </c>
      <c r="H134" s="106">
        <f>Müəllimlər!AA22</f>
        <v>0</v>
      </c>
      <c r="I134" s="106">
        <f>Müəllimlər!AB22</f>
        <v>0</v>
      </c>
      <c r="J134" s="106">
        <f>Müəllimlər!AC22</f>
        <v>0</v>
      </c>
      <c r="K134" s="106"/>
      <c r="L134" s="106"/>
      <c r="M134" s="106"/>
      <c r="N134" s="96" t="str">
        <f>'Ç-h'!N161</f>
        <v/>
      </c>
      <c r="O134" s="96" t="str">
        <f>'Ç-h'!O161</f>
        <v/>
      </c>
      <c r="P134" s="96" t="str">
        <f>'Ç-h'!P161</f>
        <v/>
      </c>
      <c r="Q134" s="96" t="str">
        <f>'Ç-h'!Q161</f>
        <v/>
      </c>
      <c r="R134" s="96" t="str">
        <f>'Ç-h'!R161</f>
        <v/>
      </c>
      <c r="S134" s="96" t="str">
        <f>'Ç-h'!S161</f>
        <v/>
      </c>
      <c r="T134" s="96" t="str">
        <f>'Ç-h'!T161</f>
        <v/>
      </c>
      <c r="U134" s="96" t="str">
        <f>'Ç-h'!U161</f>
        <v/>
      </c>
      <c r="V134" s="96" t="str">
        <f>'Ç-h'!V161</f>
        <v/>
      </c>
      <c r="W134" s="96" t="str">
        <f>'Ç-h'!W161</f>
        <v/>
      </c>
      <c r="X134" s="96" t="str">
        <f>'Ç-h'!X161</f>
        <v/>
      </c>
      <c r="Y134" s="96" t="str">
        <f>'Ç-h'!Y161</f>
        <v/>
      </c>
      <c r="Z134" s="96" t="str">
        <f>'Ç-h'!Z161</f>
        <v/>
      </c>
      <c r="AA134" s="96" t="str">
        <f>'Ç-h'!AA161</f>
        <v/>
      </c>
      <c r="AB134" s="96" t="str">
        <f>'Ç-h'!AB161</f>
        <v/>
      </c>
      <c r="AC134" s="96" t="str">
        <f>'Ç-h'!AC161</f>
        <v/>
      </c>
      <c r="AD134" s="96" t="str">
        <f>'Ç-h'!AD161</f>
        <v/>
      </c>
      <c r="AE134" s="96" t="str">
        <f>'Ç-h'!AE161</f>
        <v/>
      </c>
      <c r="AF134" s="96" t="str">
        <f>'Ç-h'!AF161</f>
        <v/>
      </c>
      <c r="AG134" s="95" t="str">
        <f>'Ç-h'!AG161</f>
        <v>(60-80]</v>
      </c>
    </row>
    <row r="135" spans="2:33" x14ac:dyDescent="0.25">
      <c r="B135" s="120"/>
      <c r="C135" s="97"/>
      <c r="D135" s="97"/>
      <c r="E135" s="97" t="s">
        <v>120</v>
      </c>
      <c r="F135" s="97">
        <f>Müəllimlər!AD22</f>
        <v>0</v>
      </c>
      <c r="G135" s="97">
        <f>Müəllimlər!AE22</f>
        <v>0</v>
      </c>
      <c r="H135" s="97">
        <f>Müəllimlər!AF22</f>
        <v>0</v>
      </c>
      <c r="I135" s="97">
        <f>Müəllimlər!AG22</f>
        <v>0</v>
      </c>
      <c r="J135" s="97">
        <f>Müəllimlər!AH22</f>
        <v>0</v>
      </c>
      <c r="K135" s="97"/>
      <c r="L135" s="97"/>
      <c r="M135" s="97"/>
      <c r="N135" s="96" t="str">
        <f>'Ç-h'!N162</f>
        <v/>
      </c>
      <c r="O135" s="96" t="str">
        <f>'Ç-h'!O162</f>
        <v/>
      </c>
      <c r="P135" s="96" t="str">
        <f>'Ç-h'!P162</f>
        <v/>
      </c>
      <c r="Q135" s="96" t="str">
        <f>'Ç-h'!Q162</f>
        <v/>
      </c>
      <c r="R135" s="96" t="str">
        <f>'Ç-h'!R162</f>
        <v/>
      </c>
      <c r="S135" s="96" t="str">
        <f>'Ç-h'!S162</f>
        <v/>
      </c>
      <c r="T135" s="96" t="str">
        <f>'Ç-h'!T162</f>
        <v/>
      </c>
      <c r="U135" s="96" t="str">
        <f>'Ç-h'!U162</f>
        <v/>
      </c>
      <c r="V135" s="96" t="str">
        <f>'Ç-h'!V162</f>
        <v/>
      </c>
      <c r="W135" s="96" t="str">
        <f>'Ç-h'!W162</f>
        <v/>
      </c>
      <c r="X135" s="96" t="str">
        <f>'Ç-h'!X162</f>
        <v/>
      </c>
      <c r="Y135" s="96" t="str">
        <f>'Ç-h'!Y162</f>
        <v/>
      </c>
      <c r="Z135" s="96" t="str">
        <f>'Ç-h'!Z162</f>
        <v/>
      </c>
      <c r="AA135" s="96" t="str">
        <f>'Ç-h'!AA162</f>
        <v/>
      </c>
      <c r="AB135" s="96" t="str">
        <f>'Ç-h'!AB162</f>
        <v/>
      </c>
      <c r="AC135" s="96" t="str">
        <f>'Ç-h'!AC162</f>
        <v/>
      </c>
      <c r="AD135" s="96" t="str">
        <f>'Ç-h'!AD162</f>
        <v/>
      </c>
      <c r="AE135" s="96" t="str">
        <f>'Ç-h'!AE162</f>
        <v/>
      </c>
      <c r="AF135" s="96" t="str">
        <f>'Ç-h'!AF162</f>
        <v/>
      </c>
      <c r="AG135" s="95" t="str">
        <f>'Ç-h'!AG162</f>
        <v>(30-60]</v>
      </c>
    </row>
    <row r="136" spans="2:33" x14ac:dyDescent="0.25">
      <c r="B136" s="120"/>
      <c r="C136" s="97"/>
      <c r="D136" s="97"/>
      <c r="E136" s="229" t="s">
        <v>121</v>
      </c>
      <c r="F136" s="97">
        <f>Müəllimlər!AI22</f>
        <v>0</v>
      </c>
      <c r="G136" s="97">
        <f>Müəllimlər!AJ22</f>
        <v>0</v>
      </c>
      <c r="H136" s="97">
        <f>Müəllimlər!AK22</f>
        <v>0</v>
      </c>
      <c r="I136" s="97">
        <f>Müəllimlər!AL22</f>
        <v>0</v>
      </c>
      <c r="J136" s="97">
        <f>Müəllimlər!AM22</f>
        <v>0</v>
      </c>
      <c r="K136" s="97"/>
      <c r="L136" s="97"/>
      <c r="M136" s="97"/>
      <c r="N136" s="96" t="str">
        <f>'Ç-h'!N163</f>
        <v/>
      </c>
      <c r="O136" s="110" t="str">
        <f>'Ç-h'!O163</f>
        <v/>
      </c>
      <c r="P136" s="110" t="str">
        <f>'Ç-h'!P163</f>
        <v/>
      </c>
      <c r="Q136" s="110" t="str">
        <f>'Ç-h'!Q163</f>
        <v/>
      </c>
      <c r="R136" s="110" t="str">
        <f>'Ç-h'!R163</f>
        <v/>
      </c>
      <c r="S136" s="110" t="str">
        <f>'Ç-h'!S163</f>
        <v/>
      </c>
      <c r="T136" s="110" t="str">
        <f>'Ç-h'!T163</f>
        <v/>
      </c>
      <c r="U136" s="110" t="str">
        <f>'Ç-h'!U163</f>
        <v/>
      </c>
      <c r="V136" s="110" t="str">
        <f>'Ç-h'!V163</f>
        <v/>
      </c>
      <c r="W136" s="110" t="str">
        <f>'Ç-h'!W163</f>
        <v/>
      </c>
      <c r="X136" s="110" t="str">
        <f>'Ç-h'!X163</f>
        <v/>
      </c>
      <c r="Y136" s="110" t="str">
        <f>'Ç-h'!Y163</f>
        <v/>
      </c>
      <c r="Z136" s="110" t="str">
        <f>'Ç-h'!Z163</f>
        <v/>
      </c>
      <c r="AA136" s="110" t="str">
        <f>'Ç-h'!AA163</f>
        <v/>
      </c>
      <c r="AB136" s="110" t="str">
        <f>'Ç-h'!AB163</f>
        <v/>
      </c>
      <c r="AC136" s="110" t="str">
        <f>'Ç-h'!AC163</f>
        <v/>
      </c>
      <c r="AD136" s="110" t="str">
        <f>'Ç-h'!AD163</f>
        <v/>
      </c>
      <c r="AE136" s="110" t="str">
        <f>'Ç-h'!AE163</f>
        <v/>
      </c>
      <c r="AF136" s="110" t="str">
        <f>'Ç-h'!AF163</f>
        <v/>
      </c>
      <c r="AG136" s="111" t="str">
        <f>'Ç-h'!AG163</f>
        <v>[0-30]</v>
      </c>
    </row>
    <row r="137" spans="2:33" x14ac:dyDescent="0.25">
      <c r="B137" s="98">
        <f>Əlavə!B157</f>
        <v>8</v>
      </c>
      <c r="C137" s="98" t="str">
        <f>Əlavə!C157</f>
        <v>e</v>
      </c>
      <c r="D137" s="98" t="str">
        <f>Əlavə!D157</f>
        <v>Əlavə</v>
      </c>
      <c r="E137" s="98">
        <f>Əlavə!E157</f>
        <v>0</v>
      </c>
      <c r="F137" s="98">
        <f>Əlavə!F157</f>
        <v>0</v>
      </c>
      <c r="G137" s="98" t="str">
        <f>Əlavə!G157</f>
        <v>Azərbaycan</v>
      </c>
      <c r="H137" s="98">
        <f>Əlavə!H157</f>
        <v>13</v>
      </c>
      <c r="I137" s="98">
        <f>Əlavə!I157</f>
        <v>7</v>
      </c>
      <c r="J137" s="98">
        <f>Əlavə!J157</f>
        <v>20</v>
      </c>
      <c r="K137" s="99" t="e">
        <f>Əlavə!K157</f>
        <v>#DIV/0!</v>
      </c>
      <c r="L137" s="99" t="e">
        <f>Əlavə!L157</f>
        <v>#DIV/0!</v>
      </c>
      <c r="M137" s="219" t="e">
        <f>Əlavə!M157</f>
        <v>#DIV/0!</v>
      </c>
      <c r="N137" s="99" t="str">
        <f>Əlavə!N157</f>
        <v/>
      </c>
      <c r="O137" s="99" t="str">
        <f>Əlavə!O157</f>
        <v/>
      </c>
      <c r="P137" s="99" t="str">
        <f>Əlavə!P157</f>
        <v/>
      </c>
      <c r="Q137" s="99" t="str">
        <f>Əlavə!Q157</f>
        <v/>
      </c>
      <c r="R137" s="99" t="str">
        <f>Əlavə!R157</f>
        <v/>
      </c>
      <c r="S137" s="99" t="str">
        <f>Əlavə!S157</f>
        <v/>
      </c>
      <c r="T137" s="99" t="str">
        <f>Əlavə!T157</f>
        <v/>
      </c>
      <c r="U137" s="99" t="str">
        <f>Əlavə!U157</f>
        <v/>
      </c>
      <c r="V137" s="99" t="str">
        <f>Əlavə!V157</f>
        <v/>
      </c>
      <c r="W137" s="99" t="str">
        <f>Əlavə!W157</f>
        <v/>
      </c>
      <c r="X137" s="99" t="str">
        <f>Əlavə!X157</f>
        <v/>
      </c>
      <c r="Y137" s="99" t="str">
        <f>Əlavə!Y157</f>
        <v/>
      </c>
      <c r="Z137" s="99" t="str">
        <f>Əlavə!Z157</f>
        <v/>
      </c>
      <c r="AA137" s="99" t="str">
        <f>Əlavə!AA157</f>
        <v/>
      </c>
      <c r="AB137" s="99" t="str">
        <f>Əlavə!AB157</f>
        <v/>
      </c>
      <c r="AC137" s="99" t="str">
        <f>Əlavə!AC157</f>
        <v/>
      </c>
      <c r="AD137" s="99" t="str">
        <f>Əlavə!AD157</f>
        <v/>
      </c>
      <c r="AE137" s="99" t="str">
        <f>Əlavə!AE157</f>
        <v/>
      </c>
      <c r="AF137" s="99" t="str">
        <f>Əlavə!AF157</f>
        <v/>
      </c>
      <c r="AG137" s="98" t="str">
        <f>Əlavə!AG157</f>
        <v>Ümumi</v>
      </c>
    </row>
    <row r="138" spans="2:33" x14ac:dyDescent="0.25">
      <c r="B138" s="119"/>
      <c r="C138" s="100"/>
      <c r="D138" s="100"/>
      <c r="E138" s="100" t="s">
        <v>111</v>
      </c>
      <c r="F138" s="100">
        <f>Müəllimlər!J23</f>
        <v>0</v>
      </c>
      <c r="G138" s="100">
        <f>Müəllimlər!K23</f>
        <v>0</v>
      </c>
      <c r="H138" s="100">
        <f>Müəllimlər!L23</f>
        <v>0</v>
      </c>
      <c r="I138" s="100">
        <f>Müəllimlər!M23</f>
        <v>0</v>
      </c>
      <c r="J138" s="100">
        <f>Müəllimlər!N23</f>
        <v>0</v>
      </c>
      <c r="K138" s="98">
        <f>Əlavə!K158</f>
        <v>0</v>
      </c>
      <c r="L138" s="98">
        <f>Əlavə!L158</f>
        <v>0</v>
      </c>
      <c r="M138" s="112">
        <f>Əlavə!M158</f>
        <v>0</v>
      </c>
      <c r="N138" s="99">
        <f>Əlavə!N158</f>
        <v>0</v>
      </c>
      <c r="O138" s="99">
        <f>Əlavə!O158</f>
        <v>0</v>
      </c>
      <c r="P138" s="99">
        <f>Əlavə!P158</f>
        <v>0</v>
      </c>
      <c r="Q138" s="99">
        <f>Əlavə!Q158</f>
        <v>0</v>
      </c>
      <c r="R138" s="99">
        <f>Əlavə!R158</f>
        <v>0</v>
      </c>
      <c r="S138" s="99">
        <f>Əlavə!S158</f>
        <v>0</v>
      </c>
      <c r="T138" s="99">
        <f>Əlavə!T158</f>
        <v>0</v>
      </c>
      <c r="U138" s="99">
        <f>Əlavə!U158</f>
        <v>0</v>
      </c>
      <c r="V138" s="99">
        <f>Əlavə!V158</f>
        <v>0</v>
      </c>
      <c r="W138" s="99">
        <f>Əlavə!W158</f>
        <v>0</v>
      </c>
      <c r="X138" s="99">
        <f>Əlavə!X158</f>
        <v>0</v>
      </c>
      <c r="Y138" s="99">
        <f>Əlavə!Y158</f>
        <v>0</v>
      </c>
      <c r="Z138" s="99">
        <f>Əlavə!Z158</f>
        <v>0</v>
      </c>
      <c r="AA138" s="99">
        <f>Əlavə!AA158</f>
        <v>0</v>
      </c>
      <c r="AB138" s="99">
        <f>Əlavə!AB158</f>
        <v>0</v>
      </c>
      <c r="AC138" s="99">
        <f>Əlavə!AC158</f>
        <v>0</v>
      </c>
      <c r="AD138" s="99">
        <f>Əlavə!AD158</f>
        <v>0</v>
      </c>
      <c r="AE138" s="99">
        <f>Əlavə!AE158</f>
        <v>0</v>
      </c>
      <c r="AF138" s="99">
        <f>Əlavə!AF158</f>
        <v>0</v>
      </c>
      <c r="AG138" s="98" t="str">
        <f>Əlavə!AG158</f>
        <v>Oğlanlar</v>
      </c>
    </row>
    <row r="139" spans="2:33" x14ac:dyDescent="0.25">
      <c r="B139" s="119"/>
      <c r="C139" s="100"/>
      <c r="D139" s="100"/>
      <c r="E139" s="100" t="s">
        <v>113</v>
      </c>
      <c r="F139" s="100">
        <f>Müəllimlər!O23</f>
        <v>0</v>
      </c>
      <c r="G139" s="100">
        <f>Müəllimlər!P23</f>
        <v>0</v>
      </c>
      <c r="H139" s="100">
        <f>Müəllimlər!Q23</f>
        <v>0</v>
      </c>
      <c r="I139" s="100">
        <f>Müəllimlər!R23</f>
        <v>0</v>
      </c>
      <c r="J139" s="100">
        <f>Müəllimlər!S23</f>
        <v>0</v>
      </c>
      <c r="K139" s="100"/>
      <c r="L139" s="100"/>
      <c r="M139" s="100"/>
      <c r="N139" s="99">
        <f>Əlavə!N159</f>
        <v>0</v>
      </c>
      <c r="O139" s="99">
        <f>Əlavə!O159</f>
        <v>0</v>
      </c>
      <c r="P139" s="99">
        <f>Əlavə!P159</f>
        <v>0</v>
      </c>
      <c r="Q139" s="99">
        <f>Əlavə!Q159</f>
        <v>0</v>
      </c>
      <c r="R139" s="99">
        <f>Əlavə!R159</f>
        <v>0</v>
      </c>
      <c r="S139" s="99">
        <f>Əlavə!S159</f>
        <v>0</v>
      </c>
      <c r="T139" s="99">
        <f>Əlavə!T159</f>
        <v>0</v>
      </c>
      <c r="U139" s="99">
        <f>Əlavə!U159</f>
        <v>0</v>
      </c>
      <c r="V139" s="99">
        <f>Əlavə!V159</f>
        <v>0</v>
      </c>
      <c r="W139" s="99">
        <f>Əlavə!W159</f>
        <v>0</v>
      </c>
      <c r="X139" s="99">
        <f>Əlavə!X159</f>
        <v>0</v>
      </c>
      <c r="Y139" s="99">
        <f>Əlavə!Y159</f>
        <v>0</v>
      </c>
      <c r="Z139" s="99">
        <f>Əlavə!Z159</f>
        <v>0</v>
      </c>
      <c r="AA139" s="99">
        <f>Əlavə!AA159</f>
        <v>0</v>
      </c>
      <c r="AB139" s="99">
        <f>Əlavə!AB159</f>
        <v>0</v>
      </c>
      <c r="AC139" s="99">
        <f>Əlavə!AC159</f>
        <v>0</v>
      </c>
      <c r="AD139" s="99">
        <f>Əlavə!AD159</f>
        <v>0</v>
      </c>
      <c r="AE139" s="99">
        <f>Əlavə!AE159</f>
        <v>0</v>
      </c>
      <c r="AF139" s="99">
        <f>Əlavə!AF159</f>
        <v>0</v>
      </c>
      <c r="AG139" s="98" t="str">
        <f>Əlavə!AG159</f>
        <v>Qızlar</v>
      </c>
    </row>
    <row r="140" spans="2:33" x14ac:dyDescent="0.25">
      <c r="B140" s="224"/>
      <c r="C140" s="222"/>
      <c r="D140" s="222"/>
      <c r="E140" s="222" t="s">
        <v>122</v>
      </c>
      <c r="F140" s="222">
        <f>Müəllimlər!T23</f>
        <v>0</v>
      </c>
      <c r="G140" s="222">
        <f>Müəllimlər!U23</f>
        <v>0</v>
      </c>
      <c r="H140" s="222">
        <f>Müəllimlər!V23</f>
        <v>0</v>
      </c>
      <c r="I140" s="222">
        <f>Müəllimlər!W23</f>
        <v>0</v>
      </c>
      <c r="J140" s="222">
        <f>Müəllimlər!X23</f>
        <v>0</v>
      </c>
      <c r="K140" s="222"/>
      <c r="L140" s="222"/>
      <c r="M140" s="222"/>
      <c r="N140" s="99" t="str">
        <f>Əlavə!N160</f>
        <v/>
      </c>
      <c r="O140" s="99" t="str">
        <f>Əlavə!O160</f>
        <v/>
      </c>
      <c r="P140" s="99" t="str">
        <f>Əlavə!P160</f>
        <v/>
      </c>
      <c r="Q140" s="99" t="str">
        <f>Əlavə!Q160</f>
        <v/>
      </c>
      <c r="R140" s="99" t="str">
        <f>Əlavə!R160</f>
        <v/>
      </c>
      <c r="S140" s="99" t="str">
        <f>Əlavə!S160</f>
        <v/>
      </c>
      <c r="T140" s="99" t="str">
        <f>Əlavə!T160</f>
        <v/>
      </c>
      <c r="U140" s="99" t="str">
        <f>Əlavə!U160</f>
        <v/>
      </c>
      <c r="V140" s="99" t="str">
        <f>Əlavə!V160</f>
        <v/>
      </c>
      <c r="W140" s="99" t="str">
        <f>Əlavə!W160</f>
        <v/>
      </c>
      <c r="X140" s="99" t="str">
        <f>Əlavə!X160</f>
        <v/>
      </c>
      <c r="Y140" s="99" t="str">
        <f>Əlavə!Y160</f>
        <v/>
      </c>
      <c r="Z140" s="99" t="str">
        <f>Əlavə!Z160</f>
        <v/>
      </c>
      <c r="AA140" s="99" t="str">
        <f>Əlavə!AA160</f>
        <v/>
      </c>
      <c r="AB140" s="99" t="str">
        <f>Əlavə!AB160</f>
        <v/>
      </c>
      <c r="AC140" s="99" t="str">
        <f>Əlavə!AC160</f>
        <v/>
      </c>
      <c r="AD140" s="99" t="str">
        <f>Əlavə!AD160</f>
        <v/>
      </c>
      <c r="AE140" s="99" t="str">
        <f>Əlavə!AE160</f>
        <v/>
      </c>
      <c r="AF140" s="99" t="str">
        <f>Əlavə!AF160</f>
        <v/>
      </c>
      <c r="AG140" s="98" t="str">
        <f>Əlavə!AG160</f>
        <v>(80-100]</v>
      </c>
    </row>
    <row r="141" spans="2:33" x14ac:dyDescent="0.25">
      <c r="B141" s="224"/>
      <c r="C141" s="222"/>
      <c r="D141" s="222"/>
      <c r="E141" s="222" t="s">
        <v>119</v>
      </c>
      <c r="F141" s="222">
        <f>Müəllimlər!Y23</f>
        <v>0</v>
      </c>
      <c r="G141" s="222">
        <f>Müəllimlər!Z23</f>
        <v>0</v>
      </c>
      <c r="H141" s="222">
        <f>Müəllimlər!AA23</f>
        <v>0</v>
      </c>
      <c r="I141" s="222">
        <f>Müəllimlər!AB23</f>
        <v>0</v>
      </c>
      <c r="J141" s="222">
        <f>Müəllimlər!AC23</f>
        <v>0</v>
      </c>
      <c r="K141" s="222"/>
      <c r="L141" s="222"/>
      <c r="M141" s="222"/>
      <c r="N141" s="99" t="str">
        <f>Əlavə!N161</f>
        <v/>
      </c>
      <c r="O141" s="99" t="str">
        <f>Əlavə!O161</f>
        <v/>
      </c>
      <c r="P141" s="99" t="str">
        <f>Əlavə!P161</f>
        <v/>
      </c>
      <c r="Q141" s="99" t="str">
        <f>Əlavə!Q161</f>
        <v/>
      </c>
      <c r="R141" s="99" t="str">
        <f>Əlavə!R161</f>
        <v/>
      </c>
      <c r="S141" s="99" t="str">
        <f>Əlavə!S161</f>
        <v/>
      </c>
      <c r="T141" s="99" t="str">
        <f>Əlavə!T161</f>
        <v/>
      </c>
      <c r="U141" s="99" t="str">
        <f>Əlavə!U161</f>
        <v/>
      </c>
      <c r="V141" s="99" t="str">
        <f>Əlavə!V161</f>
        <v/>
      </c>
      <c r="W141" s="99" t="str">
        <f>Əlavə!W161</f>
        <v/>
      </c>
      <c r="X141" s="99" t="str">
        <f>Əlavə!X161</f>
        <v/>
      </c>
      <c r="Y141" s="99" t="str">
        <f>Əlavə!Y161</f>
        <v/>
      </c>
      <c r="Z141" s="99" t="str">
        <f>Əlavə!Z161</f>
        <v/>
      </c>
      <c r="AA141" s="99" t="str">
        <f>Əlavə!AA161</f>
        <v/>
      </c>
      <c r="AB141" s="99" t="str">
        <f>Əlavə!AB161</f>
        <v/>
      </c>
      <c r="AC141" s="99" t="str">
        <f>Əlavə!AC161</f>
        <v/>
      </c>
      <c r="AD141" s="99" t="str">
        <f>Əlavə!AD161</f>
        <v/>
      </c>
      <c r="AE141" s="99" t="str">
        <f>Əlavə!AE161</f>
        <v/>
      </c>
      <c r="AF141" s="99" t="str">
        <f>Əlavə!AF161</f>
        <v/>
      </c>
      <c r="AG141" s="98" t="str">
        <f>Əlavə!AG161</f>
        <v>(60-80]</v>
      </c>
    </row>
    <row r="142" spans="2:33" x14ac:dyDescent="0.25">
      <c r="B142" s="119"/>
      <c r="C142" s="100"/>
      <c r="D142" s="100"/>
      <c r="E142" s="100" t="s">
        <v>120</v>
      </c>
      <c r="F142" s="100">
        <f>Müəllimlər!AD23</f>
        <v>0</v>
      </c>
      <c r="G142" s="100">
        <f>Müəllimlər!AE23</f>
        <v>0</v>
      </c>
      <c r="H142" s="100">
        <f>Müəllimlər!AF23</f>
        <v>0</v>
      </c>
      <c r="I142" s="100">
        <f>Müəllimlər!AG23</f>
        <v>0</v>
      </c>
      <c r="J142" s="100">
        <f>Müəllimlər!AH23</f>
        <v>0</v>
      </c>
      <c r="K142" s="100"/>
      <c r="L142" s="100"/>
      <c r="M142" s="100"/>
      <c r="N142" s="99" t="str">
        <f>Əlavə!N162</f>
        <v/>
      </c>
      <c r="O142" s="99" t="str">
        <f>Əlavə!O162</f>
        <v/>
      </c>
      <c r="P142" s="99" t="str">
        <f>Əlavə!P162</f>
        <v/>
      </c>
      <c r="Q142" s="99" t="str">
        <f>Əlavə!Q162</f>
        <v/>
      </c>
      <c r="R142" s="99" t="str">
        <f>Əlavə!R162</f>
        <v/>
      </c>
      <c r="S142" s="99" t="str">
        <f>Əlavə!S162</f>
        <v/>
      </c>
      <c r="T142" s="99" t="str">
        <f>Əlavə!T162</f>
        <v/>
      </c>
      <c r="U142" s="99" t="str">
        <f>Əlavə!U162</f>
        <v/>
      </c>
      <c r="V142" s="99" t="str">
        <f>Əlavə!V162</f>
        <v/>
      </c>
      <c r="W142" s="99" t="str">
        <f>Əlavə!W162</f>
        <v/>
      </c>
      <c r="X142" s="99" t="str">
        <f>Əlavə!X162</f>
        <v/>
      </c>
      <c r="Y142" s="99" t="str">
        <f>Əlavə!Y162</f>
        <v/>
      </c>
      <c r="Z142" s="99" t="str">
        <f>Əlavə!Z162</f>
        <v/>
      </c>
      <c r="AA142" s="99" t="str">
        <f>Əlavə!AA162</f>
        <v/>
      </c>
      <c r="AB142" s="99" t="str">
        <f>Əlavə!AB162</f>
        <v/>
      </c>
      <c r="AC142" s="99" t="str">
        <f>Əlavə!AC162</f>
        <v/>
      </c>
      <c r="AD142" s="99" t="str">
        <f>Əlavə!AD162</f>
        <v/>
      </c>
      <c r="AE142" s="99" t="str">
        <f>Əlavə!AE162</f>
        <v/>
      </c>
      <c r="AF142" s="99" t="str">
        <f>Əlavə!AF162</f>
        <v/>
      </c>
      <c r="AG142" s="98" t="str">
        <f>Əlavə!AG162</f>
        <v>(30-60]</v>
      </c>
    </row>
    <row r="143" spans="2:33" x14ac:dyDescent="0.25">
      <c r="B143" s="119"/>
      <c r="C143" s="100"/>
      <c r="D143" s="100"/>
      <c r="E143" s="223" t="s">
        <v>121</v>
      </c>
      <c r="F143" s="100">
        <f>Müəllimlər!AI23</f>
        <v>0</v>
      </c>
      <c r="G143" s="100">
        <f>Müəllimlər!AJ23</f>
        <v>0</v>
      </c>
      <c r="H143" s="100">
        <f>Müəllimlər!AK23</f>
        <v>0</v>
      </c>
      <c r="I143" s="100">
        <f>Müəllimlər!AL23</f>
        <v>0</v>
      </c>
      <c r="J143" s="100">
        <f>Müəllimlər!AM23</f>
        <v>0</v>
      </c>
      <c r="K143" s="100"/>
      <c r="L143" s="100"/>
      <c r="M143" s="100"/>
      <c r="N143" s="99" t="str">
        <f>Əlavə!N163</f>
        <v/>
      </c>
      <c r="O143" s="107" t="str">
        <f>Əlavə!O163</f>
        <v/>
      </c>
      <c r="P143" s="107" t="str">
        <f>Əlavə!P163</f>
        <v/>
      </c>
      <c r="Q143" s="107" t="str">
        <f>Əlavə!Q163</f>
        <v/>
      </c>
      <c r="R143" s="107" t="str">
        <f>Əlavə!R163</f>
        <v/>
      </c>
      <c r="S143" s="107" t="str">
        <f>Əlavə!S163</f>
        <v/>
      </c>
      <c r="T143" s="107" t="str">
        <f>Əlavə!T163</f>
        <v/>
      </c>
      <c r="U143" s="107" t="str">
        <f>Əlavə!U163</f>
        <v/>
      </c>
      <c r="V143" s="107" t="str">
        <f>Əlavə!V163</f>
        <v/>
      </c>
      <c r="W143" s="107" t="str">
        <f>Əlavə!W163</f>
        <v/>
      </c>
      <c r="X143" s="107" t="str">
        <f>Əlavə!X163</f>
        <v/>
      </c>
      <c r="Y143" s="107" t="str">
        <f>Əlavə!Y163</f>
        <v/>
      </c>
      <c r="Z143" s="107" t="str">
        <f>Əlavə!Z163</f>
        <v/>
      </c>
      <c r="AA143" s="107" t="str">
        <f>Əlavə!AA163</f>
        <v/>
      </c>
      <c r="AB143" s="107" t="str">
        <f>Əlavə!AB163</f>
        <v/>
      </c>
      <c r="AC143" s="107" t="str">
        <f>Əlavə!AC163</f>
        <v/>
      </c>
      <c r="AD143" s="107" t="str">
        <f>Əlavə!AD163</f>
        <v/>
      </c>
      <c r="AE143" s="107" t="str">
        <f>Əlavə!AE163</f>
        <v/>
      </c>
      <c r="AF143" s="107" t="str">
        <f>Əlavə!AF163</f>
        <v/>
      </c>
      <c r="AG143" s="108" t="str">
        <f>Əlavə!AG163</f>
        <v>[0-30]</v>
      </c>
    </row>
    <row r="144" spans="2:33" x14ac:dyDescent="0.25">
      <c r="B144" s="124">
        <f>Şagirdlər!D2</f>
        <v>8</v>
      </c>
      <c r="C144" s="124" t="str">
        <f>Şagirdlər!F2</f>
        <v>e</v>
      </c>
      <c r="D144" s="124" t="s">
        <v>100</v>
      </c>
      <c r="E144" s="124" t="str">
        <f>Şagirdlər!N2</f>
        <v>Məhərrəmova Cəmilə Kərəm</v>
      </c>
      <c r="F144" s="124">
        <f>SUM(F4,F11,F18,F25,F32,F39,F46,F53,F60,F67,F74,F81,F88,F95,F102,F109,F116,F123,F130,F137)</f>
        <v>1021.3600000000001</v>
      </c>
      <c r="G144" s="124" t="str">
        <f>Şagirdlər!I2</f>
        <v>Azərbaycan</v>
      </c>
      <c r="H144" s="124">
        <f>H4</f>
        <v>13</v>
      </c>
      <c r="I144" s="124">
        <f t="shared" ref="I144:J144" si="0">I4</f>
        <v>7</v>
      </c>
      <c r="J144" s="124">
        <f t="shared" si="0"/>
        <v>20</v>
      </c>
      <c r="K144" s="125" t="str">
        <f>IFERROR(AVERAGE(K4,K11,K18,K25,K32,K39,K46,K53,K60,K67,K74,K81,K88,K95,K102,K109,K116,K123,K130,K137),"")</f>
        <v/>
      </c>
      <c r="L144" s="125" t="str">
        <f t="shared" ref="L144:N144" si="1">IFERROR(AVERAGE(L4,L11,L18,L25,L32,L39,L46,L53,L60,L67,L74,L81,L88,L95,L102,L109,L116,L123,L130,L137),"")</f>
        <v/>
      </c>
      <c r="M144" s="220" t="str">
        <f t="shared" si="1"/>
        <v/>
      </c>
      <c r="N144" s="125">
        <f t="shared" si="1"/>
        <v>61.355882352941173</v>
      </c>
      <c r="O144" s="125" t="str">
        <f t="shared" ref="O144:AF144" si="2">IFERROR(AVERAGE(O4,O11,O18,O25,O32,O39,O46,O53,O60,O67,O74,O81,O88,O95,O102,O109,O116,O123,O130,O137),"")</f>
        <v/>
      </c>
      <c r="P144" s="125" t="str">
        <f t="shared" si="2"/>
        <v/>
      </c>
      <c r="Q144" s="125" t="str">
        <f t="shared" si="2"/>
        <v/>
      </c>
      <c r="R144" s="125">
        <f t="shared" si="2"/>
        <v>56.437146542827641</v>
      </c>
      <c r="S144" s="125">
        <f t="shared" si="2"/>
        <v>53.987499999999997</v>
      </c>
      <c r="T144" s="125">
        <f t="shared" si="2"/>
        <v>56.740028895768816</v>
      </c>
      <c r="U144" s="125" t="str">
        <f t="shared" si="2"/>
        <v/>
      </c>
      <c r="V144" s="125" t="str">
        <f t="shared" si="2"/>
        <v/>
      </c>
      <c r="W144" s="125" t="str">
        <f t="shared" si="2"/>
        <v/>
      </c>
      <c r="X144" s="125" t="str">
        <f t="shared" si="2"/>
        <v/>
      </c>
      <c r="Y144" s="125" t="str">
        <f t="shared" si="2"/>
        <v/>
      </c>
      <c r="Z144" s="125" t="str">
        <f t="shared" si="2"/>
        <v/>
      </c>
      <c r="AA144" s="125" t="str">
        <f t="shared" si="2"/>
        <v/>
      </c>
      <c r="AB144" s="125" t="str">
        <f t="shared" si="2"/>
        <v/>
      </c>
      <c r="AC144" s="125">
        <f t="shared" si="2"/>
        <v>56.437146542827641</v>
      </c>
      <c r="AD144" s="125">
        <f t="shared" si="2"/>
        <v>53.987499999999997</v>
      </c>
      <c r="AE144" s="125">
        <f t="shared" si="2"/>
        <v>56.740028895768816</v>
      </c>
      <c r="AF144" s="125" t="str">
        <f t="shared" si="2"/>
        <v/>
      </c>
      <c r="AG144" s="124" t="str">
        <f>AG137</f>
        <v>Ümumi</v>
      </c>
    </row>
    <row r="145" spans="2:33" x14ac:dyDescent="0.25">
      <c r="B145" s="225"/>
      <c r="C145" s="217"/>
      <c r="D145" s="217"/>
      <c r="E145" s="217" t="s">
        <v>111</v>
      </c>
      <c r="F145" s="217">
        <f>SUM(F5,F12,F19,F26,F33,F40,F47,F54,F61,F68,F75,F82,F89,F96,F103,F110,F117,F124,F131,F138)</f>
        <v>0</v>
      </c>
      <c r="G145" s="217">
        <f t="shared" ref="G145:J145" si="3">SUM(G5,G12,G19,G26,G33,G40,G47,G54,G61,G68,G75,G82,G89,G96,G103,G110,G117,G124,G131,G138)</f>
        <v>0</v>
      </c>
      <c r="H145" s="217">
        <f t="shared" si="3"/>
        <v>0</v>
      </c>
      <c r="I145" s="217">
        <f t="shared" si="3"/>
        <v>0</v>
      </c>
      <c r="J145" s="217">
        <f t="shared" si="3"/>
        <v>0</v>
      </c>
      <c r="K145" s="124">
        <f>IFERROR(SUM(K5,K12,K19,K26,K33,K40,K47,K54,K61,K68,K75,K82,K89,K96,K103,K110,K117,K124,K131,K138),"")</f>
        <v>210</v>
      </c>
      <c r="L145" s="124">
        <f t="shared" ref="L145:M145" si="4">IFERROR(SUM(L5,L12,L19,L26,L33,L40,L47,L54,L61,L68,L75,L82,L89,L96,L103,L110,L117,L124,L131,L138),"")</f>
        <v>125</v>
      </c>
      <c r="M145" s="126">
        <f t="shared" si="4"/>
        <v>335</v>
      </c>
      <c r="N145" s="125">
        <f t="shared" ref="N145:AF145" si="5">IFERROR(AVERAGE(N5,N12,N19,N26,N33,N40,N47,N54,N61,N68,N75,N82,N89,N96,N103,N110,N117,N124,N131,N138),"")</f>
        <v>48.484615384615395</v>
      </c>
      <c r="O145" s="125">
        <f t="shared" si="5"/>
        <v>0</v>
      </c>
      <c r="P145" s="125">
        <f t="shared" si="5"/>
        <v>0</v>
      </c>
      <c r="Q145" s="125">
        <f t="shared" si="5"/>
        <v>0</v>
      </c>
      <c r="R145" s="125">
        <f t="shared" si="5"/>
        <v>43.160641025641027</v>
      </c>
      <c r="S145" s="125">
        <f t="shared" si="5"/>
        <v>9.5346153846153836</v>
      </c>
      <c r="T145" s="125">
        <f t="shared" si="5"/>
        <v>43.219641025641025</v>
      </c>
      <c r="U145" s="125">
        <f t="shared" si="5"/>
        <v>0</v>
      </c>
      <c r="V145" s="125">
        <f t="shared" si="5"/>
        <v>0</v>
      </c>
      <c r="W145" s="125">
        <f t="shared" si="5"/>
        <v>0</v>
      </c>
      <c r="X145" s="125">
        <f t="shared" si="5"/>
        <v>0</v>
      </c>
      <c r="Y145" s="125">
        <f t="shared" si="5"/>
        <v>0</v>
      </c>
      <c r="Z145" s="125">
        <f t="shared" si="5"/>
        <v>0</v>
      </c>
      <c r="AA145" s="125">
        <f t="shared" si="5"/>
        <v>0</v>
      </c>
      <c r="AB145" s="125">
        <f t="shared" si="5"/>
        <v>0</v>
      </c>
      <c r="AC145" s="125">
        <f t="shared" si="5"/>
        <v>43.160641025641027</v>
      </c>
      <c r="AD145" s="125">
        <f t="shared" si="5"/>
        <v>9.5346153846153836</v>
      </c>
      <c r="AE145" s="125">
        <f t="shared" si="5"/>
        <v>43.219641025641025</v>
      </c>
      <c r="AF145" s="125">
        <f t="shared" si="5"/>
        <v>0</v>
      </c>
      <c r="AG145" s="124" t="str">
        <f t="shared" ref="AG145:AG150" si="6">AG138</f>
        <v>Oğlanlar</v>
      </c>
    </row>
    <row r="146" spans="2:33" x14ac:dyDescent="0.25">
      <c r="B146" s="225"/>
      <c r="C146" s="217"/>
      <c r="D146" s="217"/>
      <c r="E146" s="217" t="s">
        <v>113</v>
      </c>
      <c r="F146" s="217">
        <f t="shared" ref="F146:J146" si="7">SUM(F6,F13,F20,F27,F34,F41,F48,F55,F62,F69,F76,F83,F90,F97,F104,F111,F118,F125,F132,F139)</f>
        <v>0</v>
      </c>
      <c r="G146" s="217">
        <f t="shared" si="7"/>
        <v>0</v>
      </c>
      <c r="H146" s="217">
        <f t="shared" si="7"/>
        <v>0</v>
      </c>
      <c r="I146" s="217">
        <f t="shared" si="7"/>
        <v>0</v>
      </c>
      <c r="J146" s="217">
        <f t="shared" si="7"/>
        <v>0</v>
      </c>
      <c r="K146" s="217"/>
      <c r="L146" s="217"/>
      <c r="M146" s="217"/>
      <c r="N146" s="125">
        <f t="shared" ref="N146:AF146" si="8">IFERROR(AVERAGE(N6,N13,N20,N27,N34,N41,N48,N55,N62,N69,N76,N83,N90,N97,N104,N111,N118,N125,N132,N139),"")</f>
        <v>58.964285714285708</v>
      </c>
      <c r="O146" s="125">
        <f t="shared" si="8"/>
        <v>0</v>
      </c>
      <c r="P146" s="125">
        <f t="shared" si="8"/>
        <v>0</v>
      </c>
      <c r="Q146" s="125">
        <f t="shared" si="8"/>
        <v>0</v>
      </c>
      <c r="R146" s="125">
        <f t="shared" si="8"/>
        <v>56.506666666666675</v>
      </c>
      <c r="S146" s="125">
        <f t="shared" si="8"/>
        <v>13.142857142857142</v>
      </c>
      <c r="T146" s="125">
        <f t="shared" si="8"/>
        <v>57.132666666666672</v>
      </c>
      <c r="U146" s="125">
        <f t="shared" si="8"/>
        <v>0</v>
      </c>
      <c r="V146" s="125">
        <f t="shared" si="8"/>
        <v>0</v>
      </c>
      <c r="W146" s="125">
        <f t="shared" si="8"/>
        <v>0</v>
      </c>
      <c r="X146" s="125">
        <f t="shared" si="8"/>
        <v>0</v>
      </c>
      <c r="Y146" s="125">
        <f t="shared" si="8"/>
        <v>0</v>
      </c>
      <c r="Z146" s="125">
        <f t="shared" si="8"/>
        <v>0</v>
      </c>
      <c r="AA146" s="125">
        <f t="shared" si="8"/>
        <v>0</v>
      </c>
      <c r="AB146" s="125">
        <f t="shared" si="8"/>
        <v>0</v>
      </c>
      <c r="AC146" s="125">
        <f t="shared" si="8"/>
        <v>56.506666666666675</v>
      </c>
      <c r="AD146" s="125">
        <f t="shared" si="8"/>
        <v>13.142857142857142</v>
      </c>
      <c r="AE146" s="125">
        <f t="shared" si="8"/>
        <v>57.132666666666672</v>
      </c>
      <c r="AF146" s="125">
        <f t="shared" si="8"/>
        <v>0</v>
      </c>
      <c r="AG146" s="124" t="str">
        <f t="shared" si="6"/>
        <v>Qızlar</v>
      </c>
    </row>
    <row r="147" spans="2:33" x14ac:dyDescent="0.25">
      <c r="B147" s="225"/>
      <c r="C147" s="217"/>
      <c r="D147" s="217"/>
      <c r="E147" s="217" t="s">
        <v>122</v>
      </c>
      <c r="F147" s="217">
        <f t="shared" ref="F147:J147" si="9">SUM(F7,F14,F21,F28,F35,F42,F49,F56,F63,F70,F77,F84,F91,F98,F105,F112,F119,F126,F133,F140)</f>
        <v>0</v>
      </c>
      <c r="G147" s="217">
        <f t="shared" si="9"/>
        <v>0</v>
      </c>
      <c r="H147" s="217">
        <f t="shared" si="9"/>
        <v>0</v>
      </c>
      <c r="I147" s="217">
        <f t="shared" si="9"/>
        <v>0</v>
      </c>
      <c r="J147" s="217">
        <f t="shared" si="9"/>
        <v>0</v>
      </c>
      <c r="K147" s="217"/>
      <c r="L147" s="217"/>
      <c r="M147" s="217"/>
      <c r="N147" s="125">
        <f t="shared" ref="N147:AE147" si="10">IFERROR(AVERAGE(N7,N14,N21,N28,N35,N42,N49,N56,N63,N70,N77,N84,N91,N98,N105,N112,N119,N126,N133,N140),"")</f>
        <v>20.588235294117649</v>
      </c>
      <c r="O147" s="125" t="str">
        <f t="shared" si="10"/>
        <v/>
      </c>
      <c r="P147" s="125" t="str">
        <f t="shared" si="10"/>
        <v/>
      </c>
      <c r="Q147" s="125" t="str">
        <f t="shared" si="10"/>
        <v/>
      </c>
      <c r="R147" s="125">
        <f t="shared" si="10"/>
        <v>11.532507739938081</v>
      </c>
      <c r="S147" s="125">
        <f t="shared" si="10"/>
        <v>11.25</v>
      </c>
      <c r="T147" s="125">
        <f t="shared" si="10"/>
        <v>11.826625386996904</v>
      </c>
      <c r="U147" s="125" t="str">
        <f t="shared" si="10"/>
        <v/>
      </c>
      <c r="V147" s="125" t="str">
        <f t="shared" si="10"/>
        <v/>
      </c>
      <c r="W147" s="125" t="str">
        <f t="shared" si="10"/>
        <v/>
      </c>
      <c r="X147" s="125" t="str">
        <f t="shared" si="10"/>
        <v/>
      </c>
      <c r="Y147" s="125" t="str">
        <f t="shared" si="10"/>
        <v/>
      </c>
      <c r="Z147" s="125" t="str">
        <f t="shared" si="10"/>
        <v/>
      </c>
      <c r="AA147" s="125" t="str">
        <f t="shared" si="10"/>
        <v/>
      </c>
      <c r="AB147" s="125" t="str">
        <f t="shared" si="10"/>
        <v/>
      </c>
      <c r="AC147" s="125">
        <f t="shared" si="10"/>
        <v>11.532507739938081</v>
      </c>
      <c r="AD147" s="125">
        <f t="shared" si="10"/>
        <v>11.25</v>
      </c>
      <c r="AE147" s="125">
        <f t="shared" si="10"/>
        <v>11.826625386996904</v>
      </c>
      <c r="AF147" s="125" t="str">
        <f>IFERROR(AVERAGE(AF7,AF14,AF21,AF28,AF35,AF42,AF49,AF56,AF63,AF70,AF77,AF84,AF91,AF98,AF105,AF112,AF119,AF126,AF133,AF140),"")</f>
        <v/>
      </c>
      <c r="AG147" s="124" t="str">
        <f t="shared" si="6"/>
        <v>(80-100]</v>
      </c>
    </row>
    <row r="148" spans="2:33" x14ac:dyDescent="0.25">
      <c r="B148" s="225"/>
      <c r="C148" s="217"/>
      <c r="D148" s="217"/>
      <c r="E148" s="217" t="s">
        <v>119</v>
      </c>
      <c r="F148" s="217">
        <f t="shared" ref="F148:J148" si="11">SUM(F8,F15,F22,F29,F36,F43,F50,F57,F64,F71,F78,F85,F92,F99,F106,F113,F120,F127,F134,F141)</f>
        <v>0</v>
      </c>
      <c r="G148" s="217">
        <f t="shared" si="11"/>
        <v>0</v>
      </c>
      <c r="H148" s="217">
        <f t="shared" si="11"/>
        <v>0</v>
      </c>
      <c r="I148" s="217">
        <f t="shared" si="11"/>
        <v>0</v>
      </c>
      <c r="J148" s="217">
        <f t="shared" si="11"/>
        <v>0</v>
      </c>
      <c r="K148" s="217"/>
      <c r="L148" s="217"/>
      <c r="M148" s="217"/>
      <c r="N148" s="125">
        <f t="shared" ref="N148:AF148" si="12">IFERROR(AVERAGE(N8,N15,N22,N29,N36,N43,N50,N57,N64,N71,N78,N85,N92,N99,N106,N113,N120,N127,N134,N141),"")</f>
        <v>27.647058823529413</v>
      </c>
      <c r="O148" s="125" t="str">
        <f t="shared" si="12"/>
        <v/>
      </c>
      <c r="P148" s="125" t="str">
        <f t="shared" si="12"/>
        <v/>
      </c>
      <c r="Q148" s="125" t="str">
        <f t="shared" si="12"/>
        <v/>
      </c>
      <c r="R148" s="125">
        <f t="shared" si="12"/>
        <v>30.077399380804955</v>
      </c>
      <c r="S148" s="125">
        <f t="shared" si="12"/>
        <v>32.5</v>
      </c>
      <c r="T148" s="125">
        <f t="shared" si="12"/>
        <v>31.547987616099068</v>
      </c>
      <c r="U148" s="125" t="str">
        <f t="shared" si="12"/>
        <v/>
      </c>
      <c r="V148" s="125" t="str">
        <f t="shared" si="12"/>
        <v/>
      </c>
      <c r="W148" s="125" t="str">
        <f t="shared" si="12"/>
        <v/>
      </c>
      <c r="X148" s="125" t="str">
        <f t="shared" si="12"/>
        <v/>
      </c>
      <c r="Y148" s="125" t="str">
        <f t="shared" si="12"/>
        <v/>
      </c>
      <c r="Z148" s="125" t="str">
        <f t="shared" si="12"/>
        <v/>
      </c>
      <c r="AA148" s="125" t="str">
        <f t="shared" si="12"/>
        <v/>
      </c>
      <c r="AB148" s="125" t="str">
        <f t="shared" si="12"/>
        <v/>
      </c>
      <c r="AC148" s="125">
        <f t="shared" si="12"/>
        <v>30.077399380804955</v>
      </c>
      <c r="AD148" s="125">
        <f t="shared" si="12"/>
        <v>32.5</v>
      </c>
      <c r="AE148" s="125">
        <f t="shared" si="12"/>
        <v>31.547987616099068</v>
      </c>
      <c r="AF148" s="125" t="str">
        <f t="shared" si="12"/>
        <v/>
      </c>
      <c r="AG148" s="124" t="str">
        <f t="shared" si="6"/>
        <v>(60-80]</v>
      </c>
    </row>
    <row r="149" spans="2:33" x14ac:dyDescent="0.25">
      <c r="B149" s="225"/>
      <c r="C149" s="217"/>
      <c r="D149" s="217"/>
      <c r="E149" s="217" t="s">
        <v>120</v>
      </c>
      <c r="F149" s="217">
        <f t="shared" ref="F149:J149" si="13">SUM(F9,F16,F23,F30,F37,F44,F51,F58,F65,F72,F79,F86,F93,F100,F107,F114,F121,F128,F135,F142)</f>
        <v>0</v>
      </c>
      <c r="G149" s="217">
        <f t="shared" si="13"/>
        <v>0</v>
      </c>
      <c r="H149" s="217">
        <f t="shared" si="13"/>
        <v>0</v>
      </c>
      <c r="I149" s="217">
        <f t="shared" si="13"/>
        <v>0</v>
      </c>
      <c r="J149" s="217">
        <f t="shared" si="13"/>
        <v>0</v>
      </c>
      <c r="K149" s="217"/>
      <c r="L149" s="217"/>
      <c r="M149" s="217"/>
      <c r="N149" s="125">
        <f t="shared" ref="N149:AF149" si="14">IFERROR(AVERAGE(N9,N16,N23,N30,N37,N44,N51,N58,N65,N72,N79,N86,N93,N100,N107,N114,N121,N128,N135,N142),"")</f>
        <v>51.764705882352942</v>
      </c>
      <c r="O149" s="125" t="str">
        <f t="shared" si="14"/>
        <v/>
      </c>
      <c r="P149" s="125" t="str">
        <f t="shared" si="14"/>
        <v/>
      </c>
      <c r="Q149" s="125" t="str">
        <f t="shared" si="14"/>
        <v/>
      </c>
      <c r="R149" s="125">
        <f t="shared" si="14"/>
        <v>57.786377708978328</v>
      </c>
      <c r="S149" s="125">
        <f t="shared" si="14"/>
        <v>56.25</v>
      </c>
      <c r="T149" s="125">
        <f t="shared" si="14"/>
        <v>56.021671826625386</v>
      </c>
      <c r="U149" s="125" t="str">
        <f t="shared" si="14"/>
        <v/>
      </c>
      <c r="V149" s="125" t="str">
        <f t="shared" si="14"/>
        <v/>
      </c>
      <c r="W149" s="125" t="str">
        <f t="shared" si="14"/>
        <v/>
      </c>
      <c r="X149" s="125" t="str">
        <f t="shared" si="14"/>
        <v/>
      </c>
      <c r="Y149" s="125" t="str">
        <f t="shared" si="14"/>
        <v/>
      </c>
      <c r="Z149" s="125" t="str">
        <f t="shared" si="14"/>
        <v/>
      </c>
      <c r="AA149" s="125" t="str">
        <f t="shared" si="14"/>
        <v/>
      </c>
      <c r="AB149" s="125" t="str">
        <f t="shared" si="14"/>
        <v/>
      </c>
      <c r="AC149" s="125">
        <f t="shared" si="14"/>
        <v>57.786377708978328</v>
      </c>
      <c r="AD149" s="125">
        <f t="shared" si="14"/>
        <v>56.25</v>
      </c>
      <c r="AE149" s="125">
        <f t="shared" si="14"/>
        <v>56.021671826625386</v>
      </c>
      <c r="AF149" s="125" t="str">
        <f t="shared" si="14"/>
        <v/>
      </c>
      <c r="AG149" s="124" t="str">
        <f t="shared" si="6"/>
        <v>(30-60]</v>
      </c>
    </row>
    <row r="150" spans="2:33" x14ac:dyDescent="0.25">
      <c r="B150" s="225"/>
      <c r="C150" s="217"/>
      <c r="D150" s="217"/>
      <c r="E150" s="228" t="s">
        <v>121</v>
      </c>
      <c r="F150" s="217">
        <f t="shared" ref="F150:J150" si="15">SUM(F10,F17,F24,F31,F38,F45,F52,F59,F66,F73,F80,F87,F94,F101,F108,F115,F122,F129,F136,F143)</f>
        <v>0</v>
      </c>
      <c r="G150" s="217">
        <f t="shared" si="15"/>
        <v>0</v>
      </c>
      <c r="H150" s="217">
        <f t="shared" si="15"/>
        <v>0</v>
      </c>
      <c r="I150" s="217">
        <f t="shared" si="15"/>
        <v>0</v>
      </c>
      <c r="J150" s="217">
        <f t="shared" si="15"/>
        <v>0</v>
      </c>
      <c r="K150" s="217"/>
      <c r="L150" s="217"/>
      <c r="M150" s="217"/>
      <c r="N150" s="125">
        <f t="shared" ref="N150:AF150" si="16">IFERROR(AVERAGE(N10,N17,N24,N31,N38,N45,N52,N59,N66,N73,N80,N87,N94,N101,N108,N115,N122,N129,N136,N143),"")</f>
        <v>0</v>
      </c>
      <c r="O150" s="125" t="str">
        <f t="shared" si="16"/>
        <v/>
      </c>
      <c r="P150" s="125" t="str">
        <f t="shared" si="16"/>
        <v/>
      </c>
      <c r="Q150" s="125" t="str">
        <f t="shared" si="16"/>
        <v/>
      </c>
      <c r="R150" s="125">
        <f t="shared" si="16"/>
        <v>0.60371517027863775</v>
      </c>
      <c r="S150" s="125">
        <f t="shared" si="16"/>
        <v>0</v>
      </c>
      <c r="T150" s="125">
        <f t="shared" si="16"/>
        <v>0.60371517027863775</v>
      </c>
      <c r="U150" s="125" t="str">
        <f t="shared" si="16"/>
        <v/>
      </c>
      <c r="V150" s="125" t="str">
        <f t="shared" si="16"/>
        <v/>
      </c>
      <c r="W150" s="125" t="str">
        <f t="shared" si="16"/>
        <v/>
      </c>
      <c r="X150" s="125" t="str">
        <f t="shared" si="16"/>
        <v/>
      </c>
      <c r="Y150" s="125" t="str">
        <f t="shared" si="16"/>
        <v/>
      </c>
      <c r="Z150" s="125" t="str">
        <f t="shared" si="16"/>
        <v/>
      </c>
      <c r="AA150" s="125" t="str">
        <f t="shared" si="16"/>
        <v/>
      </c>
      <c r="AB150" s="125" t="str">
        <f t="shared" si="16"/>
        <v/>
      </c>
      <c r="AC150" s="125">
        <f t="shared" si="16"/>
        <v>0.60371517027863775</v>
      </c>
      <c r="AD150" s="125">
        <f t="shared" si="16"/>
        <v>0</v>
      </c>
      <c r="AE150" s="125">
        <f t="shared" si="16"/>
        <v>0.60371517027863775</v>
      </c>
      <c r="AF150" s="125" t="str">
        <f t="shared" si="16"/>
        <v/>
      </c>
      <c r="AG150" s="124" t="str">
        <f t="shared" si="6"/>
        <v>[0-30]</v>
      </c>
    </row>
    <row r="151" spans="2:33" x14ac:dyDescent="0.25">
      <c r="B151" s="226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</row>
    <row r="155" spans="2:33" x14ac:dyDescent="0.25"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</row>
    <row r="156" spans="2:33" x14ac:dyDescent="0.25"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</row>
    <row r="157" spans="2:33" x14ac:dyDescent="0.25"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</row>
    <row r="158" spans="2:33" x14ac:dyDescent="0.25"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</row>
    <row r="159" spans="2:33" x14ac:dyDescent="0.25"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</row>
    <row r="160" spans="2:33" x14ac:dyDescent="0.25"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</row>
    <row r="161" spans="14:32" x14ac:dyDescent="0.25"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</row>
    <row r="162" spans="14:32" x14ac:dyDescent="0.25"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</row>
    <row r="163" spans="14:32" x14ac:dyDescent="0.25"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</row>
    <row r="164" spans="14:32" x14ac:dyDescent="0.25"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</row>
    <row r="165" spans="14:32" x14ac:dyDescent="0.25"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</row>
    <row r="166" spans="14:32" x14ac:dyDescent="0.25"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</row>
    <row r="167" spans="14:32" x14ac:dyDescent="0.25"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</row>
    <row r="168" spans="14:32" x14ac:dyDescent="0.25"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</row>
    <row r="169" spans="14:32" x14ac:dyDescent="0.25"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</row>
    <row r="170" spans="14:32" x14ac:dyDescent="0.25"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</row>
    <row r="171" spans="14:32" x14ac:dyDescent="0.25"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</row>
    <row r="172" spans="14:32" x14ac:dyDescent="0.25"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</row>
    <row r="173" spans="14:32" x14ac:dyDescent="0.25"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</row>
    <row r="174" spans="14:32" x14ac:dyDescent="0.25"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</row>
    <row r="175" spans="14:32" x14ac:dyDescent="0.25"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</row>
    <row r="176" spans="14:32" x14ac:dyDescent="0.25"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</row>
    <row r="177" spans="14:32" x14ac:dyDescent="0.25"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</row>
    <row r="178" spans="14:32" x14ac:dyDescent="0.25"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</row>
    <row r="179" spans="14:32" x14ac:dyDescent="0.25"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</row>
    <row r="180" spans="14:32" x14ac:dyDescent="0.25"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</row>
    <row r="181" spans="14:32" x14ac:dyDescent="0.25"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</row>
    <row r="182" spans="14:32" x14ac:dyDescent="0.25"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</row>
    <row r="183" spans="14:32" x14ac:dyDescent="0.25"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</row>
    <row r="184" spans="14:32" x14ac:dyDescent="0.25"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</row>
    <row r="185" spans="14:32" x14ac:dyDescent="0.25"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</row>
    <row r="186" spans="14:32" x14ac:dyDescent="0.25"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</row>
    <row r="187" spans="14:32" x14ac:dyDescent="0.25"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</row>
    <row r="188" spans="14:32" x14ac:dyDescent="0.25"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</row>
    <row r="189" spans="14:32" x14ac:dyDescent="0.25"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</row>
    <row r="190" spans="14:32" x14ac:dyDescent="0.25"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</row>
    <row r="191" spans="14:32" x14ac:dyDescent="0.25"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</row>
    <row r="192" spans="14:32" x14ac:dyDescent="0.25"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</row>
    <row r="193" spans="14:32" x14ac:dyDescent="0.25"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</row>
    <row r="194" spans="14:32" x14ac:dyDescent="0.25"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</row>
    <row r="195" spans="14:32" x14ac:dyDescent="0.25"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</row>
    <row r="196" spans="14:32" x14ac:dyDescent="0.25"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</row>
    <row r="197" spans="14:32" x14ac:dyDescent="0.25"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</row>
    <row r="198" spans="14:32" x14ac:dyDescent="0.25"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</row>
    <row r="199" spans="14:32" x14ac:dyDescent="0.25"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</row>
    <row r="200" spans="14:32" x14ac:dyDescent="0.25"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</row>
    <row r="201" spans="14:32" x14ac:dyDescent="0.25"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</row>
    <row r="202" spans="14:32" x14ac:dyDescent="0.25"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</row>
    <row r="203" spans="14:32" x14ac:dyDescent="0.25"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</row>
    <row r="204" spans="14:32" x14ac:dyDescent="0.25"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</row>
    <row r="205" spans="14:32" x14ac:dyDescent="0.25"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</row>
    <row r="206" spans="14:32" x14ac:dyDescent="0.25"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</row>
    <row r="207" spans="14:32" x14ac:dyDescent="0.25"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</row>
    <row r="208" spans="14:32" x14ac:dyDescent="0.25"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</row>
    <row r="209" spans="14:32" x14ac:dyDescent="0.25"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</row>
    <row r="210" spans="14:32" x14ac:dyDescent="0.25"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</row>
    <row r="211" spans="14:32" x14ac:dyDescent="0.25"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</row>
    <row r="212" spans="14:32" x14ac:dyDescent="0.25"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</row>
    <row r="213" spans="14:32" x14ac:dyDescent="0.25"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</row>
    <row r="214" spans="14:32" x14ac:dyDescent="0.25"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</row>
    <row r="215" spans="14:32" x14ac:dyDescent="0.25"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</row>
    <row r="216" spans="14:32" x14ac:dyDescent="0.25"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</row>
    <row r="217" spans="14:32" x14ac:dyDescent="0.25"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</row>
    <row r="218" spans="14:32" x14ac:dyDescent="0.25"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</row>
    <row r="219" spans="14:32" x14ac:dyDescent="0.25"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</row>
    <row r="220" spans="14:32" x14ac:dyDescent="0.25"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</row>
    <row r="221" spans="14:32" x14ac:dyDescent="0.25"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</row>
    <row r="222" spans="14:32" x14ac:dyDescent="0.25"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</row>
    <row r="223" spans="14:32" x14ac:dyDescent="0.25"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</row>
    <row r="224" spans="14:32" x14ac:dyDescent="0.25"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</row>
    <row r="225" spans="14:32" x14ac:dyDescent="0.25"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</row>
    <row r="226" spans="14:32" x14ac:dyDescent="0.25"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</row>
    <row r="227" spans="14:32" x14ac:dyDescent="0.25"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</row>
    <row r="228" spans="14:32" x14ac:dyDescent="0.25"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</row>
    <row r="229" spans="14:32" x14ac:dyDescent="0.25"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</row>
    <row r="230" spans="14:32" x14ac:dyDescent="0.25"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</row>
    <row r="231" spans="14:32" x14ac:dyDescent="0.25"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</row>
    <row r="232" spans="14:32" x14ac:dyDescent="0.25"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</row>
    <row r="233" spans="14:32" x14ac:dyDescent="0.25"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</row>
    <row r="234" spans="14:32" x14ac:dyDescent="0.25"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</row>
    <row r="235" spans="14:32" x14ac:dyDescent="0.25"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</row>
    <row r="236" spans="14:32" x14ac:dyDescent="0.25"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</row>
    <row r="237" spans="14:32" x14ac:dyDescent="0.25"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</row>
    <row r="238" spans="14:32" x14ac:dyDescent="0.25"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</row>
    <row r="239" spans="14:32" x14ac:dyDescent="0.25"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</row>
    <row r="240" spans="14:32" x14ac:dyDescent="0.25"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</row>
    <row r="241" spans="14:32" x14ac:dyDescent="0.25"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</row>
    <row r="242" spans="14:32" x14ac:dyDescent="0.25"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</row>
    <row r="243" spans="14:32" x14ac:dyDescent="0.25"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</row>
    <row r="244" spans="14:32" x14ac:dyDescent="0.25"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</row>
    <row r="245" spans="14:32" x14ac:dyDescent="0.25"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</row>
    <row r="246" spans="14:32" x14ac:dyDescent="0.25"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</row>
    <row r="247" spans="14:32" x14ac:dyDescent="0.25"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</row>
    <row r="248" spans="14:32" x14ac:dyDescent="0.25"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</row>
    <row r="249" spans="14:32" x14ac:dyDescent="0.25"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</row>
    <row r="250" spans="14:32" x14ac:dyDescent="0.25"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</row>
    <row r="251" spans="14:32" x14ac:dyDescent="0.25"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</row>
    <row r="252" spans="14:32" x14ac:dyDescent="0.25"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</row>
    <row r="253" spans="14:32" x14ac:dyDescent="0.25"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</row>
    <row r="254" spans="14:32" x14ac:dyDescent="0.25"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</row>
    <row r="255" spans="14:32" x14ac:dyDescent="0.25"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</row>
    <row r="256" spans="14:32" x14ac:dyDescent="0.25"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</row>
    <row r="257" spans="14:32" x14ac:dyDescent="0.25"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</row>
    <row r="258" spans="14:32" x14ac:dyDescent="0.25"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14:32" x14ac:dyDescent="0.25"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</row>
    <row r="260" spans="14:32" x14ac:dyDescent="0.25"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</row>
    <row r="261" spans="14:32" x14ac:dyDescent="0.25"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</row>
    <row r="262" spans="14:32" x14ac:dyDescent="0.25"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</row>
    <row r="263" spans="14:32" x14ac:dyDescent="0.25"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</row>
    <row r="264" spans="14:32" x14ac:dyDescent="0.25"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</row>
    <row r="265" spans="14:32" x14ac:dyDescent="0.25"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</row>
    <row r="266" spans="14:32" x14ac:dyDescent="0.25"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</row>
    <row r="267" spans="14:32" x14ac:dyDescent="0.25"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</row>
    <row r="268" spans="14:32" x14ac:dyDescent="0.25"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14:32" x14ac:dyDescent="0.25"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14:32" x14ac:dyDescent="0.25"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14:32" x14ac:dyDescent="0.25"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14:32" x14ac:dyDescent="0.25"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273" spans="14:32" x14ac:dyDescent="0.25"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</row>
    <row r="274" spans="14:32" x14ac:dyDescent="0.25"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</row>
    <row r="275" spans="14:32" x14ac:dyDescent="0.25"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</row>
    <row r="276" spans="14:32" x14ac:dyDescent="0.25"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</row>
    <row r="277" spans="14:32" x14ac:dyDescent="0.25"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</row>
    <row r="278" spans="14:32" x14ac:dyDescent="0.25"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</row>
    <row r="279" spans="14:32" x14ac:dyDescent="0.25"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</row>
    <row r="280" spans="14:32" x14ac:dyDescent="0.25"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</row>
    <row r="281" spans="14:32" x14ac:dyDescent="0.25"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</row>
    <row r="282" spans="14:32" x14ac:dyDescent="0.25"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</row>
    <row r="283" spans="14:32" x14ac:dyDescent="0.25"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</row>
    <row r="284" spans="14:32" x14ac:dyDescent="0.25"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</row>
    <row r="285" spans="14:32" x14ac:dyDescent="0.25"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</row>
    <row r="286" spans="14:32" x14ac:dyDescent="0.25"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</row>
    <row r="287" spans="14:32" x14ac:dyDescent="0.25"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</row>
    <row r="288" spans="14:32" x14ac:dyDescent="0.25"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</row>
    <row r="289" spans="14:32" x14ac:dyDescent="0.25"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</row>
    <row r="290" spans="14:32" x14ac:dyDescent="0.25"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</row>
    <row r="291" spans="14:32" x14ac:dyDescent="0.25"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</row>
    <row r="292" spans="14:32" x14ac:dyDescent="0.25"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</row>
    <row r="293" spans="14:32" x14ac:dyDescent="0.25"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</row>
    <row r="294" spans="14:32" x14ac:dyDescent="0.25"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</row>
    <row r="295" spans="14:32" x14ac:dyDescent="0.25"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</row>
    <row r="296" spans="14:32" x14ac:dyDescent="0.25"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</row>
    <row r="297" spans="14:32" x14ac:dyDescent="0.25"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</row>
    <row r="298" spans="14:32" x14ac:dyDescent="0.25"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</row>
    <row r="299" spans="14:32" x14ac:dyDescent="0.25"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</row>
    <row r="300" spans="14:32" x14ac:dyDescent="0.25"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</row>
    <row r="301" spans="14:32" x14ac:dyDescent="0.25"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</row>
    <row r="302" spans="14:32" x14ac:dyDescent="0.25"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</row>
    <row r="303" spans="14:32" x14ac:dyDescent="0.25"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</row>
    <row r="304" spans="14:32" x14ac:dyDescent="0.25"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</row>
    <row r="305" spans="14:32" x14ac:dyDescent="0.25"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</row>
    <row r="306" spans="14:32" x14ac:dyDescent="0.25"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</row>
    <row r="307" spans="14:32" x14ac:dyDescent="0.25"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</row>
    <row r="308" spans="14:32" x14ac:dyDescent="0.25"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</row>
    <row r="309" spans="14:32" x14ac:dyDescent="0.25"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</row>
    <row r="310" spans="14:32" x14ac:dyDescent="0.25"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</row>
    <row r="311" spans="14:32" x14ac:dyDescent="0.25"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</row>
    <row r="312" spans="14:32" x14ac:dyDescent="0.25"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</row>
    <row r="313" spans="14:32" x14ac:dyDescent="0.25"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</row>
    <row r="314" spans="14:32" x14ac:dyDescent="0.25"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</row>
    <row r="315" spans="14:32" x14ac:dyDescent="0.25"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</row>
    <row r="316" spans="14:32" x14ac:dyDescent="0.25"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</row>
    <row r="317" spans="14:32" x14ac:dyDescent="0.25"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</row>
    <row r="318" spans="14:32" x14ac:dyDescent="0.25"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</row>
    <row r="319" spans="14:32" x14ac:dyDescent="0.25"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</row>
    <row r="320" spans="14:32" x14ac:dyDescent="0.25"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</row>
    <row r="321" spans="14:32" x14ac:dyDescent="0.25"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</row>
    <row r="322" spans="14:32" x14ac:dyDescent="0.25"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</row>
    <row r="323" spans="14:32" x14ac:dyDescent="0.25"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</row>
    <row r="324" spans="14:32" x14ac:dyDescent="0.25"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</row>
    <row r="325" spans="14:32" x14ac:dyDescent="0.25"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</row>
    <row r="326" spans="14:32" x14ac:dyDescent="0.25"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</row>
    <row r="327" spans="14:32" x14ac:dyDescent="0.25"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</row>
    <row r="328" spans="14:32" x14ac:dyDescent="0.25"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</row>
    <row r="329" spans="14:32" x14ac:dyDescent="0.25"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</row>
    <row r="330" spans="14:32" x14ac:dyDescent="0.25"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</row>
    <row r="331" spans="14:32" x14ac:dyDescent="0.25"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</row>
    <row r="332" spans="14:32" x14ac:dyDescent="0.25"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</row>
    <row r="333" spans="14:32" x14ac:dyDescent="0.25"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</row>
    <row r="334" spans="14:32" x14ac:dyDescent="0.25"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</row>
    <row r="335" spans="14:32" x14ac:dyDescent="0.25"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</row>
    <row r="336" spans="14:32" x14ac:dyDescent="0.25"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</row>
    <row r="337" spans="14:32" x14ac:dyDescent="0.25"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</row>
    <row r="338" spans="14:32" x14ac:dyDescent="0.25"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14:32" x14ac:dyDescent="0.25"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</row>
    <row r="340" spans="14:32" x14ac:dyDescent="0.25"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</row>
    <row r="341" spans="14:32" x14ac:dyDescent="0.25"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</row>
    <row r="342" spans="14:32" x14ac:dyDescent="0.25"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</row>
    <row r="343" spans="14:32" x14ac:dyDescent="0.25"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</row>
    <row r="344" spans="14:32" x14ac:dyDescent="0.25"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</row>
    <row r="345" spans="14:32" x14ac:dyDescent="0.25"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</row>
    <row r="346" spans="14:32" x14ac:dyDescent="0.25"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</row>
    <row r="347" spans="14:32" x14ac:dyDescent="0.25"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</row>
    <row r="348" spans="14:32" x14ac:dyDescent="0.25"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14:32" x14ac:dyDescent="0.25"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14:32" x14ac:dyDescent="0.25"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14:32" x14ac:dyDescent="0.25"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14:32" x14ac:dyDescent="0.25"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353" spans="14:32" x14ac:dyDescent="0.25"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</row>
    <row r="354" spans="14:32" x14ac:dyDescent="0.25"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</row>
    <row r="355" spans="14:32" x14ac:dyDescent="0.25"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</row>
    <row r="356" spans="14:32" x14ac:dyDescent="0.25"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</row>
    <row r="357" spans="14:32" x14ac:dyDescent="0.25"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</row>
    <row r="358" spans="14:32" x14ac:dyDescent="0.25"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</row>
    <row r="359" spans="14:32" x14ac:dyDescent="0.25"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</row>
    <row r="360" spans="14:32" x14ac:dyDescent="0.25"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</row>
    <row r="361" spans="14:32" x14ac:dyDescent="0.25"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</row>
    <row r="362" spans="14:32" x14ac:dyDescent="0.25"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</row>
    <row r="363" spans="14:32" x14ac:dyDescent="0.25"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</row>
    <row r="364" spans="14:32" x14ac:dyDescent="0.25"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</row>
    <row r="365" spans="14:32" x14ac:dyDescent="0.25"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</row>
    <row r="366" spans="14:32" x14ac:dyDescent="0.25"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</row>
    <row r="367" spans="14:32" x14ac:dyDescent="0.25"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</row>
    <row r="368" spans="14:32" x14ac:dyDescent="0.25"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</row>
    <row r="369" spans="14:32" x14ac:dyDescent="0.25"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</row>
    <row r="370" spans="14:32" x14ac:dyDescent="0.25"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</row>
    <row r="371" spans="14:32" x14ac:dyDescent="0.25"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</row>
    <row r="372" spans="14:32" x14ac:dyDescent="0.25"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</row>
    <row r="373" spans="14:32" x14ac:dyDescent="0.25"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</row>
    <row r="374" spans="14:32" x14ac:dyDescent="0.25"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</row>
    <row r="375" spans="14:32" x14ac:dyDescent="0.25"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</row>
    <row r="376" spans="14:32" x14ac:dyDescent="0.25"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</row>
    <row r="377" spans="14:32" x14ac:dyDescent="0.25"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</row>
    <row r="378" spans="14:32" x14ac:dyDescent="0.25"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</row>
    <row r="379" spans="14:32" x14ac:dyDescent="0.25"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</row>
    <row r="380" spans="14:32" x14ac:dyDescent="0.25"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</row>
    <row r="381" spans="14:32" x14ac:dyDescent="0.25"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</row>
    <row r="382" spans="14:32" x14ac:dyDescent="0.25"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</row>
    <row r="383" spans="14:32" x14ac:dyDescent="0.25"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</row>
    <row r="384" spans="14:32" x14ac:dyDescent="0.25"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</row>
    <row r="385" spans="14:32" x14ac:dyDescent="0.25"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</row>
    <row r="386" spans="14:32" x14ac:dyDescent="0.25"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</row>
    <row r="387" spans="14:32" x14ac:dyDescent="0.25"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</row>
    <row r="388" spans="14:32" x14ac:dyDescent="0.25"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</row>
    <row r="389" spans="14:32" x14ac:dyDescent="0.25"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</row>
    <row r="390" spans="14:32" x14ac:dyDescent="0.25"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</row>
    <row r="391" spans="14:32" x14ac:dyDescent="0.25"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</row>
    <row r="392" spans="14:32" x14ac:dyDescent="0.25"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</row>
    <row r="393" spans="14:32" x14ac:dyDescent="0.25"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</row>
    <row r="394" spans="14:32" x14ac:dyDescent="0.25"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</row>
    <row r="395" spans="14:32" x14ac:dyDescent="0.25"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</row>
    <row r="396" spans="14:32" x14ac:dyDescent="0.25"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</row>
    <row r="397" spans="14:32" x14ac:dyDescent="0.25"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</row>
    <row r="398" spans="14:32" x14ac:dyDescent="0.25"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</row>
    <row r="399" spans="14:32" x14ac:dyDescent="0.25"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</row>
    <row r="400" spans="14:32" x14ac:dyDescent="0.25"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</row>
    <row r="401" spans="14:32" x14ac:dyDescent="0.25"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</row>
    <row r="402" spans="14:32" x14ac:dyDescent="0.25"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</row>
    <row r="403" spans="14:32" x14ac:dyDescent="0.25"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</row>
    <row r="404" spans="14:32" x14ac:dyDescent="0.25"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</row>
    <row r="405" spans="14:32" x14ac:dyDescent="0.25"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</row>
    <row r="406" spans="14:32" x14ac:dyDescent="0.25"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</row>
    <row r="407" spans="14:32" x14ac:dyDescent="0.25"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</row>
    <row r="408" spans="14:32" x14ac:dyDescent="0.25"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</row>
    <row r="409" spans="14:32" x14ac:dyDescent="0.25"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</row>
    <row r="410" spans="14:32" x14ac:dyDescent="0.25"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</row>
    <row r="411" spans="14:32" x14ac:dyDescent="0.25"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</row>
    <row r="412" spans="14:32" x14ac:dyDescent="0.25"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</row>
    <row r="413" spans="14:32" x14ac:dyDescent="0.25"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</row>
    <row r="414" spans="14:32" x14ac:dyDescent="0.25"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</row>
    <row r="415" spans="14:32" x14ac:dyDescent="0.25"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</row>
    <row r="416" spans="14:32" x14ac:dyDescent="0.25"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</row>
    <row r="417" spans="14:32" x14ac:dyDescent="0.25"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</row>
    <row r="418" spans="14:32" x14ac:dyDescent="0.25"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</row>
    <row r="419" spans="14:32" x14ac:dyDescent="0.25"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</row>
    <row r="420" spans="14:32" x14ac:dyDescent="0.25"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</row>
    <row r="421" spans="14:32" x14ac:dyDescent="0.25"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</row>
    <row r="422" spans="14:32" x14ac:dyDescent="0.25"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</row>
    <row r="423" spans="14:32" x14ac:dyDescent="0.25"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</row>
    <row r="424" spans="14:32" x14ac:dyDescent="0.25"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</row>
    <row r="425" spans="14:32" x14ac:dyDescent="0.25"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</row>
    <row r="426" spans="14:32" x14ac:dyDescent="0.25"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</row>
    <row r="427" spans="14:32" x14ac:dyDescent="0.25"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</row>
    <row r="428" spans="14:32" x14ac:dyDescent="0.25"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</row>
    <row r="429" spans="14:32" x14ac:dyDescent="0.25"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</row>
    <row r="430" spans="14:32" x14ac:dyDescent="0.25"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</row>
    <row r="431" spans="14:32" x14ac:dyDescent="0.25"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</row>
    <row r="432" spans="14:32" x14ac:dyDescent="0.25"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</row>
    <row r="433" spans="14:32" x14ac:dyDescent="0.25"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</row>
    <row r="434" spans="14:32" x14ac:dyDescent="0.25"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</row>
    <row r="435" spans="14:32" x14ac:dyDescent="0.25"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</row>
    <row r="436" spans="14:32" x14ac:dyDescent="0.25"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</row>
    <row r="437" spans="14:32" x14ac:dyDescent="0.25"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</row>
    <row r="438" spans="14:32" x14ac:dyDescent="0.25"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</row>
    <row r="439" spans="14:32" x14ac:dyDescent="0.25"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</row>
    <row r="440" spans="14:32" x14ac:dyDescent="0.25"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</row>
    <row r="441" spans="14:32" x14ac:dyDescent="0.25"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</row>
    <row r="442" spans="14:32" x14ac:dyDescent="0.25"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</row>
    <row r="443" spans="14:32" x14ac:dyDescent="0.25"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</row>
    <row r="444" spans="14:32" x14ac:dyDescent="0.25"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</row>
    <row r="445" spans="14:32" x14ac:dyDescent="0.25"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</row>
    <row r="446" spans="14:32" x14ac:dyDescent="0.25"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</row>
    <row r="447" spans="14:32" x14ac:dyDescent="0.25"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</row>
    <row r="448" spans="14:32" x14ac:dyDescent="0.25"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</row>
    <row r="449" spans="14:32" x14ac:dyDescent="0.25"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0" spans="14:32" x14ac:dyDescent="0.25"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</row>
    <row r="451" spans="14:32" x14ac:dyDescent="0.25"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14:32" x14ac:dyDescent="0.25"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</row>
    <row r="453" spans="14:32" x14ac:dyDescent="0.25"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</row>
    <row r="454" spans="14:32" x14ac:dyDescent="0.25"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</row>
    <row r="455" spans="14:32" x14ac:dyDescent="0.25"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</row>
    <row r="456" spans="14:32" x14ac:dyDescent="0.25"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</row>
    <row r="457" spans="14:32" x14ac:dyDescent="0.25"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</row>
    <row r="458" spans="14:32" x14ac:dyDescent="0.25"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</row>
    <row r="459" spans="14:32" x14ac:dyDescent="0.25"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</row>
    <row r="460" spans="14:32" x14ac:dyDescent="0.25"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</row>
    <row r="461" spans="14:32" x14ac:dyDescent="0.25"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14:32" x14ac:dyDescent="0.25"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14:32" x14ac:dyDescent="0.25"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14:32" x14ac:dyDescent="0.25"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465" spans="14:32" x14ac:dyDescent="0.25"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</row>
    <row r="466" spans="14:32" x14ac:dyDescent="0.25"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</row>
    <row r="467" spans="14:32" x14ac:dyDescent="0.25"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</row>
    <row r="468" spans="14:32" x14ac:dyDescent="0.25"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</row>
    <row r="469" spans="14:32" x14ac:dyDescent="0.25"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</row>
    <row r="470" spans="14:32" x14ac:dyDescent="0.25"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</row>
    <row r="471" spans="14:32" x14ac:dyDescent="0.25"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</row>
    <row r="472" spans="14:32" x14ac:dyDescent="0.25"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</row>
    <row r="473" spans="14:32" x14ac:dyDescent="0.25"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</row>
    <row r="474" spans="14:32" x14ac:dyDescent="0.25"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</row>
    <row r="475" spans="14:32" x14ac:dyDescent="0.25"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</row>
    <row r="476" spans="14:32" x14ac:dyDescent="0.25"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</row>
    <row r="477" spans="14:32" x14ac:dyDescent="0.25"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</row>
    <row r="478" spans="14:32" x14ac:dyDescent="0.25"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</row>
    <row r="479" spans="14:32" x14ac:dyDescent="0.25"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</row>
    <row r="480" spans="14:32" x14ac:dyDescent="0.25"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</row>
    <row r="481" spans="14:32" x14ac:dyDescent="0.25"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</row>
    <row r="482" spans="14:32" x14ac:dyDescent="0.25"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</row>
    <row r="483" spans="14:32" x14ac:dyDescent="0.25"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</row>
    <row r="484" spans="14:32" x14ac:dyDescent="0.25"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</row>
    <row r="485" spans="14:32" x14ac:dyDescent="0.25"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</row>
    <row r="486" spans="14:32" x14ac:dyDescent="0.25"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</row>
    <row r="487" spans="14:32" x14ac:dyDescent="0.25"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</row>
    <row r="488" spans="14:32" x14ac:dyDescent="0.25"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</row>
    <row r="489" spans="14:32" x14ac:dyDescent="0.25"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</row>
    <row r="490" spans="14:32" x14ac:dyDescent="0.25"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</row>
    <row r="491" spans="14:32" x14ac:dyDescent="0.25"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</row>
    <row r="492" spans="14:32" x14ac:dyDescent="0.25"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</row>
    <row r="493" spans="14:32" x14ac:dyDescent="0.25"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</row>
    <row r="494" spans="14:32" x14ac:dyDescent="0.25"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</row>
    <row r="495" spans="14:32" x14ac:dyDescent="0.25"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</row>
    <row r="496" spans="14:32" x14ac:dyDescent="0.25"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</row>
    <row r="497" spans="4:32" x14ac:dyDescent="0.25"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</row>
    <row r="498" spans="4:32" x14ac:dyDescent="0.25"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</row>
    <row r="499" spans="4:32" x14ac:dyDescent="0.25"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</row>
    <row r="500" spans="4:32" ht="165" hidden="1" x14ac:dyDescent="0.25">
      <c r="D500" s="213" t="s">
        <v>110</v>
      </c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</row>
    <row r="501" spans="4:32" x14ac:dyDescent="0.25"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</row>
    <row r="502" spans="4:32" x14ac:dyDescent="0.25"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</row>
    <row r="503" spans="4:32" x14ac:dyDescent="0.25"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</row>
    <row r="504" spans="4:32" x14ac:dyDescent="0.25"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</row>
    <row r="505" spans="4:32" x14ac:dyDescent="0.25"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</row>
    <row r="506" spans="4:32" x14ac:dyDescent="0.25"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</row>
    <row r="507" spans="4:32" x14ac:dyDescent="0.25"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</row>
    <row r="508" spans="4:32" x14ac:dyDescent="0.25"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</row>
    <row r="509" spans="4:32" x14ac:dyDescent="0.25"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</row>
    <row r="510" spans="4:32" x14ac:dyDescent="0.25"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</row>
    <row r="511" spans="4:32" x14ac:dyDescent="0.25"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</row>
    <row r="512" spans="4:32" x14ac:dyDescent="0.25"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</row>
    <row r="513" spans="14:32" x14ac:dyDescent="0.25"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</row>
    <row r="514" spans="14:32" x14ac:dyDescent="0.25"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</row>
    <row r="515" spans="14:32" x14ac:dyDescent="0.25"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</row>
    <row r="516" spans="14:32" x14ac:dyDescent="0.25"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</row>
    <row r="517" spans="14:32" x14ac:dyDescent="0.25"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</row>
    <row r="518" spans="14:32" x14ac:dyDescent="0.25"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</row>
    <row r="519" spans="14:32" x14ac:dyDescent="0.25"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</row>
    <row r="520" spans="14:32" x14ac:dyDescent="0.25"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</row>
    <row r="521" spans="14:32" x14ac:dyDescent="0.25"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</row>
    <row r="522" spans="14:32" x14ac:dyDescent="0.25"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</row>
    <row r="523" spans="14:32" x14ac:dyDescent="0.25"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</row>
    <row r="524" spans="14:32" x14ac:dyDescent="0.25"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</row>
    <row r="525" spans="14:32" x14ac:dyDescent="0.25"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</row>
    <row r="526" spans="14:32" x14ac:dyDescent="0.25"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</row>
    <row r="527" spans="14:32" x14ac:dyDescent="0.25"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</row>
    <row r="528" spans="14:32" x14ac:dyDescent="0.25"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</row>
    <row r="529" spans="14:32" x14ac:dyDescent="0.25"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</row>
    <row r="530" spans="14:32" x14ac:dyDescent="0.25"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</row>
    <row r="531" spans="14:32" x14ac:dyDescent="0.25"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</row>
    <row r="532" spans="14:32" x14ac:dyDescent="0.25"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</row>
    <row r="533" spans="14:32" x14ac:dyDescent="0.25"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</row>
    <row r="534" spans="14:32" x14ac:dyDescent="0.25"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</row>
    <row r="535" spans="14:32" x14ac:dyDescent="0.25"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</row>
    <row r="536" spans="14:32" x14ac:dyDescent="0.25"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</row>
    <row r="537" spans="14:32" x14ac:dyDescent="0.25"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</row>
    <row r="538" spans="14:32" x14ac:dyDescent="0.25"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</row>
    <row r="539" spans="14:32" x14ac:dyDescent="0.25"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</row>
    <row r="540" spans="14:32" x14ac:dyDescent="0.25"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</row>
    <row r="541" spans="14:32" x14ac:dyDescent="0.25"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</row>
    <row r="542" spans="14:32" x14ac:dyDescent="0.25"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</row>
    <row r="543" spans="14:32" x14ac:dyDescent="0.25"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</row>
    <row r="544" spans="14:32" x14ac:dyDescent="0.25"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</row>
    <row r="545" spans="14:32" x14ac:dyDescent="0.25"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</row>
    <row r="546" spans="14:32" x14ac:dyDescent="0.25"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</row>
    <row r="547" spans="14:32" x14ac:dyDescent="0.25"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</row>
    <row r="548" spans="14:32" x14ac:dyDescent="0.25"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</row>
    <row r="549" spans="14:32" x14ac:dyDescent="0.25"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</row>
    <row r="550" spans="14:32" x14ac:dyDescent="0.25"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</row>
    <row r="551" spans="14:32" x14ac:dyDescent="0.25"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</row>
    <row r="552" spans="14:32" x14ac:dyDescent="0.25"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</row>
    <row r="553" spans="14:32" x14ac:dyDescent="0.25"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</row>
    <row r="554" spans="14:32" x14ac:dyDescent="0.25"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</row>
    <row r="555" spans="14:32" x14ac:dyDescent="0.25"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</row>
    <row r="556" spans="14:32" x14ac:dyDescent="0.25"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</row>
    <row r="557" spans="14:32" x14ac:dyDescent="0.25"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</row>
    <row r="558" spans="14:32" x14ac:dyDescent="0.25"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</row>
    <row r="559" spans="14:32" x14ac:dyDescent="0.25"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</row>
    <row r="560" spans="14:32" x14ac:dyDescent="0.25"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</row>
    <row r="561" spans="14:32" x14ac:dyDescent="0.25"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</row>
    <row r="562" spans="14:32" x14ac:dyDescent="0.25"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</row>
    <row r="563" spans="14:32" x14ac:dyDescent="0.25"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</row>
    <row r="564" spans="14:32" x14ac:dyDescent="0.25"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14:32" x14ac:dyDescent="0.25"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</row>
    <row r="566" spans="14:32" x14ac:dyDescent="0.25"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</row>
    <row r="567" spans="14:32" x14ac:dyDescent="0.25"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</row>
    <row r="568" spans="14:32" x14ac:dyDescent="0.25"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</row>
    <row r="569" spans="14:32" x14ac:dyDescent="0.25"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</row>
    <row r="570" spans="14:32" x14ac:dyDescent="0.25"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</row>
    <row r="571" spans="14:32" x14ac:dyDescent="0.25"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14:32" x14ac:dyDescent="0.25"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14:32" x14ac:dyDescent="0.25"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14:32" x14ac:dyDescent="0.25"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14:32" x14ac:dyDescent="0.25"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14:32" x14ac:dyDescent="0.25"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577" spans="14:32" x14ac:dyDescent="0.25"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</row>
    <row r="578" spans="14:32" x14ac:dyDescent="0.25"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</row>
    <row r="579" spans="14:32" x14ac:dyDescent="0.25"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</row>
    <row r="580" spans="14:32" x14ac:dyDescent="0.25"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</row>
    <row r="581" spans="14:32" x14ac:dyDescent="0.25"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</row>
    <row r="582" spans="14:32" x14ac:dyDescent="0.25"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</row>
    <row r="583" spans="14:32" x14ac:dyDescent="0.25"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</row>
    <row r="584" spans="14:32" x14ac:dyDescent="0.25"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</row>
    <row r="585" spans="14:32" x14ac:dyDescent="0.25"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</row>
    <row r="586" spans="14:32" x14ac:dyDescent="0.25"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</row>
    <row r="587" spans="14:32" x14ac:dyDescent="0.25"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</row>
    <row r="588" spans="14:32" x14ac:dyDescent="0.25"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</row>
    <row r="589" spans="14:32" x14ac:dyDescent="0.25"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</row>
    <row r="590" spans="14:32" x14ac:dyDescent="0.25"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</row>
    <row r="591" spans="14:32" x14ac:dyDescent="0.25"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</row>
    <row r="592" spans="14:32" x14ac:dyDescent="0.25"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</row>
    <row r="593" spans="14:32" x14ac:dyDescent="0.25"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</row>
    <row r="594" spans="14:32" x14ac:dyDescent="0.25"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</row>
    <row r="595" spans="14:32" x14ac:dyDescent="0.25"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</row>
    <row r="596" spans="14:32" x14ac:dyDescent="0.25"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</row>
    <row r="597" spans="14:32" x14ac:dyDescent="0.25"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</row>
    <row r="598" spans="14:32" x14ac:dyDescent="0.25"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</row>
    <row r="599" spans="14:32" x14ac:dyDescent="0.25"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</row>
    <row r="600" spans="14:32" x14ac:dyDescent="0.25"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</row>
    <row r="601" spans="14:32" x14ac:dyDescent="0.25"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</row>
    <row r="602" spans="14:32" x14ac:dyDescent="0.25"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</row>
    <row r="603" spans="14:32" x14ac:dyDescent="0.25"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</row>
    <row r="604" spans="14:32" x14ac:dyDescent="0.25"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</row>
    <row r="605" spans="14:32" x14ac:dyDescent="0.25"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</row>
    <row r="606" spans="14:32" x14ac:dyDescent="0.25"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</row>
    <row r="607" spans="14:32" x14ac:dyDescent="0.25"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</row>
    <row r="608" spans="14:32" x14ac:dyDescent="0.25"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</row>
    <row r="609" spans="14:32" x14ac:dyDescent="0.25"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</row>
    <row r="610" spans="14:32" x14ac:dyDescent="0.25"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</row>
    <row r="611" spans="14:32" x14ac:dyDescent="0.25"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</row>
    <row r="612" spans="14:32" x14ac:dyDescent="0.25"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</row>
    <row r="613" spans="14:32" x14ac:dyDescent="0.25"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</row>
    <row r="614" spans="14:32" x14ac:dyDescent="0.25"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</row>
    <row r="615" spans="14:32" x14ac:dyDescent="0.25"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</row>
    <row r="616" spans="14:32" x14ac:dyDescent="0.25"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</row>
    <row r="617" spans="14:32" x14ac:dyDescent="0.25"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</row>
    <row r="618" spans="14:32" x14ac:dyDescent="0.25"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</row>
    <row r="619" spans="14:32" x14ac:dyDescent="0.25"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</row>
    <row r="620" spans="14:32" x14ac:dyDescent="0.25"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</row>
    <row r="621" spans="14:32" x14ac:dyDescent="0.25"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</row>
    <row r="622" spans="14:32" x14ac:dyDescent="0.25"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</row>
    <row r="623" spans="14:32" x14ac:dyDescent="0.25"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</row>
    <row r="624" spans="14:32" x14ac:dyDescent="0.25"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</row>
    <row r="625" spans="14:32" x14ac:dyDescent="0.25"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</row>
    <row r="626" spans="14:32" x14ac:dyDescent="0.25"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</row>
    <row r="627" spans="14:32" x14ac:dyDescent="0.25"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</row>
    <row r="628" spans="14:32" x14ac:dyDescent="0.25"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</row>
    <row r="629" spans="14:32" x14ac:dyDescent="0.25"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</row>
    <row r="630" spans="14:32" x14ac:dyDescent="0.25"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</row>
    <row r="631" spans="14:32" x14ac:dyDescent="0.25"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</row>
    <row r="632" spans="14:32" x14ac:dyDescent="0.25"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</row>
    <row r="633" spans="14:32" x14ac:dyDescent="0.25"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</row>
    <row r="634" spans="14:32" x14ac:dyDescent="0.25"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</row>
    <row r="635" spans="14:32" x14ac:dyDescent="0.25"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</row>
    <row r="636" spans="14:32" x14ac:dyDescent="0.25"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</row>
    <row r="637" spans="14:32" x14ac:dyDescent="0.25"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</row>
    <row r="638" spans="14:32" x14ac:dyDescent="0.25"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</row>
    <row r="639" spans="14:32" x14ac:dyDescent="0.25"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</row>
    <row r="640" spans="14:32" x14ac:dyDescent="0.25"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</row>
    <row r="641" spans="14:32" x14ac:dyDescent="0.25"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</row>
    <row r="642" spans="14:32" x14ac:dyDescent="0.25"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</row>
    <row r="643" spans="14:32" x14ac:dyDescent="0.25"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</row>
    <row r="644" spans="14:32" x14ac:dyDescent="0.25"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</row>
    <row r="645" spans="14:32" x14ac:dyDescent="0.25"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</row>
    <row r="646" spans="14:32" x14ac:dyDescent="0.25"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</row>
    <row r="647" spans="14:32" x14ac:dyDescent="0.25"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</row>
    <row r="648" spans="14:32" x14ac:dyDescent="0.25"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</row>
    <row r="649" spans="14:32" x14ac:dyDescent="0.25"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</row>
    <row r="650" spans="14:32" x14ac:dyDescent="0.25"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</row>
    <row r="651" spans="14:32" x14ac:dyDescent="0.25"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</row>
    <row r="652" spans="14:32" x14ac:dyDescent="0.25"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</row>
    <row r="653" spans="14:32" x14ac:dyDescent="0.25"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</row>
    <row r="654" spans="14:32" x14ac:dyDescent="0.25"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</row>
    <row r="655" spans="14:32" x14ac:dyDescent="0.25"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</row>
    <row r="656" spans="14:32" x14ac:dyDescent="0.25"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</row>
    <row r="657" spans="14:32" x14ac:dyDescent="0.25"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14:32" x14ac:dyDescent="0.25"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59" spans="14:32" x14ac:dyDescent="0.25"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</row>
    <row r="660" spans="14:32" x14ac:dyDescent="0.25"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1" spans="14:32" x14ac:dyDescent="0.25"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</row>
    <row r="662" spans="14:32" x14ac:dyDescent="0.25"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14:32" x14ac:dyDescent="0.25"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</row>
    <row r="664" spans="14:32" x14ac:dyDescent="0.25"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</row>
    <row r="665" spans="14:32" x14ac:dyDescent="0.25"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</row>
    <row r="666" spans="14:32" x14ac:dyDescent="0.25"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</row>
    <row r="667" spans="14:32" x14ac:dyDescent="0.25"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</row>
    <row r="668" spans="14:32" x14ac:dyDescent="0.25"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</row>
    <row r="669" spans="14:32" x14ac:dyDescent="0.25"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14:32" x14ac:dyDescent="0.25"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14:32" x14ac:dyDescent="0.25"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14:32" x14ac:dyDescent="0.25"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673" spans="14:32" x14ac:dyDescent="0.25"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</row>
    <row r="674" spans="14:32" x14ac:dyDescent="0.25"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</row>
    <row r="675" spans="14:32" x14ac:dyDescent="0.25"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</row>
    <row r="676" spans="14:32" x14ac:dyDescent="0.25"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</row>
    <row r="677" spans="14:32" x14ac:dyDescent="0.25"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</row>
    <row r="678" spans="14:32" x14ac:dyDescent="0.25"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</row>
    <row r="679" spans="14:32" x14ac:dyDescent="0.25"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</row>
    <row r="680" spans="14:32" x14ac:dyDescent="0.25"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</row>
    <row r="681" spans="14:32" x14ac:dyDescent="0.25"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</row>
    <row r="682" spans="14:32" x14ac:dyDescent="0.25"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</row>
    <row r="683" spans="14:32" x14ac:dyDescent="0.25"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</row>
    <row r="684" spans="14:32" x14ac:dyDescent="0.25"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</row>
    <row r="685" spans="14:32" x14ac:dyDescent="0.25"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</row>
    <row r="686" spans="14:32" x14ac:dyDescent="0.25"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</row>
    <row r="687" spans="14:32" x14ac:dyDescent="0.25"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</row>
    <row r="688" spans="14:32" x14ac:dyDescent="0.25"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</row>
    <row r="689" spans="14:32" x14ac:dyDescent="0.25"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</row>
    <row r="690" spans="14:32" x14ac:dyDescent="0.25"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</row>
    <row r="691" spans="14:32" x14ac:dyDescent="0.25"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</row>
    <row r="692" spans="14:32" x14ac:dyDescent="0.25"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</row>
    <row r="693" spans="14:32" x14ac:dyDescent="0.25"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</row>
    <row r="694" spans="14:32" x14ac:dyDescent="0.25"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</row>
    <row r="695" spans="14:32" x14ac:dyDescent="0.25"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</row>
    <row r="696" spans="14:32" x14ac:dyDescent="0.25"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</row>
    <row r="697" spans="14:32" x14ac:dyDescent="0.25"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</row>
    <row r="698" spans="14:32" x14ac:dyDescent="0.25"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</row>
    <row r="699" spans="14:32" x14ac:dyDescent="0.25"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</row>
    <row r="700" spans="14:32" x14ac:dyDescent="0.25"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</row>
    <row r="701" spans="14:32" x14ac:dyDescent="0.25"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</row>
    <row r="702" spans="14:32" x14ac:dyDescent="0.25"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</row>
    <row r="703" spans="14:32" x14ac:dyDescent="0.25"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</row>
    <row r="704" spans="14:32" x14ac:dyDescent="0.25"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</row>
    <row r="705" spans="14:32" x14ac:dyDescent="0.25"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</row>
    <row r="706" spans="14:32" x14ac:dyDescent="0.25"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</row>
    <row r="707" spans="14:32" x14ac:dyDescent="0.25"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</row>
    <row r="708" spans="14:32" x14ac:dyDescent="0.25"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</row>
    <row r="709" spans="14:32" x14ac:dyDescent="0.25"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</row>
    <row r="710" spans="14:32" x14ac:dyDescent="0.25"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</row>
    <row r="711" spans="14:32" x14ac:dyDescent="0.25"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</row>
    <row r="712" spans="14:32" x14ac:dyDescent="0.25"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</row>
    <row r="713" spans="14:32" x14ac:dyDescent="0.25"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</row>
    <row r="714" spans="14:32" x14ac:dyDescent="0.25"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</row>
    <row r="715" spans="14:32" x14ac:dyDescent="0.25"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</row>
    <row r="716" spans="14:32" x14ac:dyDescent="0.25"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</row>
    <row r="717" spans="14:32" x14ac:dyDescent="0.25"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</row>
    <row r="718" spans="14:32" x14ac:dyDescent="0.25"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</row>
    <row r="719" spans="14:32" x14ac:dyDescent="0.25"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</row>
    <row r="720" spans="14:32" x14ac:dyDescent="0.25"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</row>
    <row r="721" spans="14:32" x14ac:dyDescent="0.25"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</row>
    <row r="722" spans="14:32" x14ac:dyDescent="0.25"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</row>
    <row r="723" spans="14:32" x14ac:dyDescent="0.25"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4" spans="14:32" x14ac:dyDescent="0.25"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</row>
    <row r="725" spans="14:32" x14ac:dyDescent="0.25"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</row>
    <row r="726" spans="14:32" x14ac:dyDescent="0.25"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</row>
    <row r="727" spans="14:32" x14ac:dyDescent="0.25"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</row>
    <row r="728" spans="14:32" x14ac:dyDescent="0.25"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29" spans="14:32" x14ac:dyDescent="0.25"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</row>
    <row r="730" spans="14:32" x14ac:dyDescent="0.25"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</row>
    <row r="731" spans="14:32" x14ac:dyDescent="0.25"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</row>
    <row r="732" spans="14:32" x14ac:dyDescent="0.25"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</row>
    <row r="733" spans="14:32" x14ac:dyDescent="0.25"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</row>
    <row r="734" spans="14:32" x14ac:dyDescent="0.25"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14:32" x14ac:dyDescent="0.25"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</row>
    <row r="736" spans="14:32" x14ac:dyDescent="0.25"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</row>
    <row r="737" spans="14:32" x14ac:dyDescent="0.25"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</row>
    <row r="738" spans="14:32" x14ac:dyDescent="0.25"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</row>
    <row r="739" spans="14:32" x14ac:dyDescent="0.25"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</row>
    <row r="740" spans="14:32" x14ac:dyDescent="0.25"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</row>
    <row r="741" spans="14:32" x14ac:dyDescent="0.25"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</row>
    <row r="742" spans="14:32" x14ac:dyDescent="0.25"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</row>
    <row r="743" spans="14:32" x14ac:dyDescent="0.25"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</row>
    <row r="744" spans="14:32" x14ac:dyDescent="0.25"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</row>
    <row r="745" spans="14:32" x14ac:dyDescent="0.25"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</row>
    <row r="746" spans="14:32" x14ac:dyDescent="0.25"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</row>
    <row r="747" spans="14:32" x14ac:dyDescent="0.25"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</row>
    <row r="748" spans="14:32" x14ac:dyDescent="0.25"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</row>
    <row r="749" spans="14:32" x14ac:dyDescent="0.25"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</row>
    <row r="750" spans="14:32" x14ac:dyDescent="0.25"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</row>
    <row r="751" spans="14:32" x14ac:dyDescent="0.25"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</row>
    <row r="752" spans="14:32" x14ac:dyDescent="0.25"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</row>
    <row r="753" spans="14:32" x14ac:dyDescent="0.25"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</row>
    <row r="754" spans="14:32" x14ac:dyDescent="0.25"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</row>
    <row r="755" spans="14:32" x14ac:dyDescent="0.25"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</row>
    <row r="756" spans="14:32" x14ac:dyDescent="0.25"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</row>
    <row r="757" spans="14:32" x14ac:dyDescent="0.25"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</row>
    <row r="758" spans="14:32" x14ac:dyDescent="0.25"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</row>
    <row r="759" spans="14:32" x14ac:dyDescent="0.25"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</row>
    <row r="760" spans="14:32" x14ac:dyDescent="0.25"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</row>
    <row r="761" spans="14:32" x14ac:dyDescent="0.25"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</row>
    <row r="762" spans="14:32" x14ac:dyDescent="0.25"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</row>
    <row r="763" spans="14:32" x14ac:dyDescent="0.25"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</row>
    <row r="764" spans="14:32" x14ac:dyDescent="0.25"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</row>
    <row r="765" spans="14:32" x14ac:dyDescent="0.25"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</row>
    <row r="766" spans="14:32" x14ac:dyDescent="0.25"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</row>
    <row r="767" spans="14:32" x14ac:dyDescent="0.25"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</row>
    <row r="768" spans="14:32" x14ac:dyDescent="0.25"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</row>
    <row r="769" spans="14:32" x14ac:dyDescent="0.25"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</row>
    <row r="770" spans="14:32" x14ac:dyDescent="0.25"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</row>
    <row r="771" spans="14:32" x14ac:dyDescent="0.25"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</row>
    <row r="772" spans="14:32" x14ac:dyDescent="0.25"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</row>
    <row r="773" spans="14:32" x14ac:dyDescent="0.25"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</row>
    <row r="774" spans="14:32" x14ac:dyDescent="0.25"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</row>
    <row r="775" spans="14:32" x14ac:dyDescent="0.25"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</row>
    <row r="776" spans="14:32" x14ac:dyDescent="0.25"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</row>
    <row r="777" spans="14:32" x14ac:dyDescent="0.25"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</row>
    <row r="778" spans="14:32" x14ac:dyDescent="0.25"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</row>
    <row r="779" spans="14:32" x14ac:dyDescent="0.25"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</row>
    <row r="780" spans="14:32" x14ac:dyDescent="0.25"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</row>
    <row r="781" spans="14:32" x14ac:dyDescent="0.25"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</row>
    <row r="782" spans="14:32" x14ac:dyDescent="0.25"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</row>
    <row r="783" spans="14:32" x14ac:dyDescent="0.25"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</row>
    <row r="784" spans="14:32" x14ac:dyDescent="0.25"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</row>
    <row r="785" spans="14:32" x14ac:dyDescent="0.25"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</row>
    <row r="786" spans="14:32" x14ac:dyDescent="0.25"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</row>
    <row r="787" spans="14:32" x14ac:dyDescent="0.25"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</row>
    <row r="788" spans="14:32" x14ac:dyDescent="0.25"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</row>
    <row r="789" spans="14:32" x14ac:dyDescent="0.25"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</row>
    <row r="790" spans="14:32" x14ac:dyDescent="0.25"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</row>
    <row r="791" spans="14:32" x14ac:dyDescent="0.25"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</row>
    <row r="792" spans="14:32" x14ac:dyDescent="0.25"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</row>
    <row r="793" spans="14:32" x14ac:dyDescent="0.25"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</row>
    <row r="794" spans="14:32" x14ac:dyDescent="0.25"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</row>
    <row r="795" spans="14:32" x14ac:dyDescent="0.25"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</row>
    <row r="796" spans="14:32" x14ac:dyDescent="0.25"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</row>
    <row r="797" spans="14:32" x14ac:dyDescent="0.25"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</row>
    <row r="798" spans="14:32" x14ac:dyDescent="0.25"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</row>
    <row r="799" spans="14:32" x14ac:dyDescent="0.25"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</row>
    <row r="800" spans="14:32" x14ac:dyDescent="0.25"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</row>
    <row r="801" spans="14:32" x14ac:dyDescent="0.25"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</row>
    <row r="802" spans="14:32" x14ac:dyDescent="0.25"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</row>
    <row r="803" spans="14:32" x14ac:dyDescent="0.25"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</row>
    <row r="804" spans="14:32" x14ac:dyDescent="0.25"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</row>
    <row r="805" spans="14:32" x14ac:dyDescent="0.25"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</row>
    <row r="806" spans="14:32" x14ac:dyDescent="0.25"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</row>
    <row r="807" spans="14:32" x14ac:dyDescent="0.25"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</row>
    <row r="808" spans="14:32" x14ac:dyDescent="0.25"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</row>
    <row r="809" spans="14:32" x14ac:dyDescent="0.25"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</row>
  </sheetData>
  <mergeCells count="8">
    <mergeCell ref="B1:AG1"/>
    <mergeCell ref="AG2:AG3"/>
    <mergeCell ref="B2:G2"/>
    <mergeCell ref="H2:J2"/>
    <mergeCell ref="K2:M2"/>
    <mergeCell ref="O2:T2"/>
    <mergeCell ref="U2:Z2"/>
    <mergeCell ref="AA2:AF2"/>
  </mergeCells>
  <pageMargins left="0" right="0" top="0" bottom="0" header="0" footer="0"/>
  <pageSetup paperSize="9" scale="45" fitToHeight="0" orientation="landscape" verticalDpi="0" r:id="rId1"/>
  <ignoredErrors>
    <ignoredError sqref="E144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Şagirdlər</vt:lpstr>
      <vt:lpstr>Müəllimlər</vt:lpstr>
      <vt:lpstr>Tədris dili</vt:lpstr>
      <vt:lpstr>Əd</vt:lpstr>
      <vt:lpstr>Dövlət dili</vt:lpstr>
      <vt:lpstr>X-d</vt:lpstr>
      <vt:lpstr>ll X-d</vt:lpstr>
      <vt:lpstr>Riy</vt:lpstr>
      <vt:lpstr>İnf</vt:lpstr>
      <vt:lpstr>Az-t</vt:lpstr>
      <vt:lpstr>Ü-t</vt:lpstr>
      <vt:lpstr>Fiz</vt:lpstr>
      <vt:lpstr>Kim</vt:lpstr>
      <vt:lpstr>Bio</vt:lpstr>
      <vt:lpstr>Coğ</vt:lpstr>
      <vt:lpstr>Həy-b</vt:lpstr>
      <vt:lpstr>Texn</vt:lpstr>
      <vt:lpstr>Fiz-t</vt:lpstr>
      <vt:lpstr>Mus</vt:lpstr>
      <vt:lpstr>Təs-i</vt:lpstr>
      <vt:lpstr>Ç-h</vt:lpstr>
      <vt:lpstr>Əlavə</vt:lpstr>
      <vt:lpstr>Dinamika</vt:lpstr>
      <vt:lpstr>Kod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2022-04-20T15:48:22Z</dcterms:modified>
</cp:coreProperties>
</file>