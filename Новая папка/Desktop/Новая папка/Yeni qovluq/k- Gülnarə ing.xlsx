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<sst xmlns="http://schemas.openxmlformats.org/spreadsheetml/2006/main" count="171" uniqueCount="128">
  <si>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</si>
  <si>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</si>
  <si>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</si>
  <si>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</si>
  <si>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</si>
  <si>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</si>
  <si>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</si>
  <si>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</si>
  <si>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</si>
  <si>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</si>
  <si>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</si>
  <si>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</si>
  <si>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</si>
  <si>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</si>
  <si>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</si>
  <si>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</si>
  <si>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</si>
  <si>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</si>
  <si>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</si>
  <si>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</si>
  <si>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</si>
  <si>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</si>
  <si>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</si>
  <si>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</si>
  <si>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</si>
  <si>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</si>
  <si>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</si>
  <si>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</si>
  <si>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</si>
  <si>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</si>
  <si>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</si>
  <si>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</si>
  <si>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</si>
  <si>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</si>
  <si>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</si>
  <si>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</si>
  <si>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</si>
  <si>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</si>
  <si>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</si>
  <si>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</si>
  <si>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</si>
  <si>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</si>
  <si>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</si>
  <si>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</si>
  <si>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</si>
  <si>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</si>
  <si>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</si>
  <si>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</si>
  <si>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</si>
  <si>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</si>
  <si>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</si>
  <si>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</si>
  <si>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</si>
  <si>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</si>
  <si>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</si>
  <si>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</si>
  <si>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</si>
  <si>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</si>
  <si>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</si>
  <si>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</si>
  <si>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</si>
  <si>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</si>
  <si>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</si>
  <si>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</si>
  <si>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</si>
  <si>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</si>
  <si>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</si>
  <si>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</si>
  <si>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</si>
  <si>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</si>
  <si>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</si>
  <si>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</si>
  <si>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</si>
  <si>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</si>
  <si>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</si>
  <si>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</si>
  <si>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</si>
  <si>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</si>
  <si>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</si>
  <si>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</si>
  <si>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</si>
  <si>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</si>
  <si>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</si>
  <si>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</si>
  <si>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</si>
  <si>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</si>
  <si>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</si>
  <si>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</si>
  <si>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</si>
  <si>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</si>
  <si>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</si>
  <si>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</si>
  <si>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</si>
  <si>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</si>
  <si>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</si>
  <si>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</si>
  <si>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</si>
  <si>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</si>
  <si>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</si>
  <si>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</si>
  <si>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</si>
  <si>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</si>
  <si>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</si>
  <si>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</si>
  <si>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</si>
  <si>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</si>
  <si>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</si>
  <si>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</si>
  <si>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</si>
  <si>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</si>
  <si>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</si>
  <si>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</si>
  <si>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</si>
  <si>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</si>
  <si>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</si>
  <si>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</si>
  <si>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</si>
  <si>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</si>
  <si>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</si>
  <si>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</si>
  <si>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</si>
  <si>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İbişov</t>
  </si>
  <si>
    <t>Musa</t>
  </si>
  <si>
    <t>Roman</t>
  </si>
  <si>
    <t>Quliyeva</t>
  </si>
  <si>
    <t>Qəmər</t>
  </si>
  <si>
    <t>Aləm</t>
  </si>
  <si>
    <t>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</si>
</sst>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50</c:v>
                </c:pt>
                <c:pt idx="2">
                  <c:v>0</c:v>
                </c:pt>
                <c:pt idx="3">
                  <c:v>50</c:v>
                </c:pt>
                <c:pt idx="4">
                  <c:v>0</c:v>
                </c:pt>
                <c:pt idx="5">
                  <c:v>0</c:v>
                </c:pt>
                <c:pt idx="6">
                  <c:v>50</c:v>
                </c:pt>
                <c:pt idx="7">
                  <c:v>0</c:v>
                </c:pt>
                <c:pt idx="8">
                  <c:v>50</c:v>
                </c:pt>
                <c:pt idx="9">
                  <c:v>0</c:v>
                </c:pt>
                <c:pt idx="10">
                  <c:v>0</c:v>
                </c:pt>
                <c:pt idx="11">
                  <c:v>50</c:v>
                </c:pt>
                <c:pt idx="12">
                  <c:v>0</c:v>
                </c:pt>
                <c:pt idx="13">
                  <c:v>50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50</c:v>
                </c:pt>
                <c:pt idx="2">
                  <c:v>0</c:v>
                </c:pt>
                <c:pt idx="3">
                  <c:v>50</c:v>
                </c:pt>
                <c:pt idx="4">
                  <c:v>0</c:v>
                </c:pt>
                <c:pt idx="5">
                  <c:v>0</c:v>
                </c:pt>
                <c:pt idx="6">
                  <c:v>50</c:v>
                </c:pt>
                <c:pt idx="7">
                  <c:v>0</c:v>
                </c:pt>
                <c:pt idx="8">
                  <c:v>50</c:v>
                </c:pt>
                <c:pt idx="9">
                  <c:v>0</c:v>
                </c:pt>
                <c:pt idx="10">
                  <c:v>0</c:v>
                </c:pt>
                <c:pt idx="11">
                  <c:v>50</c:v>
                </c:pt>
                <c:pt idx="12">
                  <c:v>0</c:v>
                </c:pt>
                <c:pt idx="13">
                  <c:v>50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65.833333333333329</c:v>
                </c:pt>
                <c:pt idx="2">
                  <c:v>0</c:v>
                </c:pt>
                <c:pt idx="3">
                  <c:v>65.833333333333329</c:v>
                </c:pt>
                <c:pt idx="4">
                  <c:v>0</c:v>
                </c:pt>
                <c:pt idx="5">
                  <c:v>0</c:v>
                </c:pt>
                <c:pt idx="6">
                  <c:v>61</c:v>
                </c:pt>
                <c:pt idx="7">
                  <c:v>0</c:v>
                </c:pt>
                <c:pt idx="8">
                  <c:v>61</c:v>
                </c:pt>
                <c:pt idx="9">
                  <c:v>0</c:v>
                </c:pt>
                <c:pt idx="10">
                  <c:v>0</c:v>
                </c:pt>
                <c:pt idx="11">
                  <c:v>63.416666666666671</c:v>
                </c:pt>
                <c:pt idx="12">
                  <c:v>0</c:v>
                </c:pt>
                <c:pt idx="13">
                  <c:v>63.416666666666671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activeCell="C8" sqref="C8"/>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7" zoomScaleNormal="87" workbookViewId="0">
      <pane xSplit="6" ySplit="4" topLeftCell="AA5" activePane="bottomRight" state="frozen"/>
      <selection pane="topRight" activeCell="G1" sqref="G1"/>
      <selection pane="bottomLeft" activeCell="A5" sqref="A5"/>
      <selection pane="bottomRight" activeCell="AI12" sqref="AI12"/>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106</v>
      </c>
      <c r="H4" s="13">
        <v>36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2</v>
      </c>
      <c r="B5" s="49" t="s">
        <v>127</v>
      </c>
      <c r="C5" s="49" t="s">
        <v>121</v>
      </c>
      <c r="D5" s="49" t="s">
        <v>122</v>
      </c>
      <c r="E5" s="50" t="s">
        <v>123</v>
      </c>
      <c r="F5" s="15">
        <v>1269215</v>
      </c>
      <c r="G5" s="16">
        <f>IF(F5="","",$G$4)</f>
        <v>106</v>
      </c>
      <c r="H5" s="16">
        <f>IF(F5="","",$H$4)</f>
        <v>36</v>
      </c>
      <c r="I5" s="17"/>
      <c r="J5" s="17">
        <v>70</v>
      </c>
      <c r="K5" s="17">
        <v>80</v>
      </c>
      <c r="L5" s="17">
        <v>100</v>
      </c>
      <c r="M5" s="17"/>
      <c r="N5" s="17"/>
      <c r="O5" s="17"/>
      <c r="P5" s="18">
        <f t="shared" ref="P5:P36" si="0">IFERROR(AVERAGE(J5:O5),"")</f>
        <v>83.333333333333329</v>
      </c>
      <c r="Q5" s="17"/>
      <c r="R5" s="19">
        <f t="shared" ref="R5:R36" si="1">IF(Q5="",P5,IF(P5="",Q5,P5*40/100+Q5*60/100))</f>
        <v>83.333333333333329</v>
      </c>
      <c r="S5" s="17"/>
      <c r="T5" s="17"/>
      <c r="U5" s="20">
        <v>0</v>
      </c>
      <c r="V5" s="57">
        <f>IF(U5="","",((H5/2)-U5)*100/(H5/2))</f>
        <v>100</v>
      </c>
      <c r="W5" s="17">
        <v>68</v>
      </c>
      <c r="X5" s="17">
        <v>90</v>
      </c>
      <c r="Y5" s="17">
        <v>90</v>
      </c>
      <c r="Z5" s="17"/>
      <c r="AA5" s="17"/>
      <c r="AB5" s="17"/>
      <c r="AC5" s="18">
        <f t="shared" ref="AC5:AC54" si="2">IFERROR(AVERAGE(W5:AB5),"")</f>
        <v>82.666666666666671</v>
      </c>
      <c r="AD5" s="17"/>
      <c r="AE5" s="19">
        <f t="shared" ref="AE5:AE54" si="3">IF(AD5="",AC5,IF(AC5="",AD5,AC5*40/100+AD5*60/100))</f>
        <v>82.666666666666671</v>
      </c>
      <c r="AF5" s="17"/>
      <c r="AG5" s="17"/>
      <c r="AH5" s="60">
        <v>0</v>
      </c>
      <c r="AI5" s="66">
        <f>IF(AH5="","",((H5/2)-AH5)*100/(H5/2))</f>
        <v>100</v>
      </c>
      <c r="AJ5" s="62">
        <f>IFERROR(AVERAGE(P5,AC5),"")</f>
        <v>83</v>
      </c>
      <c r="AK5" s="18" t="str">
        <f>IFERROR(AVERAGE(Q5,AD5),"")</f>
        <v/>
      </c>
      <c r="AL5" s="19">
        <f>IFERROR(AVERAGE(R5,AE5),"")</f>
        <v>83</v>
      </c>
      <c r="AM5" s="21">
        <f>IF(AL5&lt;=30,2,IF(AL5&lt;=60,3,IF(AL5&lt;=80,4,IF(AL5&lt;=100,5,""))))</f>
        <v>5</v>
      </c>
      <c r="AN5" s="18" t="str">
        <f>IFERROR(AVERAGE(S5,T5,AF5,AG5),"")</f>
        <v/>
      </c>
      <c r="AO5" s="17"/>
      <c r="AP5" s="25">
        <f>IF(C5="","",(U5+AH5))</f>
        <v>0</v>
      </c>
      <c r="AQ5" s="26">
        <f>IF(AP5="","",(H5-AP5)*100/H5)</f>
        <v>100</v>
      </c>
    </row>
    <row r="6" spans="1:43" ht="18.2" customHeight="1" x14ac:dyDescent="0.25">
      <c r="A6" s="49">
        <v>2</v>
      </c>
      <c r="B6" s="49" t="s">
        <v>127</v>
      </c>
      <c r="C6" s="49" t="s">
        <v>124</v>
      </c>
      <c r="D6" s="49" t="s">
        <v>125</v>
      </c>
      <c r="E6" s="50" t="s">
        <v>126</v>
      </c>
      <c r="F6" s="15">
        <v>1269215</v>
      </c>
      <c r="G6" s="1">
        <f t="shared" ref="G6:G54" si="4">IF(F6="","",$G$4)</f>
        <v>106</v>
      </c>
      <c r="H6" s="1">
        <f t="shared" ref="H6:H54" si="5">IF(F6="","",$H$4)</f>
        <v>36</v>
      </c>
      <c r="I6" s="12"/>
      <c r="J6" s="12">
        <v>40</v>
      </c>
      <c r="K6" s="12">
        <v>50</v>
      </c>
      <c r="L6" s="12">
        <v>55</v>
      </c>
      <c r="M6" s="12"/>
      <c r="N6" s="12"/>
      <c r="O6" s="12"/>
      <c r="P6" s="2">
        <f t="shared" si="0"/>
        <v>48.333333333333336</v>
      </c>
      <c r="Q6" s="12"/>
      <c r="R6" s="3">
        <f t="shared" si="1"/>
        <v>48.333333333333336</v>
      </c>
      <c r="S6" s="12"/>
      <c r="T6" s="12"/>
      <c r="U6" s="55">
        <v>0</v>
      </c>
      <c r="V6" s="58">
        <f>IF(U6="","",((H6/2)-U6)*100/(H6/2))</f>
        <v>100</v>
      </c>
      <c r="W6" s="56">
        <v>35</v>
      </c>
      <c r="X6" s="12">
        <v>40</v>
      </c>
      <c r="Y6" s="12">
        <v>43</v>
      </c>
      <c r="Z6" s="12"/>
      <c r="AA6" s="12"/>
      <c r="AB6" s="12"/>
      <c r="AC6" s="2">
        <f t="shared" si="2"/>
        <v>39.333333333333336</v>
      </c>
      <c r="AD6" s="12"/>
      <c r="AE6" s="3">
        <f t="shared" si="3"/>
        <v>39.333333333333336</v>
      </c>
      <c r="AF6" s="12"/>
      <c r="AG6" s="12"/>
      <c r="AH6" s="55">
        <v>0</v>
      </c>
      <c r="AI6" s="58">
        <f t="shared" ref="AI6:AI54" si="6">IF(AH6="","",((H6/2)-AH6)*100/(H6/2))</f>
        <v>100</v>
      </c>
      <c r="AJ6" s="63">
        <f t="shared" ref="AJ6:AJ54" si="7">IFERROR(AVERAGE(P6,AC6),"")</f>
        <v>43.833333333333336</v>
      </c>
      <c r="AK6" s="2" t="str">
        <f t="shared" ref="AK6:AK54" si="8">IFERROR(AVERAGE(Q6,AD6),"")</f>
        <v/>
      </c>
      <c r="AL6" s="3">
        <f t="shared" ref="AL6:AL54" si="9">IFERROR(AVERAGE(R6,AE6),"")</f>
        <v>43.833333333333336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x14ac:dyDescent="0.25">
      <c r="A7" s="49"/>
      <c r="B7" s="49"/>
      <c r="C7" s="49"/>
      <c r="D7" s="49"/>
      <c r="E7" s="50"/>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t="str">
        <f t="shared" si="12"/>
        <v/>
      </c>
      <c r="AQ7" s="28" t="str">
        <f t="shared" si="13"/>
        <v/>
      </c>
    </row>
    <row r="8" spans="1:43" ht="18.2" customHeight="1" x14ac:dyDescent="0.25">
      <c r="A8" s="49"/>
      <c r="B8" s="49"/>
      <c r="C8" s="49"/>
      <c r="D8" s="49"/>
      <c r="E8" s="50"/>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t="str">
        <f t="shared" si="12"/>
        <v/>
      </c>
      <c r="AQ8" s="28" t="str">
        <f t="shared" si="13"/>
        <v/>
      </c>
    </row>
    <row r="9" spans="1:43" ht="18.2" customHeight="1" x14ac:dyDescent="0.25">
      <c r="A9" s="49"/>
      <c r="B9" s="49"/>
      <c r="C9" s="49"/>
      <c r="D9" s="49"/>
      <c r="E9" s="50"/>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t="str">
        <f t="shared" si="12"/>
        <v/>
      </c>
      <c r="AQ9" s="28" t="str">
        <f t="shared" si="13"/>
        <v/>
      </c>
    </row>
    <row r="10" spans="1:43" ht="18.2" customHeight="1" x14ac:dyDescent="0.25">
      <c r="A10" s="49"/>
      <c r="B10" s="49"/>
      <c r="C10" s="49"/>
      <c r="D10" s="49"/>
      <c r="E10" s="50"/>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t="str">
        <f t="shared" si="12"/>
        <v/>
      </c>
      <c r="AQ10" s="28" t="str">
        <f t="shared" si="13"/>
        <v/>
      </c>
    </row>
    <row r="11" spans="1:43" ht="18.2" customHeight="1" x14ac:dyDescent="0.25">
      <c r="A11" s="49"/>
      <c r="B11" s="49"/>
      <c r="C11" s="49"/>
      <c r="D11" s="49"/>
      <c r="E11" s="50"/>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t="str">
        <f t="shared" si="12"/>
        <v/>
      </c>
      <c r="AQ11" s="28" t="str">
        <f t="shared" si="13"/>
        <v/>
      </c>
    </row>
    <row r="12" spans="1:43" ht="18.2" customHeight="1" x14ac:dyDescent="0.25">
      <c r="A12" s="49"/>
      <c r="B12" s="49"/>
      <c r="C12" s="49"/>
      <c r="D12" s="49"/>
      <c r="E12" s="50"/>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t="str">
        <f t="shared" si="12"/>
        <v/>
      </c>
      <c r="AQ12" s="28" t="str">
        <f t="shared" si="13"/>
        <v/>
      </c>
    </row>
    <row r="13" spans="1:43" ht="18.2" customHeight="1" x14ac:dyDescent="0.25">
      <c r="A13" s="49"/>
      <c r="B13" s="49"/>
      <c r="C13" s="49"/>
      <c r="D13" s="49"/>
      <c r="E13" s="50"/>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t="str">
        <f t="shared" si="12"/>
        <v/>
      </c>
      <c r="AQ13" s="28" t="str">
        <f t="shared" si="13"/>
        <v/>
      </c>
    </row>
    <row r="14" spans="1:43" ht="18.2" customHeight="1" x14ac:dyDescent="0.25">
      <c r="A14" s="49"/>
      <c r="B14" s="49"/>
      <c r="C14" s="49"/>
      <c r="D14" s="49"/>
      <c r="E14" s="50"/>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t="str">
        <f t="shared" si="12"/>
        <v/>
      </c>
      <c r="AQ14" s="28" t="str">
        <f t="shared" si="13"/>
        <v/>
      </c>
    </row>
    <row r="15" spans="1:43" ht="18.2" customHeight="1" x14ac:dyDescent="0.25">
      <c r="A15" s="49"/>
      <c r="B15" s="49"/>
      <c r="C15" s="49"/>
      <c r="D15" s="49"/>
      <c r="E15" s="50"/>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t="str">
        <f t="shared" si="12"/>
        <v/>
      </c>
      <c r="AQ15" s="28" t="str">
        <f t="shared" si="13"/>
        <v/>
      </c>
    </row>
    <row r="16" spans="1:43" ht="18.2" customHeight="1" x14ac:dyDescent="0.25">
      <c r="A16" s="49"/>
      <c r="B16" s="49"/>
      <c r="C16" s="49"/>
      <c r="D16" s="49"/>
      <c r="E16" s="50"/>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t="str">
        <f t="shared" si="12"/>
        <v/>
      </c>
      <c r="AQ16" s="28" t="str">
        <f t="shared" si="13"/>
        <v/>
      </c>
    </row>
    <row r="17" spans="1:43" ht="18.2" customHeight="1" x14ac:dyDescent="0.25">
      <c r="A17" s="49"/>
      <c r="B17" s="49"/>
      <c r="C17" s="49"/>
      <c r="D17" s="49"/>
      <c r="E17" s="50"/>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t="str">
        <f t="shared" si="12"/>
        <v/>
      </c>
      <c r="AQ17" s="28" t="str">
        <f t="shared" si="13"/>
        <v/>
      </c>
    </row>
    <row r="18" spans="1:43" ht="18.2" customHeight="1" x14ac:dyDescent="0.25">
      <c r="A18" s="49"/>
      <c r="B18" s="49"/>
      <c r="C18" s="49"/>
      <c r="D18" s="49"/>
      <c r="E18" s="50"/>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t="str">
        <f t="shared" si="12"/>
        <v/>
      </c>
      <c r="AQ18" s="28" t="str">
        <f t="shared" si="13"/>
        <v/>
      </c>
    </row>
    <row r="19" spans="1:43" ht="18.2" customHeight="1" x14ac:dyDescent="0.25">
      <c r="A19" s="49"/>
      <c r="B19" s="49"/>
      <c r="C19" s="49"/>
      <c r="D19" s="49"/>
      <c r="E19" s="50"/>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t="str">
        <f t="shared" si="12"/>
        <v/>
      </c>
      <c r="AQ19" s="28" t="str">
        <f t="shared" si="13"/>
        <v/>
      </c>
    </row>
    <row r="20" spans="1:43" ht="18.2" customHeight="1" x14ac:dyDescent="0.25">
      <c r="A20" s="49"/>
      <c r="B20" s="49"/>
      <c r="C20" s="49"/>
      <c r="D20" s="49"/>
      <c r="E20" s="50"/>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t="str">
        <f t="shared" si="12"/>
        <v/>
      </c>
      <c r="AQ20" s="28" t="str">
        <f t="shared" si="13"/>
        <v/>
      </c>
    </row>
    <row r="21" spans="1:43" ht="18.2" customHeight="1" x14ac:dyDescent="0.25">
      <c r="A21" s="49"/>
      <c r="B21" s="49"/>
      <c r="C21" s="49"/>
      <c r="D21" s="49"/>
      <c r="E21" s="50"/>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t="str">
        <f t="shared" si="12"/>
        <v/>
      </c>
      <c r="AQ21" s="28" t="str">
        <f t="shared" si="13"/>
        <v/>
      </c>
    </row>
    <row r="22" spans="1:43" ht="18.2" customHeight="1" x14ac:dyDescent="0.25">
      <c r="A22" s="49"/>
      <c r="B22" s="49"/>
      <c r="C22" s="49"/>
      <c r="D22" s="49"/>
      <c r="E22" s="50"/>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t="str">
        <f t="shared" si="12"/>
        <v/>
      </c>
      <c r="AQ22" s="28" t="str">
        <f t="shared" si="13"/>
        <v/>
      </c>
    </row>
    <row r="23" spans="1:43" ht="18.2" customHeight="1" x14ac:dyDescent="0.25">
      <c r="A23" s="49"/>
      <c r="B23" s="49"/>
      <c r="C23" s="49"/>
      <c r="D23" s="49"/>
      <c r="E23" s="50"/>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t="str">
        <f t="shared" si="12"/>
        <v/>
      </c>
      <c r="AQ23" s="28" t="str">
        <f t="shared" si="13"/>
        <v/>
      </c>
    </row>
    <row r="24" spans="1:43" ht="18.2" customHeight="1" x14ac:dyDescent="0.25">
      <c r="A24" s="49"/>
      <c r="B24" s="49"/>
      <c r="C24" s="49"/>
      <c r="D24" s="49"/>
      <c r="E24" s="50"/>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t="str">
        <f t="shared" si="12"/>
        <v/>
      </c>
      <c r="AQ24" s="28" t="str">
        <f t="shared" si="13"/>
        <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106</v>
      </c>
      <c r="H55" s="22">
        <f>IF(H4="","",$H$4)</f>
        <v>36</v>
      </c>
      <c r="I55" s="23" t="str">
        <f t="shared" ref="I55:V55" si="17">IFERROR(AVERAGE(I5:I54),"")</f>
        <v/>
      </c>
      <c r="J55" s="23">
        <f t="shared" si="17"/>
        <v>55</v>
      </c>
      <c r="K55" s="23">
        <f t="shared" si="17"/>
        <v>65</v>
      </c>
      <c r="L55" s="23">
        <f t="shared" si="17"/>
        <v>77.5</v>
      </c>
      <c r="M55" s="23" t="str">
        <f t="shared" si="17"/>
        <v/>
      </c>
      <c r="N55" s="23" t="str">
        <f t="shared" si="17"/>
        <v/>
      </c>
      <c r="O55" s="23" t="str">
        <f t="shared" si="17"/>
        <v/>
      </c>
      <c r="P55" s="23">
        <f t="shared" si="17"/>
        <v>65.833333333333329</v>
      </c>
      <c r="Q55" s="23" t="str">
        <f t="shared" si="17"/>
        <v/>
      </c>
      <c r="R55" s="23">
        <f t="shared" si="17"/>
        <v>65.833333333333329</v>
      </c>
      <c r="S55" s="23" t="str">
        <f t="shared" si="17"/>
        <v/>
      </c>
      <c r="T55" s="23" t="str">
        <f t="shared" si="17"/>
        <v/>
      </c>
      <c r="U55" s="24">
        <f>IFERROR(SUM(U5:U54),"")</f>
        <v>0</v>
      </c>
      <c r="V55" s="23">
        <f t="shared" si="17"/>
        <v>100</v>
      </c>
      <c r="W55" s="23">
        <f t="shared" ref="W55:AG55" si="18">IFERROR(AVERAGE(W5:W54),"")</f>
        <v>51.5</v>
      </c>
      <c r="X55" s="23">
        <f t="shared" si="18"/>
        <v>65</v>
      </c>
      <c r="Y55" s="23">
        <f t="shared" si="18"/>
        <v>66.5</v>
      </c>
      <c r="Z55" s="23" t="str">
        <f t="shared" si="18"/>
        <v/>
      </c>
      <c r="AA55" s="23" t="str">
        <f t="shared" si="18"/>
        <v/>
      </c>
      <c r="AB55" s="23" t="str">
        <f t="shared" si="18"/>
        <v/>
      </c>
      <c r="AC55" s="23">
        <f t="shared" si="18"/>
        <v>61</v>
      </c>
      <c r="AD55" s="23" t="str">
        <f t="shared" si="18"/>
        <v/>
      </c>
      <c r="AE55" s="23">
        <f t="shared" si="18"/>
        <v>61</v>
      </c>
      <c r="AF55" s="23" t="str">
        <f t="shared" si="18"/>
        <v/>
      </c>
      <c r="AG55" s="23" t="str">
        <f t="shared" si="18"/>
        <v/>
      </c>
      <c r="AH55" s="24">
        <f>IFERROR(SUM(AH5:AH54),"")</f>
        <v>0</v>
      </c>
      <c r="AI55" s="23">
        <f t="shared" ref="AI55" si="19">IFERROR(AVERAGE(AI5:AI54),"")</f>
        <v>100</v>
      </c>
      <c r="AJ55" s="23">
        <f t="shared" ref="AJ55" si="20">IFERROR(AVERAGE(AJ5:AJ54),"")</f>
        <v>63.416666666666671</v>
      </c>
      <c r="AK55" s="23" t="str">
        <f t="shared" ref="AK55" si="21">IFERROR(AVERAGE(AK5:AK54),"")</f>
        <v/>
      </c>
      <c r="AL55" s="23">
        <f t="shared" ref="AL55" si="22">IFERROR(AVERAGE(AL5:AL54),"")</f>
        <v>63.416666666666671</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1</v>
      </c>
      <c r="M57" s="6">
        <f t="shared" si="24"/>
        <v>0</v>
      </c>
      <c r="N57" s="6">
        <f t="shared" si="24"/>
        <v>0</v>
      </c>
      <c r="O57" s="6">
        <f t="shared" si="24"/>
        <v>0</v>
      </c>
      <c r="P57" s="6">
        <f t="shared" si="24"/>
        <v>1</v>
      </c>
      <c r="Q57" s="6">
        <f t="shared" si="24"/>
        <v>0</v>
      </c>
      <c r="R57" s="6">
        <f t="shared" si="24"/>
        <v>1</v>
      </c>
      <c r="S57" s="6">
        <f t="shared" si="24"/>
        <v>0</v>
      </c>
      <c r="T57" s="6">
        <f t="shared" si="24"/>
        <v>0</v>
      </c>
      <c r="U57" s="91"/>
      <c r="V57" s="91"/>
      <c r="W57" s="6">
        <f t="shared" ref="W57:AG57" si="25">COUNTIFS(W5:W54,"&gt;80",W5:W54,"&lt;=100")</f>
        <v>0</v>
      </c>
      <c r="X57" s="6">
        <f t="shared" si="25"/>
        <v>1</v>
      </c>
      <c r="Y57" s="6">
        <f t="shared" si="25"/>
        <v>1</v>
      </c>
      <c r="Z57" s="6">
        <f t="shared" si="25"/>
        <v>0</v>
      </c>
      <c r="AA57" s="6">
        <f t="shared" si="25"/>
        <v>0</v>
      </c>
      <c r="AB57" s="6">
        <f t="shared" si="25"/>
        <v>0</v>
      </c>
      <c r="AC57" s="6">
        <f t="shared" si="25"/>
        <v>1</v>
      </c>
      <c r="AD57" s="6">
        <f t="shared" si="25"/>
        <v>0</v>
      </c>
      <c r="AE57" s="6">
        <f t="shared" si="25"/>
        <v>1</v>
      </c>
      <c r="AF57" s="6">
        <f t="shared" si="25"/>
        <v>0</v>
      </c>
      <c r="AG57" s="6">
        <f t="shared" si="25"/>
        <v>0</v>
      </c>
      <c r="AH57" s="91"/>
      <c r="AI57" s="91"/>
      <c r="AJ57" s="6">
        <f t="shared" si="24"/>
        <v>1</v>
      </c>
      <c r="AK57" s="6">
        <f t="shared" si="24"/>
        <v>0</v>
      </c>
      <c r="AL57" s="6">
        <f>COUNTIFS(AL5:AL54,"&gt;80",AL5:AL54,"&lt;=100")</f>
        <v>1</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1</v>
      </c>
      <c r="K58" s="6">
        <f t="shared" si="27"/>
        <v>1</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1</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v>
      </c>
      <c r="K59" s="6">
        <f t="shared" si="30"/>
        <v>1</v>
      </c>
      <c r="L59" s="6">
        <f t="shared" si="30"/>
        <v>1</v>
      </c>
      <c r="M59" s="6">
        <f t="shared" si="30"/>
        <v>0</v>
      </c>
      <c r="N59" s="6">
        <f t="shared" si="30"/>
        <v>0</v>
      </c>
      <c r="O59" s="6">
        <f t="shared" si="30"/>
        <v>0</v>
      </c>
      <c r="P59" s="6">
        <f t="shared" si="30"/>
        <v>1</v>
      </c>
      <c r="Q59" s="6">
        <f t="shared" si="30"/>
        <v>0</v>
      </c>
      <c r="R59" s="6">
        <f t="shared" si="30"/>
        <v>1</v>
      </c>
      <c r="S59" s="6">
        <f t="shared" si="30"/>
        <v>0</v>
      </c>
      <c r="T59" s="6">
        <f t="shared" si="30"/>
        <v>0</v>
      </c>
      <c r="U59" s="92"/>
      <c r="V59" s="92"/>
      <c r="W59" s="6">
        <f t="shared" ref="W59:AG59" si="31">COUNTIFS(W5:W54,"&gt;30",W5:W54,"&lt;=60")</f>
        <v>1</v>
      </c>
      <c r="X59" s="6">
        <f t="shared" si="31"/>
        <v>1</v>
      </c>
      <c r="Y59" s="6">
        <f t="shared" si="31"/>
        <v>1</v>
      </c>
      <c r="Z59" s="6">
        <f t="shared" si="31"/>
        <v>0</v>
      </c>
      <c r="AA59" s="6">
        <f t="shared" si="31"/>
        <v>0</v>
      </c>
      <c r="AB59" s="6">
        <f t="shared" si="31"/>
        <v>0</v>
      </c>
      <c r="AC59" s="6">
        <f t="shared" si="31"/>
        <v>1</v>
      </c>
      <c r="AD59" s="6">
        <f t="shared" si="31"/>
        <v>0</v>
      </c>
      <c r="AE59" s="6">
        <f t="shared" si="31"/>
        <v>1</v>
      </c>
      <c r="AF59" s="6">
        <f t="shared" si="31"/>
        <v>0</v>
      </c>
      <c r="AG59" s="6">
        <f t="shared" si="31"/>
        <v>0</v>
      </c>
      <c r="AH59" s="92"/>
      <c r="AI59" s="92"/>
      <c r="AJ59" s="6">
        <f t="shared" si="30"/>
        <v>1</v>
      </c>
      <c r="AK59" s="6">
        <f t="shared" si="30"/>
        <v>0</v>
      </c>
      <c r="AL59" s="6">
        <f t="shared" si="30"/>
        <v>1</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v>
      </c>
      <c r="K61" s="7">
        <f t="shared" si="36"/>
        <v>2</v>
      </c>
      <c r="L61" s="7">
        <f t="shared" si="36"/>
        <v>2</v>
      </c>
      <c r="M61" s="7">
        <f t="shared" si="36"/>
        <v>0</v>
      </c>
      <c r="N61" s="7">
        <f t="shared" si="36"/>
        <v>0</v>
      </c>
      <c r="O61" s="7">
        <f t="shared" si="36"/>
        <v>0</v>
      </c>
      <c r="P61" s="7">
        <f t="shared" si="36"/>
        <v>2</v>
      </c>
      <c r="Q61" s="7">
        <f t="shared" si="36"/>
        <v>0</v>
      </c>
      <c r="R61" s="7">
        <f t="shared" si="36"/>
        <v>2</v>
      </c>
      <c r="S61" s="7">
        <f t="shared" si="36"/>
        <v>0</v>
      </c>
      <c r="T61" s="7">
        <f t="shared" si="36"/>
        <v>0</v>
      </c>
      <c r="U61" s="92"/>
      <c r="V61" s="92"/>
      <c r="W61" s="7">
        <f t="shared" ref="W61:AG61" si="37">SUM(W57:W60)</f>
        <v>2</v>
      </c>
      <c r="X61" s="7">
        <f t="shared" si="37"/>
        <v>2</v>
      </c>
      <c r="Y61" s="7">
        <f t="shared" si="37"/>
        <v>2</v>
      </c>
      <c r="Z61" s="7">
        <f t="shared" si="37"/>
        <v>0</v>
      </c>
      <c r="AA61" s="7">
        <f t="shared" si="37"/>
        <v>0</v>
      </c>
      <c r="AB61" s="7">
        <f t="shared" si="37"/>
        <v>0</v>
      </c>
      <c r="AC61" s="7">
        <f t="shared" si="37"/>
        <v>2</v>
      </c>
      <c r="AD61" s="7">
        <f t="shared" si="37"/>
        <v>0</v>
      </c>
      <c r="AE61" s="7">
        <f t="shared" si="37"/>
        <v>2</v>
      </c>
      <c r="AF61" s="7">
        <f t="shared" si="37"/>
        <v>0</v>
      </c>
      <c r="AG61" s="7">
        <f t="shared" si="37"/>
        <v>0</v>
      </c>
      <c r="AH61" s="92"/>
      <c r="AI61" s="92"/>
      <c r="AJ61" s="7">
        <f t="shared" si="36"/>
        <v>2</v>
      </c>
      <c r="AK61" s="7">
        <f t="shared" si="36"/>
        <v>0</v>
      </c>
      <c r="AL61" s="7">
        <f t="shared" si="36"/>
        <v>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0</v>
      </c>
      <c r="K62" s="8">
        <f t="shared" si="39"/>
        <v>0</v>
      </c>
      <c r="L62" s="8">
        <f t="shared" si="39"/>
        <v>50</v>
      </c>
      <c r="M62" s="8" t="str">
        <f t="shared" si="39"/>
        <v/>
      </c>
      <c r="N62" s="8" t="str">
        <f t="shared" si="39"/>
        <v/>
      </c>
      <c r="O62" s="8" t="str">
        <f t="shared" si="39"/>
        <v/>
      </c>
      <c r="P62" s="8">
        <f t="shared" si="39"/>
        <v>50</v>
      </c>
      <c r="Q62" s="8" t="str">
        <f t="shared" si="39"/>
        <v/>
      </c>
      <c r="R62" s="8">
        <f t="shared" si="39"/>
        <v>50</v>
      </c>
      <c r="S62" s="8" t="str">
        <f t="shared" si="39"/>
        <v/>
      </c>
      <c r="T62" s="8" t="str">
        <f t="shared" si="39"/>
        <v/>
      </c>
      <c r="U62" s="92"/>
      <c r="V62" s="92"/>
      <c r="W62" s="8">
        <f t="shared" ref="W62:AG62" si="40">IFERROR(W57*100/W61,"")</f>
        <v>0</v>
      </c>
      <c r="X62" s="8">
        <f t="shared" si="40"/>
        <v>50</v>
      </c>
      <c r="Y62" s="8">
        <f t="shared" si="40"/>
        <v>50</v>
      </c>
      <c r="Z62" s="8" t="str">
        <f t="shared" si="40"/>
        <v/>
      </c>
      <c r="AA62" s="8" t="str">
        <f t="shared" si="40"/>
        <v/>
      </c>
      <c r="AB62" s="8" t="str">
        <f t="shared" si="40"/>
        <v/>
      </c>
      <c r="AC62" s="8">
        <f t="shared" si="40"/>
        <v>50</v>
      </c>
      <c r="AD62" s="8" t="str">
        <f t="shared" si="40"/>
        <v/>
      </c>
      <c r="AE62" s="8">
        <f t="shared" si="40"/>
        <v>50</v>
      </c>
      <c r="AF62" s="8" t="str">
        <f t="shared" si="40"/>
        <v/>
      </c>
      <c r="AG62" s="8" t="str">
        <f t="shared" si="40"/>
        <v/>
      </c>
      <c r="AH62" s="92"/>
      <c r="AI62" s="92"/>
      <c r="AJ62" s="8">
        <f t="shared" si="39"/>
        <v>50</v>
      </c>
      <c r="AK62" s="8" t="str">
        <f t="shared" si="39"/>
        <v/>
      </c>
      <c r="AL62" s="8">
        <f t="shared" si="39"/>
        <v>50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50</v>
      </c>
      <c r="K63" s="8">
        <f t="shared" si="42"/>
        <v>50</v>
      </c>
      <c r="L63" s="8">
        <f t="shared" si="42"/>
        <v>0</v>
      </c>
      <c r="M63" s="8" t="str">
        <f t="shared" si="42"/>
        <v/>
      </c>
      <c r="N63" s="8" t="str">
        <f t="shared" si="42"/>
        <v/>
      </c>
      <c r="O63" s="8" t="str">
        <f t="shared" si="42"/>
        <v/>
      </c>
      <c r="P63" s="8">
        <f t="shared" si="42"/>
        <v>0</v>
      </c>
      <c r="Q63" s="8" t="str">
        <f t="shared" si="42"/>
        <v/>
      </c>
      <c r="R63" s="8">
        <f t="shared" si="42"/>
        <v>0</v>
      </c>
      <c r="S63" s="8" t="str">
        <f t="shared" si="42"/>
        <v/>
      </c>
      <c r="T63" s="8" t="str">
        <f t="shared" si="42"/>
        <v/>
      </c>
      <c r="U63" s="92"/>
      <c r="V63" s="92"/>
      <c r="W63" s="8">
        <f t="shared" ref="W63:AG63" si="43">IFERROR(W58*100/W61,"")</f>
        <v>50</v>
      </c>
      <c r="X63" s="8">
        <f t="shared" si="43"/>
        <v>0</v>
      </c>
      <c r="Y63" s="8">
        <f t="shared" si="43"/>
        <v>0</v>
      </c>
      <c r="Z63" s="8" t="str">
        <f t="shared" si="43"/>
        <v/>
      </c>
      <c r="AA63" s="8" t="str">
        <f t="shared" si="43"/>
        <v/>
      </c>
      <c r="AB63" s="8" t="str">
        <f t="shared" si="43"/>
        <v/>
      </c>
      <c r="AC63" s="8">
        <f t="shared" si="43"/>
        <v>0</v>
      </c>
      <c r="AD63" s="8" t="str">
        <f t="shared" si="43"/>
        <v/>
      </c>
      <c r="AE63" s="8">
        <f t="shared" si="43"/>
        <v>0</v>
      </c>
      <c r="AF63" s="8" t="str">
        <f t="shared" si="43"/>
        <v/>
      </c>
      <c r="AG63" s="8" t="str">
        <f t="shared" si="43"/>
        <v/>
      </c>
      <c r="AH63" s="92"/>
      <c r="AI63" s="92"/>
      <c r="AJ63" s="8">
        <f t="shared" si="42"/>
        <v>0</v>
      </c>
      <c r="AK63" s="8" t="str">
        <f t="shared" si="42"/>
        <v/>
      </c>
      <c r="AL63" s="8">
        <f t="shared" si="42"/>
        <v>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50</v>
      </c>
      <c r="K64" s="8">
        <f t="shared" si="45"/>
        <v>50</v>
      </c>
      <c r="L64" s="8">
        <f t="shared" si="45"/>
        <v>50</v>
      </c>
      <c r="M64" s="8" t="str">
        <f t="shared" si="45"/>
        <v/>
      </c>
      <c r="N64" s="8" t="str">
        <f t="shared" si="45"/>
        <v/>
      </c>
      <c r="O64" s="8" t="str">
        <f t="shared" si="45"/>
        <v/>
      </c>
      <c r="P64" s="8">
        <f t="shared" si="45"/>
        <v>50</v>
      </c>
      <c r="Q64" s="8" t="str">
        <f t="shared" si="45"/>
        <v/>
      </c>
      <c r="R64" s="8">
        <f t="shared" si="45"/>
        <v>50</v>
      </c>
      <c r="S64" s="8" t="str">
        <f t="shared" si="45"/>
        <v/>
      </c>
      <c r="T64" s="8" t="str">
        <f t="shared" si="45"/>
        <v/>
      </c>
      <c r="U64" s="92"/>
      <c r="V64" s="92"/>
      <c r="W64" s="8">
        <f t="shared" ref="W64:AG64" si="46">IFERROR(W59*100/W61,"")</f>
        <v>50</v>
      </c>
      <c r="X64" s="8">
        <f t="shared" si="46"/>
        <v>50</v>
      </c>
      <c r="Y64" s="8">
        <f t="shared" si="46"/>
        <v>50</v>
      </c>
      <c r="Z64" s="8" t="str">
        <f t="shared" si="46"/>
        <v/>
      </c>
      <c r="AA64" s="8" t="str">
        <f t="shared" si="46"/>
        <v/>
      </c>
      <c r="AB64" s="8" t="str">
        <f t="shared" si="46"/>
        <v/>
      </c>
      <c r="AC64" s="8">
        <f t="shared" si="46"/>
        <v>50</v>
      </c>
      <c r="AD64" s="8" t="str">
        <f t="shared" si="46"/>
        <v/>
      </c>
      <c r="AE64" s="8">
        <f t="shared" si="46"/>
        <v>50</v>
      </c>
      <c r="AF64" s="8" t="str">
        <f t="shared" si="46"/>
        <v/>
      </c>
      <c r="AG64" s="8" t="str">
        <f t="shared" si="46"/>
        <v/>
      </c>
      <c r="AH64" s="92"/>
      <c r="AI64" s="92"/>
      <c r="AJ64" s="8">
        <f t="shared" si="45"/>
        <v>50</v>
      </c>
      <c r="AK64" s="8" t="str">
        <f t="shared" si="45"/>
        <v/>
      </c>
      <c r="AL64" s="8">
        <f t="shared" si="45"/>
        <v>50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2023-06-18T10:26:20Z</dcterms:modified>
</cp:coreProperties>
</file>