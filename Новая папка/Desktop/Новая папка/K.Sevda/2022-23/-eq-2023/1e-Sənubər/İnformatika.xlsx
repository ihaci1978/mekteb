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<sst xmlns="http://schemas.openxmlformats.org/spreadsheetml/2006/main" count="267" uniqueCount="196">
  <si>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</si>
  <si>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</si>
  <si>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</si>
  <si>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</si>
  <si>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</si>
  <si>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</si>
  <si>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</si>
  <si>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</si>
  <si>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</si>
  <si>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</si>
  <si>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</si>
  <si>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</si>
  <si>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</si>
  <si>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</si>
  <si>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</si>
  <si>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</si>
  <si>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</si>
  <si>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</si>
  <si>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</si>
  <si>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</si>
  <si>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</si>
  <si>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</si>
  <si>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</si>
  <si>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</si>
  <si>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</si>
  <si>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</si>
  <si>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</si>
  <si>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</si>
  <si>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</si>
  <si>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</si>
  <si>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</si>
  <si>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</si>
  <si>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</si>
  <si>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</si>
  <si>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</si>
  <si>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</si>
  <si>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</si>
  <si>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</si>
  <si>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</si>
  <si>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</si>
  <si>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</si>
  <si>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</si>
  <si>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</si>
  <si>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</si>
  <si>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</si>
  <si>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</si>
  <si>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</si>
  <si>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</si>
  <si>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</si>
  <si>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</si>
  <si>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</si>
  <si>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</si>
  <si>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</si>
  <si>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</si>
  <si>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</si>
  <si>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</si>
  <si>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</si>
  <si>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</si>
  <si>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</si>
  <si>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</si>
  <si>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</si>
  <si>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</si>
  <si>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</si>
  <si>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</si>
  <si>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</si>
  <si>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</si>
  <si>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</si>
  <si>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</si>
  <si>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</si>
  <si>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</si>
  <si>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</si>
  <si>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</si>
  <si>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</si>
  <si>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</si>
  <si>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</si>
  <si>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</si>
  <si>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</si>
  <si>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</si>
  <si>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</si>
  <si>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</si>
  <si>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</si>
  <si>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</si>
  <si>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</si>
  <si>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</si>
  <si>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</si>
  <si>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</si>
  <si>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</si>
  <si>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</si>
  <si>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</si>
  <si>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</si>
  <si>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</si>
  <si>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</si>
  <si>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</si>
  <si>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</si>
  <si>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</si>
  <si>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</si>
  <si>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</si>
  <si>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</si>
  <si>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</si>
  <si>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</si>
  <si>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</si>
  <si>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</si>
  <si>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</si>
  <si>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</si>
  <si>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</si>
  <si>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</si>
  <si>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</si>
  <si>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</si>
  <si>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</si>
  <si>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</si>
  <si>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</si>
  <si>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</si>
  <si>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</si>
  <si>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</si>
  <si>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</si>
  <si>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</si>
  <si>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</si>
  <si>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</si>
  <si>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</si>
  <si>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</si>
  <si>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</si>
  <si>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</si>
  <si>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Adgözəlli</t>
  </si>
  <si>
    <t>Fidan</t>
  </si>
  <si>
    <t xml:space="preserve">Nurlan </t>
  </si>
  <si>
    <t>Allahverdiyev</t>
  </si>
  <si>
    <t>Akif</t>
  </si>
  <si>
    <t xml:space="preserve">Məmməd </t>
  </si>
  <si>
    <t>Cavadlı</t>
  </si>
  <si>
    <t>Nərgiz</t>
  </si>
  <si>
    <t xml:space="preserve">Rauf </t>
  </si>
  <si>
    <t>Əhmədli</t>
  </si>
  <si>
    <t>Elay</t>
  </si>
  <si>
    <t xml:space="preserve">Amil </t>
  </si>
  <si>
    <t>Əkbərov</t>
  </si>
  <si>
    <t>Əbdül</t>
  </si>
  <si>
    <t xml:space="preserve">Nağı </t>
  </si>
  <si>
    <t>Əliyev</t>
  </si>
  <si>
    <t>Uğur</t>
  </si>
  <si>
    <t xml:space="preserve">Əfqan </t>
  </si>
  <si>
    <t>Həmzəyev</t>
  </si>
  <si>
    <t>Nihat</t>
  </si>
  <si>
    <t xml:space="preserve">Ramil </t>
  </si>
  <si>
    <t>Həsənov</t>
  </si>
  <si>
    <t>Nail</t>
  </si>
  <si>
    <t>Adiloviç</t>
  </si>
  <si>
    <t>Hümbətli</t>
  </si>
  <si>
    <t>Yusif</t>
  </si>
  <si>
    <t xml:space="preserve">Zamiq </t>
  </si>
  <si>
    <t>Hüseynov</t>
  </si>
  <si>
    <t>Mahir</t>
  </si>
  <si>
    <t xml:space="preserve">Adil </t>
  </si>
  <si>
    <t>Vasif</t>
  </si>
  <si>
    <t xml:space="preserve">Elçin </t>
  </si>
  <si>
    <t>İbayeva</t>
  </si>
  <si>
    <t>Mələk</t>
  </si>
  <si>
    <t xml:space="preserve">Rəşid </t>
  </si>
  <si>
    <t>İsayeva</t>
  </si>
  <si>
    <t>Gülay</t>
  </si>
  <si>
    <t xml:space="preserve">Xalid </t>
  </si>
  <si>
    <t>İslamzadə</t>
  </si>
  <si>
    <t>Mətin</t>
  </si>
  <si>
    <t xml:space="preserve">Haydar </t>
  </si>
  <si>
    <t>İsmayılzadə</t>
  </si>
  <si>
    <t>Ramal</t>
  </si>
  <si>
    <t xml:space="preserve">Əsgər </t>
  </si>
  <si>
    <t>Qarayev</t>
  </si>
  <si>
    <t>Tuncay</t>
  </si>
  <si>
    <t xml:space="preserve">Naib </t>
  </si>
  <si>
    <t>Qurbanlı</t>
  </si>
  <si>
    <t>Ömər</t>
  </si>
  <si>
    <t xml:space="preserve">Şahin </t>
  </si>
  <si>
    <t>Məmmədova</t>
  </si>
  <si>
    <t>Elfanə</t>
  </si>
  <si>
    <t xml:space="preserve">Cavad </t>
  </si>
  <si>
    <t>Ruqayə</t>
  </si>
  <si>
    <t xml:space="preserve">Zabil </t>
  </si>
  <si>
    <t>Məmmədzadə</t>
  </si>
  <si>
    <t>Amin</t>
  </si>
  <si>
    <t xml:space="preserve">Elnur </t>
  </si>
  <si>
    <t>Rüqəyyə</t>
  </si>
  <si>
    <t xml:space="preserve">Elsevər </t>
  </si>
  <si>
    <t>Səmədova</t>
  </si>
  <si>
    <t>Ayşə</t>
  </si>
  <si>
    <t xml:space="preserve">Fəqan </t>
  </si>
  <si>
    <t>Şirinova</t>
  </si>
  <si>
    <t>Mehri</t>
  </si>
  <si>
    <t xml:space="preserve">Fariz </t>
  </si>
  <si>
    <t>Milay</t>
  </si>
  <si>
    <t xml:space="preserve">Samir </t>
  </si>
  <si>
    <t>Tağıyev</t>
  </si>
  <si>
    <t>Cəsur</t>
  </si>
  <si>
    <t xml:space="preserve">Ceyhun </t>
  </si>
  <si>
    <t>Vəliyeva</t>
  </si>
  <si>
    <t>Aytən</t>
  </si>
  <si>
    <t xml:space="preserve">Seymur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</si>
</sst>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4" zoomScaleNormal="84" workbookViewId="0">
      <pane xSplit="6" ySplit="4" topLeftCell="G20" activePane="bottomRight" state="frozen"/>
      <selection pane="topRight" activeCell="G1" sqref="G1"/>
      <selection pane="bottomLeft" activeCell="A5" sqref="A5"/>
      <selection pane="bottomRight" activeCell="J24" sqref="J24"/>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114</v>
      </c>
      <c r="H4" s="13">
        <v>33</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1</v>
      </c>
      <c r="B5" s="49" t="s">
        <v>121</v>
      </c>
      <c r="C5" s="49" t="s">
        <v>122</v>
      </c>
      <c r="D5" s="49" t="s">
        <v>123</v>
      </c>
      <c r="E5" s="50" t="s">
        <v>124</v>
      </c>
      <c r="F5" s="15">
        <v>1199044</v>
      </c>
      <c r="G5" s="16">
        <f>IF(F5="","",$G$4)</f>
        <v>114</v>
      </c>
      <c r="H5" s="16">
        <f>IF(F5="","",$H$4)</f>
        <v>33</v>
      </c>
      <c r="I5" s="17"/>
      <c r="J5" s="17"/>
      <c r="K5" s="17"/>
      <c r="L5" s="17"/>
      <c r="M5" s="17"/>
      <c r="N5" s="17"/>
      <c r="O5" s="17"/>
      <c r="P5" s="18" t="str">
        <f t="shared" ref="P5:P36" si="0">IFERROR(AVERAGE(J5:O5),"")</f>
        <v/>
      </c>
      <c r="Q5" s="17"/>
      <c r="R5" s="19" t="str">
        <f t="shared" ref="R5:R36" si="1">IF(Q5="",P5,IF(P5="",Q5,P5*40/100+Q5*60/100))</f>
        <v/>
      </c>
      <c r="S5" s="17"/>
      <c r="T5" s="17"/>
      <c r="U5" s="20">
        <v>3</v>
      </c>
      <c r="V5" s="57">
        <f>IF(U5="","",((H5/2)-U5)*100/(H5/2))</f>
        <v>81.818181818181813</v>
      </c>
      <c r="W5" s="17"/>
      <c r="X5" s="17"/>
      <c r="Y5" s="17"/>
      <c r="Z5" s="17"/>
      <c r="AA5" s="17"/>
      <c r="AB5" s="17"/>
      <c r="AC5" s="18" t="str">
        <f t="shared" ref="AC5:AC54" si="2">IFERROR(AVERAGE(W5:AB5),"")</f>
        <v/>
      </c>
      <c r="AD5" s="17"/>
      <c r="AE5" s="19" t="str">
        <f t="shared" ref="AE5:AE54" si="3">IF(AD5="",AC5,IF(AC5="",AD5,AC5*40/100+AD5*60/100))</f>
        <v/>
      </c>
      <c r="AF5" s="17"/>
      <c r="AG5" s="17"/>
      <c r="AH5" s="60">
        <v>0</v>
      </c>
      <c r="AI5" s="66">
        <f>IF(AH5="","",((H5/2)-AH5)*100/(H5/2))</f>
        <v>100</v>
      </c>
      <c r="AJ5" s="62" t="str">
        <f>IFERROR(AVERAGE(P5,AC5),"")</f>
        <v/>
      </c>
      <c r="AK5" s="18" t="str">
        <f>IFERROR(AVERAGE(Q5,AD5),"")</f>
        <v/>
      </c>
      <c r="AL5" s="19" t="str">
        <f>IFERROR(AVERAGE(R5,AE5),"")</f>
        <v/>
      </c>
      <c r="AM5" s="21" t="str">
        <f>IF(AL5&lt;=30,2,IF(AL5&lt;=60,3,IF(AL5&lt;=80,4,IF(AL5&lt;=100,5,""))))</f>
        <v/>
      </c>
      <c r="AN5" s="18" t="str">
        <f>IFERROR(AVERAGE(S5,T5,AF5,AG5),"")</f>
        <v/>
      </c>
      <c r="AO5" s="17"/>
      <c r="AP5" s="25">
        <f>IF(C5="","",(U5+AH5))</f>
        <v>3</v>
      </c>
      <c r="AQ5" s="26">
        <f>IF(AP5="","",(H5-AP5)*100/H5)</f>
        <v>90.909090909090907</v>
      </c>
    </row>
    <row r="6" spans="1:43" ht="18.2" customHeight="1" thickBot="1" x14ac:dyDescent="0.3">
      <c r="A6" s="49">
        <v>1</v>
      </c>
      <c r="B6" s="49" t="s">
        <v>121</v>
      </c>
      <c r="C6" s="49" t="s">
        <v>125</v>
      </c>
      <c r="D6" s="49" t="s">
        <v>126</v>
      </c>
      <c r="E6" s="50" t="s">
        <v>127</v>
      </c>
      <c r="F6" s="15">
        <v>1199044</v>
      </c>
      <c r="G6" s="1">
        <f t="shared" ref="G6:G54" si="4">IF(F6="","",$G$4)</f>
        <v>114</v>
      </c>
      <c r="H6" s="1">
        <f t="shared" ref="H6:H54" si="5">IF(F6="","",$H$4)</f>
        <v>33</v>
      </c>
      <c r="I6" s="12"/>
      <c r="J6" s="12"/>
      <c r="K6" s="12"/>
      <c r="L6" s="12"/>
      <c r="M6" s="12"/>
      <c r="N6" s="12"/>
      <c r="O6" s="12"/>
      <c r="P6" s="2" t="str">
        <f t="shared" si="0"/>
        <v/>
      </c>
      <c r="Q6" s="12"/>
      <c r="R6" s="3" t="str">
        <f t="shared" si="1"/>
        <v/>
      </c>
      <c r="S6" s="12"/>
      <c r="T6" s="12"/>
      <c r="U6" s="55">
        <v>0</v>
      </c>
      <c r="V6" s="58">
        <f>IF(U6="","",((H6/2)-U6)*100/(H6/2))</f>
        <v>100</v>
      </c>
      <c r="W6" s="56"/>
      <c r="X6" s="12"/>
      <c r="Y6" s="12"/>
      <c r="Z6" s="12"/>
      <c r="AA6" s="12"/>
      <c r="AB6" s="12"/>
      <c r="AC6" s="2" t="str">
        <f t="shared" si="2"/>
        <v/>
      </c>
      <c r="AD6" s="12"/>
      <c r="AE6" s="3" t="str">
        <f t="shared" si="3"/>
        <v/>
      </c>
      <c r="AF6" s="12"/>
      <c r="AG6" s="12"/>
      <c r="AH6" s="55">
        <v>0</v>
      </c>
      <c r="AI6" s="58">
        <f t="shared" ref="AI6:AI54" si="6">IF(AH6="","",((H6/2)-AH6)*100/(H6/2))</f>
        <v>100</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f t="shared" ref="AQ6:AQ54" si="13">IF(AP6="","",(H6-AP6)*100/H6)</f>
        <v>100</v>
      </c>
    </row>
    <row r="7" spans="1:43" ht="18.2" customHeight="1" thickBot="1" x14ac:dyDescent="0.3">
      <c r="A7" s="49">
        <v>1</v>
      </c>
      <c r="B7" s="49" t="s">
        <v>121</v>
      </c>
      <c r="C7" s="49" t="s">
        <v>128</v>
      </c>
      <c r="D7" s="49" t="s">
        <v>129</v>
      </c>
      <c r="E7" s="50" t="s">
        <v>130</v>
      </c>
      <c r="F7" s="15">
        <v>1199044</v>
      </c>
      <c r="G7" s="1">
        <f t="shared" si="4"/>
        <v>114</v>
      </c>
      <c r="H7" s="1">
        <f t="shared" si="5"/>
        <v>33</v>
      </c>
      <c r="I7" s="12"/>
      <c r="J7" s="12"/>
      <c r="K7" s="12"/>
      <c r="L7" s="12"/>
      <c r="M7" s="12"/>
      <c r="N7" s="12"/>
      <c r="O7" s="12"/>
      <c r="P7" s="2" t="str">
        <f t="shared" si="0"/>
        <v/>
      </c>
      <c r="Q7" s="12"/>
      <c r="R7" s="3" t="str">
        <f t="shared" si="1"/>
        <v/>
      </c>
      <c r="S7" s="12"/>
      <c r="T7" s="12"/>
      <c r="U7" s="55">
        <v>0</v>
      </c>
      <c r="V7" s="58">
        <f t="shared" ref="V7:V54" si="14">IF(U7="","",((H7/2)-U7)*100/(H7/2))</f>
        <v>100</v>
      </c>
      <c r="W7" s="56"/>
      <c r="X7" s="12"/>
      <c r="Y7" s="12"/>
      <c r="Z7" s="12"/>
      <c r="AA7" s="12"/>
      <c r="AB7" s="12"/>
      <c r="AC7" s="2" t="str">
        <f t="shared" si="2"/>
        <v/>
      </c>
      <c r="AD7" s="12"/>
      <c r="AE7" s="3" t="str">
        <f t="shared" si="3"/>
        <v/>
      </c>
      <c r="AF7" s="12"/>
      <c r="AG7" s="12"/>
      <c r="AH7" s="55">
        <v>0</v>
      </c>
      <c r="AI7" s="58">
        <f t="shared" si="6"/>
        <v>100</v>
      </c>
      <c r="AJ7" s="63" t="str">
        <f>IFERROR(AVERAGE(P7,AC7),"")</f>
        <v/>
      </c>
      <c r="AK7" s="2" t="str">
        <f t="shared" si="8"/>
        <v/>
      </c>
      <c r="AL7" s="3" t="str">
        <f t="shared" si="9"/>
        <v/>
      </c>
      <c r="AM7" s="4" t="str">
        <f t="shared" si="10"/>
        <v/>
      </c>
      <c r="AN7" s="2" t="str">
        <f t="shared" si="11"/>
        <v/>
      </c>
      <c r="AO7" s="12"/>
      <c r="AP7" s="5">
        <f t="shared" si="12"/>
        <v>0</v>
      </c>
      <c r="AQ7" s="28">
        <f t="shared" si="13"/>
        <v>100</v>
      </c>
    </row>
    <row r="8" spans="1:43" ht="18.2" customHeight="1" thickBot="1" x14ac:dyDescent="0.3">
      <c r="A8" s="49">
        <v>1</v>
      </c>
      <c r="B8" s="49" t="s">
        <v>121</v>
      </c>
      <c r="C8" s="49" t="s">
        <v>131</v>
      </c>
      <c r="D8" s="49" t="s">
        <v>132</v>
      </c>
      <c r="E8" s="50" t="s">
        <v>133</v>
      </c>
      <c r="F8" s="15">
        <v>1199044</v>
      </c>
      <c r="G8" s="1">
        <f t="shared" si="4"/>
        <v>114</v>
      </c>
      <c r="H8" s="1">
        <f t="shared" si="5"/>
        <v>33</v>
      </c>
      <c r="I8" s="12"/>
      <c r="J8" s="12"/>
      <c r="K8" s="12"/>
      <c r="L8" s="12"/>
      <c r="M8" s="12"/>
      <c r="N8" s="12"/>
      <c r="O8" s="12"/>
      <c r="P8" s="2" t="str">
        <f t="shared" si="0"/>
        <v/>
      </c>
      <c r="Q8" s="12"/>
      <c r="R8" s="3" t="str">
        <f t="shared" si="1"/>
        <v/>
      </c>
      <c r="S8" s="12"/>
      <c r="T8" s="12"/>
      <c r="U8" s="55">
        <v>0</v>
      </c>
      <c r="V8" s="58">
        <f t="shared" si="14"/>
        <v>100</v>
      </c>
      <c r="W8" s="56"/>
      <c r="X8" s="12"/>
      <c r="Y8" s="12"/>
      <c r="Z8" s="12"/>
      <c r="AA8" s="12"/>
      <c r="AB8" s="12"/>
      <c r="AC8" s="2" t="str">
        <f t="shared" si="2"/>
        <v/>
      </c>
      <c r="AD8" s="12"/>
      <c r="AE8" s="3" t="str">
        <f t="shared" si="3"/>
        <v/>
      </c>
      <c r="AF8" s="12"/>
      <c r="AG8" s="12"/>
      <c r="AH8" s="55">
        <v>0</v>
      </c>
      <c r="AI8" s="58">
        <f t="shared" si="6"/>
        <v>100</v>
      </c>
      <c r="AJ8" s="63" t="str">
        <f t="shared" si="7"/>
        <v/>
      </c>
      <c r="AK8" s="2" t="str">
        <f t="shared" si="8"/>
        <v/>
      </c>
      <c r="AL8" s="3" t="str">
        <f t="shared" si="9"/>
        <v/>
      </c>
      <c r="AM8" s="4" t="str">
        <f t="shared" si="10"/>
        <v/>
      </c>
      <c r="AN8" s="2" t="str">
        <f t="shared" si="11"/>
        <v/>
      </c>
      <c r="AO8" s="12"/>
      <c r="AP8" s="5">
        <f t="shared" si="12"/>
        <v>0</v>
      </c>
      <c r="AQ8" s="28">
        <f t="shared" si="13"/>
        <v>100</v>
      </c>
    </row>
    <row r="9" spans="1:43" ht="18.2" customHeight="1" thickBot="1" x14ac:dyDescent="0.3">
      <c r="A9" s="49">
        <v>1</v>
      </c>
      <c r="B9" s="49" t="s">
        <v>121</v>
      </c>
      <c r="C9" s="49" t="s">
        <v>134</v>
      </c>
      <c r="D9" s="49" t="s">
        <v>135</v>
      </c>
      <c r="E9" s="50" t="s">
        <v>136</v>
      </c>
      <c r="F9" s="15">
        <v>1199044</v>
      </c>
      <c r="G9" s="1">
        <f t="shared" si="4"/>
        <v>114</v>
      </c>
      <c r="H9" s="1">
        <f t="shared" si="5"/>
        <v>33</v>
      </c>
      <c r="I9" s="12"/>
      <c r="J9" s="12"/>
      <c r="K9" s="12"/>
      <c r="L9" s="12"/>
      <c r="M9" s="12"/>
      <c r="N9" s="12"/>
      <c r="O9" s="12"/>
      <c r="P9" s="2" t="str">
        <f t="shared" si="0"/>
        <v/>
      </c>
      <c r="Q9" s="12"/>
      <c r="R9" s="3" t="str">
        <f t="shared" si="1"/>
        <v/>
      </c>
      <c r="S9" s="12"/>
      <c r="T9" s="12"/>
      <c r="U9" s="55">
        <v>0</v>
      </c>
      <c r="V9" s="58">
        <f t="shared" si="14"/>
        <v>100</v>
      </c>
      <c r="W9" s="56"/>
      <c r="X9" s="12"/>
      <c r="Y9" s="12"/>
      <c r="Z9" s="12"/>
      <c r="AA9" s="12"/>
      <c r="AB9" s="12"/>
      <c r="AC9" s="2" t="str">
        <f t="shared" si="2"/>
        <v/>
      </c>
      <c r="AD9" s="12"/>
      <c r="AE9" s="3" t="str">
        <f t="shared" si="3"/>
        <v/>
      </c>
      <c r="AF9" s="12"/>
      <c r="AG9" s="12"/>
      <c r="AH9" s="55">
        <v>0</v>
      </c>
      <c r="AI9" s="58">
        <f t="shared" si="6"/>
        <v>100</v>
      </c>
      <c r="AJ9" s="63" t="str">
        <f t="shared" si="7"/>
        <v/>
      </c>
      <c r="AK9" s="2" t="str">
        <f t="shared" si="8"/>
        <v/>
      </c>
      <c r="AL9" s="3" t="str">
        <f t="shared" si="9"/>
        <v/>
      </c>
      <c r="AM9" s="4" t="str">
        <f t="shared" si="10"/>
        <v/>
      </c>
      <c r="AN9" s="2" t="str">
        <f t="shared" si="11"/>
        <v/>
      </c>
      <c r="AO9" s="12"/>
      <c r="AP9" s="5">
        <f t="shared" si="12"/>
        <v>0</v>
      </c>
      <c r="AQ9" s="28">
        <f t="shared" si="13"/>
        <v>100</v>
      </c>
    </row>
    <row r="10" spans="1:43" ht="18.2" customHeight="1" thickBot="1" x14ac:dyDescent="0.3">
      <c r="A10" s="49">
        <v>1</v>
      </c>
      <c r="B10" s="49" t="s">
        <v>121</v>
      </c>
      <c r="C10" s="49" t="s">
        <v>137</v>
      </c>
      <c r="D10" s="49" t="s">
        <v>138</v>
      </c>
      <c r="E10" s="50" t="s">
        <v>139</v>
      </c>
      <c r="F10" s="15">
        <v>1199044</v>
      </c>
      <c r="G10" s="1">
        <f t="shared" si="4"/>
        <v>114</v>
      </c>
      <c r="H10" s="1">
        <f t="shared" si="5"/>
        <v>33</v>
      </c>
      <c r="I10" s="12"/>
      <c r="J10" s="12"/>
      <c r="K10" s="12"/>
      <c r="L10" s="12"/>
      <c r="M10" s="12"/>
      <c r="N10" s="12"/>
      <c r="O10" s="12"/>
      <c r="P10" s="2" t="str">
        <f t="shared" si="0"/>
        <v/>
      </c>
      <c r="Q10" s="12"/>
      <c r="R10" s="3" t="str">
        <f t="shared" si="1"/>
        <v/>
      </c>
      <c r="S10" s="12"/>
      <c r="T10" s="12"/>
      <c r="U10" s="55">
        <v>0</v>
      </c>
      <c r="V10" s="58">
        <f t="shared" si="14"/>
        <v>100</v>
      </c>
      <c r="W10" s="56"/>
      <c r="X10" s="12"/>
      <c r="Y10" s="12"/>
      <c r="Z10" s="12"/>
      <c r="AA10" s="12"/>
      <c r="AB10" s="12"/>
      <c r="AC10" s="2" t="str">
        <f t="shared" si="2"/>
        <v/>
      </c>
      <c r="AD10" s="12"/>
      <c r="AE10" s="3" t="str">
        <f t="shared" si="3"/>
        <v/>
      </c>
      <c r="AF10" s="12"/>
      <c r="AG10" s="12"/>
      <c r="AH10" s="55">
        <v>0</v>
      </c>
      <c r="AI10" s="58">
        <f t="shared" si="6"/>
        <v>100</v>
      </c>
      <c r="AJ10" s="63" t="str">
        <f t="shared" si="7"/>
        <v/>
      </c>
      <c r="AK10" s="2" t="str">
        <f t="shared" si="8"/>
        <v/>
      </c>
      <c r="AL10" s="3" t="str">
        <f t="shared" si="9"/>
        <v/>
      </c>
      <c r="AM10" s="4" t="str">
        <f t="shared" si="10"/>
        <v/>
      </c>
      <c r="AN10" s="2" t="str">
        <f t="shared" si="11"/>
        <v/>
      </c>
      <c r="AO10" s="12"/>
      <c r="AP10" s="5">
        <f t="shared" si="12"/>
        <v>0</v>
      </c>
      <c r="AQ10" s="28">
        <f t="shared" si="13"/>
        <v>100</v>
      </c>
    </row>
    <row r="11" spans="1:43" ht="18.2" customHeight="1" thickBot="1" x14ac:dyDescent="0.3">
      <c r="A11" s="49">
        <v>1</v>
      </c>
      <c r="B11" s="49" t="s">
        <v>121</v>
      </c>
      <c r="C11" s="49" t="s">
        <v>140</v>
      </c>
      <c r="D11" s="49" t="s">
        <v>141</v>
      </c>
      <c r="E11" s="50" t="s">
        <v>142</v>
      </c>
      <c r="F11" s="15">
        <v>1199044</v>
      </c>
      <c r="G11" s="1">
        <f t="shared" si="4"/>
        <v>114</v>
      </c>
      <c r="H11" s="1">
        <f t="shared" si="5"/>
        <v>33</v>
      </c>
      <c r="I11" s="12"/>
      <c r="J11" s="12"/>
      <c r="K11" s="12"/>
      <c r="L11" s="12"/>
      <c r="M11" s="12"/>
      <c r="N11" s="12"/>
      <c r="O11" s="12"/>
      <c r="P11" s="2" t="str">
        <f t="shared" si="0"/>
        <v/>
      </c>
      <c r="Q11" s="12"/>
      <c r="R11" s="3" t="str">
        <f t="shared" si="1"/>
        <v/>
      </c>
      <c r="S11" s="12"/>
      <c r="T11" s="12"/>
      <c r="U11" s="55">
        <v>0</v>
      </c>
      <c r="V11" s="58">
        <f t="shared" si="14"/>
        <v>100</v>
      </c>
      <c r="W11" s="56"/>
      <c r="X11" s="12"/>
      <c r="Y11" s="12"/>
      <c r="Z11" s="12"/>
      <c r="AA11" s="12"/>
      <c r="AB11" s="12"/>
      <c r="AC11" s="2" t="str">
        <f t="shared" si="2"/>
        <v/>
      </c>
      <c r="AD11" s="12"/>
      <c r="AE11" s="3" t="str">
        <f t="shared" si="3"/>
        <v/>
      </c>
      <c r="AF11" s="12"/>
      <c r="AG11" s="12"/>
      <c r="AH11" s="55">
        <v>0</v>
      </c>
      <c r="AI11" s="58">
        <f t="shared" si="6"/>
        <v>100</v>
      </c>
      <c r="AJ11" s="63" t="str">
        <f t="shared" si="7"/>
        <v/>
      </c>
      <c r="AK11" s="2" t="str">
        <f t="shared" si="8"/>
        <v/>
      </c>
      <c r="AL11" s="3" t="str">
        <f t="shared" si="9"/>
        <v/>
      </c>
      <c r="AM11" s="4" t="str">
        <f t="shared" si="10"/>
        <v/>
      </c>
      <c r="AN11" s="2" t="str">
        <f t="shared" si="11"/>
        <v/>
      </c>
      <c r="AO11" s="12"/>
      <c r="AP11" s="5">
        <f t="shared" si="12"/>
        <v>0</v>
      </c>
      <c r="AQ11" s="28">
        <f t="shared" si="13"/>
        <v>100</v>
      </c>
    </row>
    <row r="12" spans="1:43" ht="18.2" customHeight="1" thickBot="1" x14ac:dyDescent="0.3">
      <c r="A12" s="49">
        <v>1</v>
      </c>
      <c r="B12" s="49" t="s">
        <v>121</v>
      </c>
      <c r="C12" s="49" t="s">
        <v>143</v>
      </c>
      <c r="D12" s="49" t="s">
        <v>144</v>
      </c>
      <c r="E12" s="50" t="s">
        <v>145</v>
      </c>
      <c r="F12" s="15">
        <v>1199044</v>
      </c>
      <c r="G12" s="1">
        <f t="shared" si="4"/>
        <v>114</v>
      </c>
      <c r="H12" s="1">
        <f t="shared" si="5"/>
        <v>33</v>
      </c>
      <c r="I12" s="12"/>
      <c r="J12" s="12"/>
      <c r="K12" s="12"/>
      <c r="L12" s="12"/>
      <c r="M12" s="12"/>
      <c r="N12" s="12"/>
      <c r="O12" s="12"/>
      <c r="P12" s="2" t="str">
        <f t="shared" si="0"/>
        <v/>
      </c>
      <c r="Q12" s="12"/>
      <c r="R12" s="3" t="str">
        <f t="shared" si="1"/>
        <v/>
      </c>
      <c r="S12" s="12"/>
      <c r="T12" s="12"/>
      <c r="U12" s="55">
        <v>0</v>
      </c>
      <c r="V12" s="58">
        <f t="shared" si="14"/>
        <v>100</v>
      </c>
      <c r="W12" s="56"/>
      <c r="X12" s="12"/>
      <c r="Y12" s="12"/>
      <c r="Z12" s="12"/>
      <c r="AA12" s="12"/>
      <c r="AB12" s="12"/>
      <c r="AC12" s="2" t="str">
        <f t="shared" si="2"/>
        <v/>
      </c>
      <c r="AD12" s="12"/>
      <c r="AE12" s="3" t="str">
        <f t="shared" si="3"/>
        <v/>
      </c>
      <c r="AF12" s="12"/>
      <c r="AG12" s="12"/>
      <c r="AH12" s="55">
        <v>0</v>
      </c>
      <c r="AI12" s="58">
        <f t="shared" si="6"/>
        <v>100</v>
      </c>
      <c r="AJ12" s="63" t="str">
        <f t="shared" si="7"/>
        <v/>
      </c>
      <c r="AK12" s="2" t="str">
        <f t="shared" si="8"/>
        <v/>
      </c>
      <c r="AL12" s="3" t="str">
        <f t="shared" si="9"/>
        <v/>
      </c>
      <c r="AM12" s="4" t="str">
        <f t="shared" si="10"/>
        <v/>
      </c>
      <c r="AN12" s="2" t="str">
        <f t="shared" si="11"/>
        <v/>
      </c>
      <c r="AO12" s="12"/>
      <c r="AP12" s="5">
        <f t="shared" si="12"/>
        <v>0</v>
      </c>
      <c r="AQ12" s="28">
        <f t="shared" si="13"/>
        <v>100</v>
      </c>
    </row>
    <row r="13" spans="1:43" ht="18.2" customHeight="1" thickBot="1" x14ac:dyDescent="0.3">
      <c r="A13" s="49">
        <v>1</v>
      </c>
      <c r="B13" s="49" t="s">
        <v>121</v>
      </c>
      <c r="C13" s="49" t="s">
        <v>146</v>
      </c>
      <c r="D13" s="49" t="s">
        <v>147</v>
      </c>
      <c r="E13" s="50" t="s">
        <v>148</v>
      </c>
      <c r="F13" s="15">
        <v>1199044</v>
      </c>
      <c r="G13" s="1">
        <f t="shared" si="4"/>
        <v>114</v>
      </c>
      <c r="H13" s="1">
        <f t="shared" si="5"/>
        <v>33</v>
      </c>
      <c r="I13" s="12"/>
      <c r="J13" s="12"/>
      <c r="K13" s="12"/>
      <c r="L13" s="12"/>
      <c r="M13" s="12"/>
      <c r="N13" s="12"/>
      <c r="O13" s="12"/>
      <c r="P13" s="2" t="str">
        <f t="shared" si="0"/>
        <v/>
      </c>
      <c r="Q13" s="12"/>
      <c r="R13" s="3" t="str">
        <f t="shared" si="1"/>
        <v/>
      </c>
      <c r="S13" s="12"/>
      <c r="T13" s="12"/>
      <c r="U13" s="55">
        <v>0</v>
      </c>
      <c r="V13" s="58">
        <f t="shared" si="14"/>
        <v>100</v>
      </c>
      <c r="W13" s="56"/>
      <c r="X13" s="12"/>
      <c r="Y13" s="12"/>
      <c r="Z13" s="12"/>
      <c r="AA13" s="12"/>
      <c r="AB13" s="12"/>
      <c r="AC13" s="2" t="str">
        <f t="shared" si="2"/>
        <v/>
      </c>
      <c r="AD13" s="12"/>
      <c r="AE13" s="3" t="str">
        <f t="shared" si="3"/>
        <v/>
      </c>
      <c r="AF13" s="12"/>
      <c r="AG13" s="12"/>
      <c r="AH13" s="55">
        <v>0</v>
      </c>
      <c r="AI13" s="58">
        <f t="shared" si="6"/>
        <v>100</v>
      </c>
      <c r="AJ13" s="63" t="str">
        <f t="shared" si="7"/>
        <v/>
      </c>
      <c r="AK13" s="2" t="str">
        <f t="shared" si="8"/>
        <v/>
      </c>
      <c r="AL13" s="3" t="str">
        <f t="shared" si="9"/>
        <v/>
      </c>
      <c r="AM13" s="4" t="str">
        <f t="shared" si="10"/>
        <v/>
      </c>
      <c r="AN13" s="2" t="str">
        <f t="shared" si="11"/>
        <v/>
      </c>
      <c r="AO13" s="12"/>
      <c r="AP13" s="5">
        <f t="shared" si="12"/>
        <v>0</v>
      </c>
      <c r="AQ13" s="28">
        <f t="shared" si="13"/>
        <v>100</v>
      </c>
    </row>
    <row r="14" spans="1:43" ht="18.2" customHeight="1" thickBot="1" x14ac:dyDescent="0.3">
      <c r="A14" s="49">
        <v>1</v>
      </c>
      <c r="B14" s="49" t="s">
        <v>121</v>
      </c>
      <c r="C14" s="49" t="s">
        <v>149</v>
      </c>
      <c r="D14" s="49" t="s">
        <v>150</v>
      </c>
      <c r="E14" s="50" t="s">
        <v>151</v>
      </c>
      <c r="F14" s="15">
        <v>1199044</v>
      </c>
      <c r="G14" s="1">
        <f t="shared" si="4"/>
        <v>114</v>
      </c>
      <c r="H14" s="1">
        <f t="shared" si="5"/>
        <v>33</v>
      </c>
      <c r="I14" s="12"/>
      <c r="J14" s="12"/>
      <c r="K14" s="12"/>
      <c r="L14" s="12"/>
      <c r="M14" s="12"/>
      <c r="N14" s="12"/>
      <c r="O14" s="12"/>
      <c r="P14" s="2" t="str">
        <f t="shared" si="0"/>
        <v/>
      </c>
      <c r="Q14" s="12"/>
      <c r="R14" s="3" t="str">
        <f t="shared" si="1"/>
        <v/>
      </c>
      <c r="S14" s="12"/>
      <c r="T14" s="12"/>
      <c r="U14" s="55">
        <v>0</v>
      </c>
      <c r="V14" s="58">
        <f t="shared" si="14"/>
        <v>100</v>
      </c>
      <c r="W14" s="56"/>
      <c r="X14" s="12"/>
      <c r="Y14" s="12"/>
      <c r="Z14" s="12"/>
      <c r="AA14" s="12"/>
      <c r="AB14" s="12"/>
      <c r="AC14" s="2" t="str">
        <f t="shared" si="2"/>
        <v/>
      </c>
      <c r="AD14" s="12"/>
      <c r="AE14" s="3" t="str">
        <f t="shared" si="3"/>
        <v/>
      </c>
      <c r="AF14" s="12"/>
      <c r="AG14" s="12"/>
      <c r="AH14" s="55">
        <v>0</v>
      </c>
      <c r="AI14" s="58">
        <f t="shared" si="6"/>
        <v>100</v>
      </c>
      <c r="AJ14" s="63" t="str">
        <f t="shared" si="7"/>
        <v/>
      </c>
      <c r="AK14" s="2" t="str">
        <f t="shared" si="8"/>
        <v/>
      </c>
      <c r="AL14" s="3" t="str">
        <f t="shared" si="9"/>
        <v/>
      </c>
      <c r="AM14" s="4" t="str">
        <f t="shared" si="10"/>
        <v/>
      </c>
      <c r="AN14" s="2" t="str">
        <f t="shared" si="11"/>
        <v/>
      </c>
      <c r="AO14" s="12"/>
      <c r="AP14" s="5">
        <f t="shared" si="12"/>
        <v>0</v>
      </c>
      <c r="AQ14" s="28">
        <f t="shared" si="13"/>
        <v>100</v>
      </c>
    </row>
    <row r="15" spans="1:43" ht="18.2" customHeight="1" thickBot="1" x14ac:dyDescent="0.3">
      <c r="A15" s="49">
        <v>1</v>
      </c>
      <c r="B15" s="49" t="s">
        <v>121</v>
      </c>
      <c r="C15" s="49" t="s">
        <v>149</v>
      </c>
      <c r="D15" s="49" t="s">
        <v>152</v>
      </c>
      <c r="E15" s="50" t="s">
        <v>153</v>
      </c>
      <c r="F15" s="15">
        <v>1199044</v>
      </c>
      <c r="G15" s="1">
        <f t="shared" si="4"/>
        <v>114</v>
      </c>
      <c r="H15" s="1">
        <f t="shared" si="5"/>
        <v>33</v>
      </c>
      <c r="I15" s="12"/>
      <c r="J15" s="12"/>
      <c r="K15" s="12"/>
      <c r="L15" s="12"/>
      <c r="M15" s="12"/>
      <c r="N15" s="12"/>
      <c r="O15" s="12"/>
      <c r="P15" s="2" t="str">
        <f t="shared" si="0"/>
        <v/>
      </c>
      <c r="Q15" s="12"/>
      <c r="R15" s="3" t="str">
        <f t="shared" si="1"/>
        <v/>
      </c>
      <c r="S15" s="12"/>
      <c r="T15" s="12"/>
      <c r="U15" s="55">
        <v>0</v>
      </c>
      <c r="V15" s="58">
        <f t="shared" si="14"/>
        <v>100</v>
      </c>
      <c r="W15" s="56"/>
      <c r="X15" s="12"/>
      <c r="Y15" s="12"/>
      <c r="Z15" s="12"/>
      <c r="AA15" s="12"/>
      <c r="AB15" s="12"/>
      <c r="AC15" s="2" t="str">
        <f t="shared" si="2"/>
        <v/>
      </c>
      <c r="AD15" s="12"/>
      <c r="AE15" s="3" t="str">
        <f t="shared" si="3"/>
        <v/>
      </c>
      <c r="AF15" s="12"/>
      <c r="AG15" s="12"/>
      <c r="AH15" s="55">
        <v>0</v>
      </c>
      <c r="AI15" s="58">
        <f t="shared" si="6"/>
        <v>100</v>
      </c>
      <c r="AJ15" s="63" t="str">
        <f t="shared" si="7"/>
        <v/>
      </c>
      <c r="AK15" s="2" t="str">
        <f t="shared" si="8"/>
        <v/>
      </c>
      <c r="AL15" s="3" t="str">
        <f t="shared" si="9"/>
        <v/>
      </c>
      <c r="AM15" s="4" t="str">
        <f t="shared" si="10"/>
        <v/>
      </c>
      <c r="AN15" s="2" t="str">
        <f t="shared" si="11"/>
        <v/>
      </c>
      <c r="AO15" s="12"/>
      <c r="AP15" s="5">
        <f t="shared" si="12"/>
        <v>0</v>
      </c>
      <c r="AQ15" s="28">
        <f t="shared" si="13"/>
        <v>100</v>
      </c>
    </row>
    <row r="16" spans="1:43" ht="18.2" customHeight="1" thickBot="1" x14ac:dyDescent="0.3">
      <c r="A16" s="49">
        <v>1</v>
      </c>
      <c r="B16" s="49" t="s">
        <v>121</v>
      </c>
      <c r="C16" s="49" t="s">
        <v>154</v>
      </c>
      <c r="D16" s="49" t="s">
        <v>155</v>
      </c>
      <c r="E16" s="50" t="s">
        <v>156</v>
      </c>
      <c r="F16" s="15">
        <v>1199044</v>
      </c>
      <c r="G16" s="1">
        <f t="shared" si="4"/>
        <v>114</v>
      </c>
      <c r="H16" s="1">
        <f t="shared" si="5"/>
        <v>33</v>
      </c>
      <c r="I16" s="12"/>
      <c r="J16" s="12"/>
      <c r="K16" s="12"/>
      <c r="L16" s="12"/>
      <c r="M16" s="12"/>
      <c r="N16" s="12"/>
      <c r="O16" s="12"/>
      <c r="P16" s="2" t="str">
        <f t="shared" si="0"/>
        <v/>
      </c>
      <c r="Q16" s="12"/>
      <c r="R16" s="3" t="str">
        <f t="shared" si="1"/>
        <v/>
      </c>
      <c r="S16" s="12"/>
      <c r="T16" s="12"/>
      <c r="U16" s="55">
        <v>0</v>
      </c>
      <c r="V16" s="58">
        <f t="shared" si="14"/>
        <v>100</v>
      </c>
      <c r="W16" s="56"/>
      <c r="X16" s="12"/>
      <c r="Y16" s="12"/>
      <c r="Z16" s="12"/>
      <c r="AA16" s="12"/>
      <c r="AB16" s="12"/>
      <c r="AC16" s="2" t="str">
        <f t="shared" si="2"/>
        <v/>
      </c>
      <c r="AD16" s="12"/>
      <c r="AE16" s="3" t="str">
        <f t="shared" si="3"/>
        <v/>
      </c>
      <c r="AF16" s="12"/>
      <c r="AG16" s="12"/>
      <c r="AH16" s="55">
        <v>0</v>
      </c>
      <c r="AI16" s="58">
        <f t="shared" si="6"/>
        <v>100</v>
      </c>
      <c r="AJ16" s="63" t="str">
        <f t="shared" si="7"/>
        <v/>
      </c>
      <c r="AK16" s="2" t="str">
        <f t="shared" si="8"/>
        <v/>
      </c>
      <c r="AL16" s="3" t="str">
        <f t="shared" si="9"/>
        <v/>
      </c>
      <c r="AM16" s="4" t="str">
        <f t="shared" si="10"/>
        <v/>
      </c>
      <c r="AN16" s="2" t="str">
        <f t="shared" si="11"/>
        <v/>
      </c>
      <c r="AO16" s="12"/>
      <c r="AP16" s="5">
        <f t="shared" si="12"/>
        <v>0</v>
      </c>
      <c r="AQ16" s="28">
        <f t="shared" si="13"/>
        <v>100</v>
      </c>
    </row>
    <row r="17" spans="1:43" ht="18.2" customHeight="1" thickBot="1" x14ac:dyDescent="0.3">
      <c r="A17" s="49">
        <v>1</v>
      </c>
      <c r="B17" s="49" t="s">
        <v>121</v>
      </c>
      <c r="C17" s="49" t="s">
        <v>157</v>
      </c>
      <c r="D17" s="49" t="s">
        <v>158</v>
      </c>
      <c r="E17" s="50" t="s">
        <v>159</v>
      </c>
      <c r="F17" s="15">
        <v>1199044</v>
      </c>
      <c r="G17" s="1">
        <f t="shared" si="4"/>
        <v>114</v>
      </c>
      <c r="H17" s="1">
        <f t="shared" si="5"/>
        <v>33</v>
      </c>
      <c r="I17" s="12"/>
      <c r="J17" s="12"/>
      <c r="K17" s="12"/>
      <c r="L17" s="12"/>
      <c r="M17" s="12"/>
      <c r="N17" s="12"/>
      <c r="O17" s="12"/>
      <c r="P17" s="2" t="str">
        <f t="shared" si="0"/>
        <v/>
      </c>
      <c r="Q17" s="12"/>
      <c r="R17" s="3" t="str">
        <f t="shared" si="1"/>
        <v/>
      </c>
      <c r="S17" s="12"/>
      <c r="T17" s="12"/>
      <c r="U17" s="55">
        <v>0</v>
      </c>
      <c r="V17" s="58">
        <f t="shared" si="14"/>
        <v>100</v>
      </c>
      <c r="W17" s="56"/>
      <c r="X17" s="12"/>
      <c r="Y17" s="12"/>
      <c r="Z17" s="12"/>
      <c r="AA17" s="12"/>
      <c r="AB17" s="12"/>
      <c r="AC17" s="2" t="str">
        <f t="shared" si="2"/>
        <v/>
      </c>
      <c r="AD17" s="12"/>
      <c r="AE17" s="3" t="str">
        <f t="shared" si="3"/>
        <v/>
      </c>
      <c r="AF17" s="12"/>
      <c r="AG17" s="12"/>
      <c r="AH17" s="55">
        <v>0</v>
      </c>
      <c r="AI17" s="58">
        <f t="shared" si="6"/>
        <v>100</v>
      </c>
      <c r="AJ17" s="63" t="str">
        <f t="shared" si="7"/>
        <v/>
      </c>
      <c r="AK17" s="2" t="str">
        <f t="shared" si="8"/>
        <v/>
      </c>
      <c r="AL17" s="3" t="str">
        <f t="shared" si="9"/>
        <v/>
      </c>
      <c r="AM17" s="4" t="str">
        <f t="shared" si="10"/>
        <v/>
      </c>
      <c r="AN17" s="2" t="str">
        <f t="shared" si="11"/>
        <v/>
      </c>
      <c r="AO17" s="12"/>
      <c r="AP17" s="5">
        <f t="shared" si="12"/>
        <v>0</v>
      </c>
      <c r="AQ17" s="28">
        <f t="shared" si="13"/>
        <v>100</v>
      </c>
    </row>
    <row r="18" spans="1:43" ht="18.2" customHeight="1" thickBot="1" x14ac:dyDescent="0.3">
      <c r="A18" s="49">
        <v>1</v>
      </c>
      <c r="B18" s="49" t="s">
        <v>121</v>
      </c>
      <c r="C18" s="49" t="s">
        <v>160</v>
      </c>
      <c r="D18" s="49" t="s">
        <v>161</v>
      </c>
      <c r="E18" s="50" t="s">
        <v>162</v>
      </c>
      <c r="F18" s="15">
        <v>1199044</v>
      </c>
      <c r="G18" s="1">
        <f t="shared" si="4"/>
        <v>114</v>
      </c>
      <c r="H18" s="1">
        <f t="shared" si="5"/>
        <v>33</v>
      </c>
      <c r="I18" s="12"/>
      <c r="J18" s="12"/>
      <c r="K18" s="12"/>
      <c r="L18" s="12"/>
      <c r="M18" s="12"/>
      <c r="N18" s="12"/>
      <c r="O18" s="12"/>
      <c r="P18" s="2" t="str">
        <f t="shared" si="0"/>
        <v/>
      </c>
      <c r="Q18" s="12"/>
      <c r="R18" s="3" t="str">
        <f t="shared" si="1"/>
        <v/>
      </c>
      <c r="S18" s="12"/>
      <c r="T18" s="12"/>
      <c r="U18" s="55">
        <v>0</v>
      </c>
      <c r="V18" s="58">
        <f t="shared" si="14"/>
        <v>100</v>
      </c>
      <c r="W18" s="56"/>
      <c r="X18" s="12"/>
      <c r="Y18" s="12"/>
      <c r="Z18" s="12"/>
      <c r="AA18" s="12"/>
      <c r="AB18" s="12"/>
      <c r="AC18" s="2" t="str">
        <f t="shared" si="2"/>
        <v/>
      </c>
      <c r="AD18" s="12"/>
      <c r="AE18" s="3" t="str">
        <f t="shared" si="3"/>
        <v/>
      </c>
      <c r="AF18" s="12"/>
      <c r="AG18" s="12"/>
      <c r="AH18" s="55">
        <v>0</v>
      </c>
      <c r="AI18" s="58">
        <f t="shared" si="6"/>
        <v>100</v>
      </c>
      <c r="AJ18" s="63" t="str">
        <f t="shared" si="7"/>
        <v/>
      </c>
      <c r="AK18" s="2" t="str">
        <f t="shared" si="8"/>
        <v/>
      </c>
      <c r="AL18" s="3" t="str">
        <f t="shared" si="9"/>
        <v/>
      </c>
      <c r="AM18" s="4" t="str">
        <f t="shared" si="10"/>
        <v/>
      </c>
      <c r="AN18" s="2" t="str">
        <f t="shared" si="11"/>
        <v/>
      </c>
      <c r="AO18" s="12"/>
      <c r="AP18" s="5">
        <f t="shared" si="12"/>
        <v>0</v>
      </c>
      <c r="AQ18" s="28">
        <f t="shared" si="13"/>
        <v>100</v>
      </c>
    </row>
    <row r="19" spans="1:43" ht="18.2" customHeight="1" thickBot="1" x14ac:dyDescent="0.3">
      <c r="A19" s="49">
        <v>1</v>
      </c>
      <c r="B19" s="49" t="s">
        <v>121</v>
      </c>
      <c r="C19" s="49" t="s">
        <v>163</v>
      </c>
      <c r="D19" s="49" t="s">
        <v>164</v>
      </c>
      <c r="E19" s="50" t="s">
        <v>165</v>
      </c>
      <c r="F19" s="15">
        <v>1199044</v>
      </c>
      <c r="G19" s="1">
        <f t="shared" si="4"/>
        <v>114</v>
      </c>
      <c r="H19" s="1">
        <f t="shared" si="5"/>
        <v>33</v>
      </c>
      <c r="I19" s="12"/>
      <c r="J19" s="12"/>
      <c r="K19" s="12"/>
      <c r="L19" s="12"/>
      <c r="M19" s="12"/>
      <c r="N19" s="12"/>
      <c r="O19" s="12"/>
      <c r="P19" s="2" t="str">
        <f t="shared" si="0"/>
        <v/>
      </c>
      <c r="Q19" s="12"/>
      <c r="R19" s="3" t="str">
        <f t="shared" si="1"/>
        <v/>
      </c>
      <c r="S19" s="12"/>
      <c r="T19" s="12"/>
      <c r="U19" s="55">
        <v>0</v>
      </c>
      <c r="V19" s="58">
        <f t="shared" si="14"/>
        <v>100</v>
      </c>
      <c r="W19" s="56"/>
      <c r="X19" s="12"/>
      <c r="Y19" s="12"/>
      <c r="Z19" s="12"/>
      <c r="AA19" s="12"/>
      <c r="AB19" s="12"/>
      <c r="AC19" s="2" t="str">
        <f t="shared" si="2"/>
        <v/>
      </c>
      <c r="AD19" s="12"/>
      <c r="AE19" s="3" t="str">
        <f t="shared" si="3"/>
        <v/>
      </c>
      <c r="AF19" s="12"/>
      <c r="AG19" s="12"/>
      <c r="AH19" s="55">
        <v>0</v>
      </c>
      <c r="AI19" s="58">
        <f t="shared" si="6"/>
        <v>100</v>
      </c>
      <c r="AJ19" s="63" t="str">
        <f t="shared" si="7"/>
        <v/>
      </c>
      <c r="AK19" s="2" t="str">
        <f t="shared" si="8"/>
        <v/>
      </c>
      <c r="AL19" s="3" t="str">
        <f t="shared" si="9"/>
        <v/>
      </c>
      <c r="AM19" s="4" t="str">
        <f t="shared" si="10"/>
        <v/>
      </c>
      <c r="AN19" s="2" t="str">
        <f t="shared" si="11"/>
        <v/>
      </c>
      <c r="AO19" s="12"/>
      <c r="AP19" s="5">
        <f t="shared" si="12"/>
        <v>0</v>
      </c>
      <c r="AQ19" s="28">
        <f t="shared" si="13"/>
        <v>100</v>
      </c>
    </row>
    <row r="20" spans="1:43" ht="18.2" customHeight="1" thickBot="1" x14ac:dyDescent="0.3">
      <c r="A20" s="49">
        <v>1</v>
      </c>
      <c r="B20" s="49" t="s">
        <v>121</v>
      </c>
      <c r="C20" s="49" t="s">
        <v>166</v>
      </c>
      <c r="D20" s="49" t="s">
        <v>167</v>
      </c>
      <c r="E20" s="50" t="s">
        <v>168</v>
      </c>
      <c r="F20" s="15">
        <v>1199044</v>
      </c>
      <c r="G20" s="1">
        <f t="shared" si="4"/>
        <v>114</v>
      </c>
      <c r="H20" s="1">
        <f t="shared" si="5"/>
        <v>33</v>
      </c>
      <c r="I20" s="12"/>
      <c r="J20" s="12"/>
      <c r="K20" s="12"/>
      <c r="L20" s="12"/>
      <c r="M20" s="12"/>
      <c r="N20" s="12"/>
      <c r="O20" s="12"/>
      <c r="P20" s="2" t="str">
        <f t="shared" si="0"/>
        <v/>
      </c>
      <c r="Q20" s="12"/>
      <c r="R20" s="3" t="str">
        <f t="shared" si="1"/>
        <v/>
      </c>
      <c r="S20" s="12"/>
      <c r="T20" s="12"/>
      <c r="U20" s="55">
        <v>0</v>
      </c>
      <c r="V20" s="58">
        <f t="shared" si="14"/>
        <v>100</v>
      </c>
      <c r="W20" s="56"/>
      <c r="X20" s="12"/>
      <c r="Y20" s="12"/>
      <c r="Z20" s="12"/>
      <c r="AA20" s="12"/>
      <c r="AB20" s="12"/>
      <c r="AC20" s="2" t="str">
        <f t="shared" si="2"/>
        <v/>
      </c>
      <c r="AD20" s="12"/>
      <c r="AE20" s="3" t="str">
        <f t="shared" si="3"/>
        <v/>
      </c>
      <c r="AF20" s="12"/>
      <c r="AG20" s="12"/>
      <c r="AH20" s="55">
        <v>0</v>
      </c>
      <c r="AI20" s="58">
        <f t="shared" si="6"/>
        <v>100</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2" customHeight="1" thickBot="1" x14ac:dyDescent="0.3">
      <c r="A21" s="49">
        <v>1</v>
      </c>
      <c r="B21" s="49" t="s">
        <v>121</v>
      </c>
      <c r="C21" s="49" t="s">
        <v>169</v>
      </c>
      <c r="D21" s="49" t="s">
        <v>170</v>
      </c>
      <c r="E21" s="50" t="s">
        <v>171</v>
      </c>
      <c r="F21" s="15">
        <v>1199044</v>
      </c>
      <c r="G21" s="1">
        <f t="shared" si="4"/>
        <v>114</v>
      </c>
      <c r="H21" s="1">
        <f t="shared" si="5"/>
        <v>33</v>
      </c>
      <c r="I21" s="12"/>
      <c r="J21" s="12"/>
      <c r="K21" s="12"/>
      <c r="L21" s="12"/>
      <c r="M21" s="12"/>
      <c r="N21" s="12"/>
      <c r="O21" s="12"/>
      <c r="P21" s="2" t="str">
        <f t="shared" si="0"/>
        <v/>
      </c>
      <c r="Q21" s="12"/>
      <c r="R21" s="3" t="str">
        <f t="shared" si="1"/>
        <v/>
      </c>
      <c r="S21" s="12"/>
      <c r="T21" s="12"/>
      <c r="U21" s="55">
        <v>0</v>
      </c>
      <c r="V21" s="58">
        <f t="shared" si="14"/>
        <v>100</v>
      </c>
      <c r="W21" s="56"/>
      <c r="X21" s="12"/>
      <c r="Y21" s="12"/>
      <c r="Z21" s="12"/>
      <c r="AA21" s="12"/>
      <c r="AB21" s="12"/>
      <c r="AC21" s="2" t="str">
        <f t="shared" si="2"/>
        <v/>
      </c>
      <c r="AD21" s="12"/>
      <c r="AE21" s="3" t="str">
        <f t="shared" si="3"/>
        <v/>
      </c>
      <c r="AF21" s="12"/>
      <c r="AG21" s="12"/>
      <c r="AH21" s="55">
        <v>0</v>
      </c>
      <c r="AI21" s="58">
        <f t="shared" si="6"/>
        <v>100</v>
      </c>
      <c r="AJ21" s="63" t="str">
        <f t="shared" si="7"/>
        <v/>
      </c>
      <c r="AK21" s="2" t="str">
        <f t="shared" si="8"/>
        <v/>
      </c>
      <c r="AL21" s="3" t="str">
        <f t="shared" si="9"/>
        <v/>
      </c>
      <c r="AM21" s="4" t="str">
        <f t="shared" si="10"/>
        <v/>
      </c>
      <c r="AN21" s="2" t="str">
        <f t="shared" si="11"/>
        <v/>
      </c>
      <c r="AO21" s="12"/>
      <c r="AP21" s="5">
        <f t="shared" si="12"/>
        <v>0</v>
      </c>
      <c r="AQ21" s="28">
        <f t="shared" si="13"/>
        <v>100</v>
      </c>
    </row>
    <row r="22" spans="1:43" ht="18.2" customHeight="1" thickBot="1" x14ac:dyDescent="0.3">
      <c r="A22" s="49">
        <v>1</v>
      </c>
      <c r="B22" s="49" t="s">
        <v>121</v>
      </c>
      <c r="C22" s="49" t="s">
        <v>172</v>
      </c>
      <c r="D22" s="49" t="s">
        <v>173</v>
      </c>
      <c r="E22" s="50" t="s">
        <v>174</v>
      </c>
      <c r="F22" s="15">
        <v>1199044</v>
      </c>
      <c r="G22" s="1">
        <f t="shared" si="4"/>
        <v>114</v>
      </c>
      <c r="H22" s="1">
        <f t="shared" si="5"/>
        <v>33</v>
      </c>
      <c r="I22" s="12"/>
      <c r="J22" s="12"/>
      <c r="K22" s="12"/>
      <c r="L22" s="12"/>
      <c r="M22" s="12"/>
      <c r="N22" s="12"/>
      <c r="O22" s="12"/>
      <c r="P22" s="2" t="str">
        <f t="shared" si="0"/>
        <v/>
      </c>
      <c r="Q22" s="12"/>
      <c r="R22" s="3" t="str">
        <f t="shared" si="1"/>
        <v/>
      </c>
      <c r="S22" s="12"/>
      <c r="T22" s="12"/>
      <c r="U22" s="55">
        <v>0</v>
      </c>
      <c r="V22" s="58">
        <f t="shared" si="14"/>
        <v>100</v>
      </c>
      <c r="W22" s="56"/>
      <c r="X22" s="12"/>
      <c r="Y22" s="12"/>
      <c r="Z22" s="12"/>
      <c r="AA22" s="12"/>
      <c r="AB22" s="12"/>
      <c r="AC22" s="2" t="str">
        <f t="shared" si="2"/>
        <v/>
      </c>
      <c r="AD22" s="12"/>
      <c r="AE22" s="3" t="str">
        <f t="shared" si="3"/>
        <v/>
      </c>
      <c r="AF22" s="12"/>
      <c r="AG22" s="12"/>
      <c r="AH22" s="55">
        <v>0</v>
      </c>
      <c r="AI22" s="58">
        <f t="shared" si="6"/>
        <v>100</v>
      </c>
      <c r="AJ22" s="63" t="str">
        <f t="shared" si="7"/>
        <v/>
      </c>
      <c r="AK22" s="2" t="str">
        <f t="shared" si="8"/>
        <v/>
      </c>
      <c r="AL22" s="3" t="str">
        <f t="shared" si="9"/>
        <v/>
      </c>
      <c r="AM22" s="4" t="str">
        <f t="shared" si="10"/>
        <v/>
      </c>
      <c r="AN22" s="2" t="str">
        <f t="shared" si="11"/>
        <v/>
      </c>
      <c r="AO22" s="12"/>
      <c r="AP22" s="5">
        <f t="shared" si="12"/>
        <v>0</v>
      </c>
      <c r="AQ22" s="28">
        <f t="shared" si="13"/>
        <v>100</v>
      </c>
    </row>
    <row r="23" spans="1:43" ht="18.2" customHeight="1" thickBot="1" x14ac:dyDescent="0.3">
      <c r="A23" s="49">
        <v>1</v>
      </c>
      <c r="B23" s="49" t="s">
        <v>121</v>
      </c>
      <c r="C23" s="49" t="s">
        <v>172</v>
      </c>
      <c r="D23" s="49" t="s">
        <v>175</v>
      </c>
      <c r="E23" s="50" t="s">
        <v>176</v>
      </c>
      <c r="F23" s="15">
        <v>1199044</v>
      </c>
      <c r="G23" s="1">
        <f t="shared" si="4"/>
        <v>114</v>
      </c>
      <c r="H23" s="1">
        <f t="shared" si="5"/>
        <v>33</v>
      </c>
      <c r="I23" s="12"/>
      <c r="J23" s="12"/>
      <c r="K23" s="12"/>
      <c r="L23" s="12"/>
      <c r="M23" s="12"/>
      <c r="N23" s="12"/>
      <c r="O23" s="12"/>
      <c r="P23" s="2" t="str">
        <f t="shared" si="0"/>
        <v/>
      </c>
      <c r="Q23" s="12"/>
      <c r="R23" s="3" t="str">
        <f t="shared" si="1"/>
        <v/>
      </c>
      <c r="S23" s="12"/>
      <c r="T23" s="12"/>
      <c r="U23" s="55">
        <v>0</v>
      </c>
      <c r="V23" s="58">
        <f t="shared" si="14"/>
        <v>100</v>
      </c>
      <c r="W23" s="56"/>
      <c r="X23" s="12"/>
      <c r="Y23" s="12"/>
      <c r="Z23" s="12"/>
      <c r="AA23" s="12"/>
      <c r="AB23" s="12"/>
      <c r="AC23" s="2" t="str">
        <f t="shared" si="2"/>
        <v/>
      </c>
      <c r="AD23" s="12"/>
      <c r="AE23" s="3" t="str">
        <f t="shared" si="3"/>
        <v/>
      </c>
      <c r="AF23" s="12"/>
      <c r="AG23" s="12"/>
      <c r="AH23" s="55">
        <v>0</v>
      </c>
      <c r="AI23" s="58">
        <f t="shared" si="6"/>
        <v>100</v>
      </c>
      <c r="AJ23" s="63" t="str">
        <f t="shared" si="7"/>
        <v/>
      </c>
      <c r="AK23" s="2" t="str">
        <f t="shared" si="8"/>
        <v/>
      </c>
      <c r="AL23" s="3" t="str">
        <f t="shared" si="9"/>
        <v/>
      </c>
      <c r="AM23" s="4" t="str">
        <f t="shared" si="10"/>
        <v/>
      </c>
      <c r="AN23" s="2" t="str">
        <f t="shared" si="11"/>
        <v/>
      </c>
      <c r="AO23" s="12"/>
      <c r="AP23" s="5">
        <f t="shared" si="12"/>
        <v>0</v>
      </c>
      <c r="AQ23" s="28">
        <f t="shared" si="13"/>
        <v>100</v>
      </c>
    </row>
    <row r="24" spans="1:43" ht="18.2" customHeight="1" thickBot="1" x14ac:dyDescent="0.3">
      <c r="A24" s="49">
        <v>1</v>
      </c>
      <c r="B24" s="49" t="s">
        <v>121</v>
      </c>
      <c r="C24" s="49" t="s">
        <v>177</v>
      </c>
      <c r="D24" s="49" t="s">
        <v>178</v>
      </c>
      <c r="E24" s="50" t="s">
        <v>179</v>
      </c>
      <c r="F24" s="15">
        <v>1199044</v>
      </c>
      <c r="G24" s="1">
        <f t="shared" si="4"/>
        <v>114</v>
      </c>
      <c r="H24" s="1">
        <f t="shared" si="5"/>
        <v>33</v>
      </c>
      <c r="I24" s="12"/>
      <c r="J24" s="12"/>
      <c r="K24" s="12"/>
      <c r="L24" s="12"/>
      <c r="M24" s="12"/>
      <c r="N24" s="12"/>
      <c r="O24" s="12"/>
      <c r="P24" s="2" t="str">
        <f t="shared" si="0"/>
        <v/>
      </c>
      <c r="Q24" s="12"/>
      <c r="R24" s="3" t="str">
        <f t="shared" si="1"/>
        <v/>
      </c>
      <c r="S24" s="12"/>
      <c r="T24" s="12"/>
      <c r="U24" s="55">
        <v>0</v>
      </c>
      <c r="V24" s="58">
        <f t="shared" si="14"/>
        <v>100</v>
      </c>
      <c r="W24" s="56"/>
      <c r="X24" s="12"/>
      <c r="Y24" s="12"/>
      <c r="Z24" s="12"/>
      <c r="AA24" s="12"/>
      <c r="AB24" s="12"/>
      <c r="AC24" s="2" t="str">
        <f t="shared" si="2"/>
        <v/>
      </c>
      <c r="AD24" s="12"/>
      <c r="AE24" s="3" t="str">
        <f t="shared" si="3"/>
        <v/>
      </c>
      <c r="AF24" s="12"/>
      <c r="AG24" s="12"/>
      <c r="AH24" s="55">
        <v>0</v>
      </c>
      <c r="AI24" s="58">
        <f t="shared" si="6"/>
        <v>100</v>
      </c>
      <c r="AJ24" s="63" t="str">
        <f t="shared" si="7"/>
        <v/>
      </c>
      <c r="AK24" s="2" t="str">
        <f t="shared" si="8"/>
        <v/>
      </c>
      <c r="AL24" s="3" t="str">
        <f t="shared" si="9"/>
        <v/>
      </c>
      <c r="AM24" s="4" t="str">
        <f t="shared" si="10"/>
        <v/>
      </c>
      <c r="AN24" s="2" t="str">
        <f t="shared" si="11"/>
        <v/>
      </c>
      <c r="AO24" s="12"/>
      <c r="AP24" s="5">
        <f t="shared" si="12"/>
        <v>0</v>
      </c>
      <c r="AQ24" s="28">
        <f t="shared" si="13"/>
        <v>100</v>
      </c>
    </row>
    <row r="25" spans="1:43" ht="18.2" customHeight="1" thickBot="1" x14ac:dyDescent="0.3">
      <c r="A25" s="49">
        <v>1</v>
      </c>
      <c r="B25" s="49" t="s">
        <v>121</v>
      </c>
      <c r="C25" s="49" t="s">
        <v>177</v>
      </c>
      <c r="D25" s="49" t="s">
        <v>180</v>
      </c>
      <c r="E25" s="50" t="s">
        <v>181</v>
      </c>
      <c r="F25" s="15">
        <v>1199044</v>
      </c>
      <c r="G25" s="1">
        <f t="shared" si="4"/>
        <v>114</v>
      </c>
      <c r="H25" s="1">
        <f t="shared" si="5"/>
        <v>33</v>
      </c>
      <c r="I25" s="12"/>
      <c r="J25" s="12"/>
      <c r="K25" s="12"/>
      <c r="L25" s="12"/>
      <c r="M25" s="12"/>
      <c r="N25" s="12"/>
      <c r="O25" s="12"/>
      <c r="P25" s="2" t="str">
        <f t="shared" si="0"/>
        <v/>
      </c>
      <c r="Q25" s="12"/>
      <c r="R25" s="3" t="str">
        <f t="shared" si="1"/>
        <v/>
      </c>
      <c r="S25" s="12"/>
      <c r="T25" s="12"/>
      <c r="U25" s="55">
        <v>0</v>
      </c>
      <c r="V25" s="58">
        <f t="shared" si="14"/>
        <v>100</v>
      </c>
      <c r="W25" s="56"/>
      <c r="X25" s="12"/>
      <c r="Y25" s="12"/>
      <c r="Z25" s="12"/>
      <c r="AA25" s="12"/>
      <c r="AB25" s="12"/>
      <c r="AC25" s="2" t="str">
        <f t="shared" si="2"/>
        <v/>
      </c>
      <c r="AD25" s="12"/>
      <c r="AE25" s="3" t="str">
        <f t="shared" si="3"/>
        <v/>
      </c>
      <c r="AF25" s="12"/>
      <c r="AG25" s="12"/>
      <c r="AH25" s="55">
        <v>0</v>
      </c>
      <c r="AI25" s="58">
        <f t="shared" si="6"/>
        <v>100</v>
      </c>
      <c r="AJ25" s="63" t="str">
        <f t="shared" si="7"/>
        <v/>
      </c>
      <c r="AK25" s="2" t="str">
        <f t="shared" si="8"/>
        <v/>
      </c>
      <c r="AL25" s="3" t="str">
        <f t="shared" si="9"/>
        <v/>
      </c>
      <c r="AM25" s="4" t="str">
        <f t="shared" si="10"/>
        <v/>
      </c>
      <c r="AN25" s="2" t="str">
        <f t="shared" si="11"/>
        <v/>
      </c>
      <c r="AO25" s="12"/>
      <c r="AP25" s="5">
        <f t="shared" si="12"/>
        <v>0</v>
      </c>
      <c r="AQ25" s="28">
        <f t="shared" si="13"/>
        <v>100</v>
      </c>
    </row>
    <row r="26" spans="1:43" ht="18.2" customHeight="1" thickBot="1" x14ac:dyDescent="0.3">
      <c r="A26" s="49">
        <v>1</v>
      </c>
      <c r="B26" s="49" t="s">
        <v>121</v>
      </c>
      <c r="C26" s="49" t="s">
        <v>182</v>
      </c>
      <c r="D26" s="49" t="s">
        <v>183</v>
      </c>
      <c r="E26" s="50" t="s">
        <v>184</v>
      </c>
      <c r="F26" s="15">
        <v>1199044</v>
      </c>
      <c r="G26" s="1">
        <f t="shared" si="4"/>
        <v>114</v>
      </c>
      <c r="H26" s="1">
        <f t="shared" si="5"/>
        <v>33</v>
      </c>
      <c r="I26" s="12"/>
      <c r="J26" s="12"/>
      <c r="K26" s="12"/>
      <c r="L26" s="12"/>
      <c r="M26" s="12"/>
      <c r="N26" s="12"/>
      <c r="O26" s="12"/>
      <c r="P26" s="2" t="str">
        <f t="shared" si="0"/>
        <v/>
      </c>
      <c r="Q26" s="12"/>
      <c r="R26" s="3" t="str">
        <f t="shared" si="1"/>
        <v/>
      </c>
      <c r="S26" s="12"/>
      <c r="T26" s="12"/>
      <c r="U26" s="55">
        <v>0</v>
      </c>
      <c r="V26" s="58">
        <f t="shared" si="14"/>
        <v>100</v>
      </c>
      <c r="W26" s="56"/>
      <c r="X26" s="12"/>
      <c r="Y26" s="12"/>
      <c r="Z26" s="12"/>
      <c r="AA26" s="12"/>
      <c r="AB26" s="12"/>
      <c r="AC26" s="2" t="str">
        <f t="shared" si="2"/>
        <v/>
      </c>
      <c r="AD26" s="12"/>
      <c r="AE26" s="3" t="str">
        <f t="shared" si="3"/>
        <v/>
      </c>
      <c r="AF26" s="12"/>
      <c r="AG26" s="12"/>
      <c r="AH26" s="55">
        <v>0</v>
      </c>
      <c r="AI26" s="58">
        <f t="shared" si="6"/>
        <v>100</v>
      </c>
      <c r="AJ26" s="63" t="str">
        <f t="shared" si="7"/>
        <v/>
      </c>
      <c r="AK26" s="2" t="str">
        <f t="shared" si="8"/>
        <v/>
      </c>
      <c r="AL26" s="3" t="str">
        <f t="shared" si="9"/>
        <v/>
      </c>
      <c r="AM26" s="4" t="str">
        <f t="shared" si="10"/>
        <v/>
      </c>
      <c r="AN26" s="2" t="str">
        <f t="shared" si="11"/>
        <v/>
      </c>
      <c r="AO26" s="12"/>
      <c r="AP26" s="5">
        <f t="shared" si="12"/>
        <v>0</v>
      </c>
      <c r="AQ26" s="28">
        <f t="shared" si="13"/>
        <v>100</v>
      </c>
    </row>
    <row r="27" spans="1:43" ht="18.2" customHeight="1" thickBot="1" x14ac:dyDescent="0.3">
      <c r="A27" s="49">
        <v>1</v>
      </c>
      <c r="B27" s="49" t="s">
        <v>121</v>
      </c>
      <c r="C27" s="49" t="s">
        <v>185</v>
      </c>
      <c r="D27" s="49" t="s">
        <v>186</v>
      </c>
      <c r="E27" s="50" t="s">
        <v>187</v>
      </c>
      <c r="F27" s="15">
        <v>1199044</v>
      </c>
      <c r="G27" s="1">
        <f t="shared" si="4"/>
        <v>114</v>
      </c>
      <c r="H27" s="1">
        <f t="shared" si="5"/>
        <v>33</v>
      </c>
      <c r="I27" s="12"/>
      <c r="J27" s="12"/>
      <c r="K27" s="12"/>
      <c r="L27" s="12"/>
      <c r="M27" s="12"/>
      <c r="N27" s="12"/>
      <c r="O27" s="12"/>
      <c r="P27" s="2" t="str">
        <f t="shared" si="0"/>
        <v/>
      </c>
      <c r="Q27" s="12"/>
      <c r="R27" s="3" t="str">
        <f t="shared" si="1"/>
        <v/>
      </c>
      <c r="S27" s="12"/>
      <c r="T27" s="12"/>
      <c r="U27" s="55">
        <v>0</v>
      </c>
      <c r="V27" s="58">
        <f t="shared" si="14"/>
        <v>100</v>
      </c>
      <c r="W27" s="56"/>
      <c r="X27" s="12"/>
      <c r="Y27" s="12"/>
      <c r="Z27" s="12"/>
      <c r="AA27" s="12"/>
      <c r="AB27" s="12"/>
      <c r="AC27" s="2" t="str">
        <f t="shared" si="2"/>
        <v/>
      </c>
      <c r="AD27" s="12"/>
      <c r="AE27" s="3" t="str">
        <f t="shared" si="3"/>
        <v/>
      </c>
      <c r="AF27" s="12"/>
      <c r="AG27" s="12"/>
      <c r="AH27" s="55">
        <v>0</v>
      </c>
      <c r="AI27" s="58">
        <f t="shared" si="6"/>
        <v>100</v>
      </c>
      <c r="AJ27" s="63" t="str">
        <f t="shared" si="7"/>
        <v/>
      </c>
      <c r="AK27" s="2" t="str">
        <f t="shared" si="8"/>
        <v/>
      </c>
      <c r="AL27" s="3" t="str">
        <f t="shared" si="9"/>
        <v/>
      </c>
      <c r="AM27" s="4" t="str">
        <f t="shared" si="10"/>
        <v/>
      </c>
      <c r="AN27" s="2" t="str">
        <f t="shared" si="11"/>
        <v/>
      </c>
      <c r="AO27" s="12"/>
      <c r="AP27" s="5">
        <f t="shared" si="12"/>
        <v>0</v>
      </c>
      <c r="AQ27" s="28">
        <f t="shared" si="13"/>
        <v>100</v>
      </c>
    </row>
    <row r="28" spans="1:43" ht="18.2" customHeight="1" thickBot="1" x14ac:dyDescent="0.3">
      <c r="A28" s="49">
        <v>1</v>
      </c>
      <c r="B28" s="49" t="s">
        <v>121</v>
      </c>
      <c r="C28" s="49" t="s">
        <v>185</v>
      </c>
      <c r="D28" s="49" t="s">
        <v>188</v>
      </c>
      <c r="E28" s="50" t="s">
        <v>189</v>
      </c>
      <c r="F28" s="15">
        <v>1199044</v>
      </c>
      <c r="G28" s="1">
        <f t="shared" si="4"/>
        <v>114</v>
      </c>
      <c r="H28" s="1">
        <f t="shared" si="5"/>
        <v>33</v>
      </c>
      <c r="I28" s="12"/>
      <c r="J28" s="12"/>
      <c r="K28" s="12"/>
      <c r="L28" s="12"/>
      <c r="M28" s="12"/>
      <c r="N28" s="12"/>
      <c r="O28" s="12"/>
      <c r="P28" s="2" t="str">
        <f t="shared" si="0"/>
        <v/>
      </c>
      <c r="Q28" s="12"/>
      <c r="R28" s="3" t="str">
        <f t="shared" si="1"/>
        <v/>
      </c>
      <c r="S28" s="12"/>
      <c r="T28" s="12"/>
      <c r="U28" s="55">
        <v>0</v>
      </c>
      <c r="V28" s="58">
        <f t="shared" si="14"/>
        <v>100</v>
      </c>
      <c r="W28" s="56"/>
      <c r="X28" s="12"/>
      <c r="Y28" s="12"/>
      <c r="Z28" s="12"/>
      <c r="AA28" s="12"/>
      <c r="AB28" s="12"/>
      <c r="AC28" s="2" t="str">
        <f t="shared" si="2"/>
        <v/>
      </c>
      <c r="AD28" s="12"/>
      <c r="AE28" s="3" t="str">
        <f t="shared" si="3"/>
        <v/>
      </c>
      <c r="AF28" s="12"/>
      <c r="AG28" s="12"/>
      <c r="AH28" s="55">
        <v>0</v>
      </c>
      <c r="AI28" s="58">
        <f t="shared" si="6"/>
        <v>100</v>
      </c>
      <c r="AJ28" s="63" t="str">
        <f t="shared" si="7"/>
        <v/>
      </c>
      <c r="AK28" s="2" t="str">
        <f t="shared" si="8"/>
        <v/>
      </c>
      <c r="AL28" s="3" t="str">
        <f t="shared" si="9"/>
        <v/>
      </c>
      <c r="AM28" s="4" t="str">
        <f t="shared" si="10"/>
        <v/>
      </c>
      <c r="AN28" s="2" t="str">
        <f t="shared" si="11"/>
        <v/>
      </c>
      <c r="AO28" s="12"/>
      <c r="AP28" s="5">
        <f t="shared" si="12"/>
        <v>0</v>
      </c>
      <c r="AQ28" s="28">
        <f t="shared" si="13"/>
        <v>100</v>
      </c>
    </row>
    <row r="29" spans="1:43" ht="18.2" customHeight="1" thickBot="1" x14ac:dyDescent="0.3">
      <c r="A29" s="49">
        <v>1</v>
      </c>
      <c r="B29" s="49" t="s">
        <v>121</v>
      </c>
      <c r="C29" s="49" t="s">
        <v>190</v>
      </c>
      <c r="D29" s="49" t="s">
        <v>191</v>
      </c>
      <c r="E29" s="50" t="s">
        <v>192</v>
      </c>
      <c r="F29" s="15">
        <v>1199044</v>
      </c>
      <c r="G29" s="1">
        <f t="shared" si="4"/>
        <v>114</v>
      </c>
      <c r="H29" s="1">
        <f t="shared" si="5"/>
        <v>33</v>
      </c>
      <c r="I29" s="12"/>
      <c r="J29" s="12"/>
      <c r="K29" s="12"/>
      <c r="L29" s="12"/>
      <c r="M29" s="12"/>
      <c r="N29" s="12"/>
      <c r="O29" s="12"/>
      <c r="P29" s="2" t="str">
        <f t="shared" si="0"/>
        <v/>
      </c>
      <c r="Q29" s="12"/>
      <c r="R29" s="3" t="str">
        <f t="shared" si="1"/>
        <v/>
      </c>
      <c r="S29" s="12"/>
      <c r="T29" s="12"/>
      <c r="U29" s="55">
        <v>3</v>
      </c>
      <c r="V29" s="58">
        <f t="shared" si="14"/>
        <v>81.818181818181813</v>
      </c>
      <c r="W29" s="56"/>
      <c r="X29" s="12"/>
      <c r="Y29" s="12"/>
      <c r="Z29" s="12"/>
      <c r="AA29" s="12"/>
      <c r="AB29" s="12"/>
      <c r="AC29" s="2" t="str">
        <f t="shared" si="2"/>
        <v/>
      </c>
      <c r="AD29" s="12"/>
      <c r="AE29" s="3" t="str">
        <f t="shared" si="3"/>
        <v/>
      </c>
      <c r="AF29" s="12"/>
      <c r="AG29" s="12"/>
      <c r="AH29" s="55">
        <v>0</v>
      </c>
      <c r="AI29" s="58">
        <f t="shared" si="6"/>
        <v>100</v>
      </c>
      <c r="AJ29" s="63" t="str">
        <f t="shared" si="7"/>
        <v/>
      </c>
      <c r="AK29" s="2" t="str">
        <f t="shared" si="8"/>
        <v/>
      </c>
      <c r="AL29" s="3" t="str">
        <f t="shared" si="9"/>
        <v/>
      </c>
      <c r="AM29" s="4" t="str">
        <f t="shared" si="10"/>
        <v/>
      </c>
      <c r="AN29" s="2" t="str">
        <f t="shared" si="11"/>
        <v/>
      </c>
      <c r="AO29" s="12"/>
      <c r="AP29" s="5">
        <f t="shared" si="12"/>
        <v>3</v>
      </c>
      <c r="AQ29" s="28">
        <f t="shared" si="13"/>
        <v>90.909090909090907</v>
      </c>
    </row>
    <row r="30" spans="1:43" ht="18.2" customHeight="1" x14ac:dyDescent="0.25">
      <c r="A30" s="49">
        <v>1</v>
      </c>
      <c r="B30" s="49" t="s">
        <v>121</v>
      </c>
      <c r="C30" s="49" t="s">
        <v>193</v>
      </c>
      <c r="D30" s="49" t="s">
        <v>194</v>
      </c>
      <c r="E30" s="50" t="s">
        <v>195</v>
      </c>
      <c r="F30" s="15">
        <v>1199044</v>
      </c>
      <c r="G30" s="1">
        <f t="shared" si="4"/>
        <v>114</v>
      </c>
      <c r="H30" s="1">
        <f t="shared" si="5"/>
        <v>33</v>
      </c>
      <c r="I30" s="12"/>
      <c r="J30" s="12"/>
      <c r="K30" s="12"/>
      <c r="L30" s="12"/>
      <c r="M30" s="12"/>
      <c r="N30" s="12"/>
      <c r="O30" s="12"/>
      <c r="P30" s="2" t="str">
        <f t="shared" si="0"/>
        <v/>
      </c>
      <c r="Q30" s="12"/>
      <c r="R30" s="3" t="str">
        <f t="shared" si="1"/>
        <v/>
      </c>
      <c r="S30" s="12"/>
      <c r="T30" s="12"/>
      <c r="U30" s="55">
        <v>0</v>
      </c>
      <c r="V30" s="58">
        <f t="shared" si="14"/>
        <v>100</v>
      </c>
      <c r="W30" s="56"/>
      <c r="X30" s="12"/>
      <c r="Y30" s="12"/>
      <c r="Z30" s="12"/>
      <c r="AA30" s="12"/>
      <c r="AB30" s="12"/>
      <c r="AC30" s="2" t="str">
        <f t="shared" si="2"/>
        <v/>
      </c>
      <c r="AD30" s="12"/>
      <c r="AE30" s="3" t="str">
        <f t="shared" si="3"/>
        <v/>
      </c>
      <c r="AF30" s="12"/>
      <c r="AG30" s="12"/>
      <c r="AH30" s="55">
        <v>0</v>
      </c>
      <c r="AI30" s="58">
        <f t="shared" si="6"/>
        <v>100</v>
      </c>
      <c r="AJ30" s="63" t="str">
        <f t="shared" si="7"/>
        <v/>
      </c>
      <c r="AK30" s="2" t="str">
        <f t="shared" si="8"/>
        <v/>
      </c>
      <c r="AL30" s="3" t="str">
        <f t="shared" si="9"/>
        <v/>
      </c>
      <c r="AM30" s="4" t="str">
        <f t="shared" si="10"/>
        <v/>
      </c>
      <c r="AN30" s="2" t="str">
        <f t="shared" si="11"/>
        <v/>
      </c>
      <c r="AO30" s="12"/>
      <c r="AP30" s="5">
        <f t="shared" si="12"/>
        <v>0</v>
      </c>
      <c r="AQ30" s="28">
        <f t="shared" si="13"/>
        <v>100</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114</v>
      </c>
      <c r="H55" s="22">
        <f>IF(H4="","",$H$4)</f>
        <v>33</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6</v>
      </c>
      <c r="V55" s="23">
        <f t="shared" si="17"/>
        <v>98.601398601398614</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f t="shared" ref="AI55" si="19">IFERROR(AVERAGE(AI5:AI54),"")</f>
        <v>100</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6</v>
      </c>
      <c r="AQ55" s="23">
        <f t="shared" ref="AQ55" si="23">IFERROR(AVERAGE(AQ5:AQ54),"")</f>
        <v>99.300699300699307</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0</v>
      </c>
      <c r="AK58" s="6">
        <f t="shared" si="27"/>
        <v>0</v>
      </c>
      <c r="AL58" s="6">
        <f t="shared" si="27"/>
        <v>0</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0</v>
      </c>
      <c r="AK61" s="7">
        <f t="shared" si="36"/>
        <v>0</v>
      </c>
      <c r="AL61" s="7">
        <f t="shared" si="36"/>
        <v>0</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t="str">
        <f t="shared" si="39"/>
        <v/>
      </c>
      <c r="AK62" s="8" t="str">
        <f t="shared" si="39"/>
        <v/>
      </c>
      <c r="AL62" s="8" t="str">
        <f t="shared" si="39"/>
        <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t="str">
        <f t="shared" si="42"/>
        <v/>
      </c>
      <c r="AK63" s="8" t="str">
        <f t="shared" si="42"/>
        <v/>
      </c>
      <c r="AL63" s="8" t="str">
        <f t="shared" si="42"/>
        <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t="str">
        <f t="shared" si="45"/>
        <v/>
      </c>
      <c r="AK64" s="8" t="str">
        <f t="shared" si="45"/>
        <v/>
      </c>
      <c r="AL64" s="8" t="str">
        <f t="shared" si="45"/>
        <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t="str">
        <f t="shared" si="48"/>
        <v/>
      </c>
      <c r="AK65" s="8" t="str">
        <f t="shared" si="48"/>
        <v/>
      </c>
      <c r="AL65" s="8" t="str">
        <f t="shared" si="48"/>
        <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2023-06-26T15:00:23Z</dcterms:modified>
</cp:coreProperties>
</file>