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<sst xmlns="http://schemas.openxmlformats.org/spreadsheetml/2006/main" count="267" uniqueCount="196">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</sst>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11" activePane="bottomRight" state="frozen"/>
      <selection pane="topRight" activeCell="G1" sqref="G1"/>
      <selection pane="bottomLeft" activeCell="A5" sqref="A5"/>
      <selection pane="bottomRight" activeCell="K35" sqref="K3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1071413</v>
      </c>
      <c r="G5" s="16">
        <f>IF(F5="","",$G$4)</f>
        <v>128</v>
      </c>
      <c r="H5" s="16">
        <f>IF(F5="","",$H$4)</f>
        <v>33</v>
      </c>
      <c r="I5" s="17"/>
      <c r="J5" s="17"/>
      <c r="K5" s="17"/>
      <c r="L5" s="17"/>
      <c r="M5" s="17"/>
      <c r="N5" s="17"/>
      <c r="O5" s="17"/>
      <c r="P5" s="18" t="str">
        <f t="shared" ref="P5:P36" si="0">IFERROR(AVERAGE(J5:O5),"")</f>
        <v/>
      </c>
      <c r="Q5" s="17"/>
      <c r="R5" s="19" t="str">
        <f t="shared" ref="R5:R36" si="1">IF(Q5="",P5,IF(P5="",Q5,P5*40/100+Q5*60/100))</f>
        <v/>
      </c>
      <c r="S5" s="17"/>
      <c r="T5" s="17"/>
      <c r="U5" s="20">
        <v>2</v>
      </c>
      <c r="V5" s="57">
        <f>IF(U5="","",((H5/2)-U5)*100/(H5/2))</f>
        <v>87.878787878787875</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2</v>
      </c>
      <c r="AQ5" s="26">
        <f>IF(AP5="","",(H5-AP5)*100/H5)</f>
        <v>93.939393939393938</v>
      </c>
    </row>
    <row r="6" spans="1:43" ht="18.2" customHeight="1" thickBot="1" x14ac:dyDescent="0.3">
      <c r="A6" s="49">
        <v>1</v>
      </c>
      <c r="B6" s="49" t="s">
        <v>121</v>
      </c>
      <c r="C6" s="49" t="s">
        <v>125</v>
      </c>
      <c r="D6" s="49" t="s">
        <v>126</v>
      </c>
      <c r="E6" s="50" t="s">
        <v>127</v>
      </c>
      <c r="F6" s="15">
        <v>1071413</v>
      </c>
      <c r="G6" s="1">
        <f t="shared" ref="G6:G54" si="4">IF(F6="","",$G$4)</f>
        <v>128</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1071413</v>
      </c>
      <c r="G7" s="1">
        <f t="shared" si="4"/>
        <v>128</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1071413</v>
      </c>
      <c r="G8" s="1">
        <f t="shared" si="4"/>
        <v>128</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1071413</v>
      </c>
      <c r="G9" s="1">
        <f t="shared" si="4"/>
        <v>128</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1071413</v>
      </c>
      <c r="G10" s="1">
        <f t="shared" si="4"/>
        <v>128</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1071413</v>
      </c>
      <c r="G11" s="1">
        <f t="shared" si="4"/>
        <v>128</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2</v>
      </c>
      <c r="AI11" s="58">
        <f t="shared" si="6"/>
        <v>87.878787878787875</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143</v>
      </c>
      <c r="D12" s="49" t="s">
        <v>144</v>
      </c>
      <c r="E12" s="50" t="s">
        <v>145</v>
      </c>
      <c r="F12" s="15">
        <v>1071413</v>
      </c>
      <c r="G12" s="1">
        <f t="shared" si="4"/>
        <v>128</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1071413</v>
      </c>
      <c r="G13" s="1">
        <f t="shared" si="4"/>
        <v>128</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1071413</v>
      </c>
      <c r="G14" s="1">
        <f t="shared" si="4"/>
        <v>128</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1071413</v>
      </c>
      <c r="G15" s="1">
        <f t="shared" si="4"/>
        <v>128</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1071413</v>
      </c>
      <c r="G16" s="1">
        <f t="shared" si="4"/>
        <v>128</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1</v>
      </c>
      <c r="AI16" s="58">
        <f t="shared" si="6"/>
        <v>93.939393939393938</v>
      </c>
      <c r="AJ16" s="63" t="str">
        <f t="shared" si="7"/>
        <v/>
      </c>
      <c r="AK16" s="2" t="str">
        <f t="shared" si="8"/>
        <v/>
      </c>
      <c r="AL16" s="3" t="str">
        <f t="shared" si="9"/>
        <v/>
      </c>
      <c r="AM16" s="4" t="str">
        <f t="shared" si="10"/>
        <v/>
      </c>
      <c r="AN16" s="2" t="str">
        <f t="shared" si="11"/>
        <v/>
      </c>
      <c r="AO16" s="12"/>
      <c r="AP16" s="5">
        <f t="shared" si="12"/>
        <v>1</v>
      </c>
      <c r="AQ16" s="28">
        <f t="shared" si="13"/>
        <v>96.969696969696969</v>
      </c>
    </row>
    <row r="17" spans="1:43" ht="18.2" customHeight="1" thickBot="1" x14ac:dyDescent="0.3">
      <c r="A17" s="49">
        <v>1</v>
      </c>
      <c r="B17" s="49" t="s">
        <v>121</v>
      </c>
      <c r="C17" s="49" t="s">
        <v>157</v>
      </c>
      <c r="D17" s="49" t="s">
        <v>158</v>
      </c>
      <c r="E17" s="50" t="s">
        <v>159</v>
      </c>
      <c r="F17" s="15">
        <v>1071413</v>
      </c>
      <c r="G17" s="1">
        <f t="shared" si="4"/>
        <v>128</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1071413</v>
      </c>
      <c r="G18" s="1">
        <f t="shared" si="4"/>
        <v>128</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1071413</v>
      </c>
      <c r="G19" s="1">
        <f t="shared" si="4"/>
        <v>128</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93.939393939393938</v>
      </c>
      <c r="AJ19" s="63" t="str">
        <f t="shared" si="7"/>
        <v/>
      </c>
      <c r="AK19" s="2" t="str">
        <f t="shared" si="8"/>
        <v/>
      </c>
      <c r="AL19" s="3" t="str">
        <f t="shared" si="9"/>
        <v/>
      </c>
      <c r="AM19" s="4" t="str">
        <f t="shared" si="10"/>
        <v/>
      </c>
      <c r="AN19" s="2" t="str">
        <f t="shared" si="11"/>
        <v/>
      </c>
      <c r="AO19" s="12"/>
      <c r="AP19" s="5">
        <f t="shared" si="12"/>
        <v>1</v>
      </c>
      <c r="AQ19" s="28">
        <f t="shared" si="13"/>
        <v>96.969696969696969</v>
      </c>
    </row>
    <row r="20" spans="1:43" ht="18.2" customHeight="1" thickBot="1" x14ac:dyDescent="0.3">
      <c r="A20" s="49">
        <v>1</v>
      </c>
      <c r="B20" s="49" t="s">
        <v>121</v>
      </c>
      <c r="C20" s="49" t="s">
        <v>166</v>
      </c>
      <c r="D20" s="49" t="s">
        <v>167</v>
      </c>
      <c r="E20" s="50" t="s">
        <v>168</v>
      </c>
      <c r="F20" s="15">
        <v>1071413</v>
      </c>
      <c r="G20" s="1">
        <f t="shared" si="4"/>
        <v>128</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1071413</v>
      </c>
      <c r="G21" s="1">
        <f t="shared" si="4"/>
        <v>128</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1071413</v>
      </c>
      <c r="G22" s="1">
        <f t="shared" si="4"/>
        <v>128</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1071413</v>
      </c>
      <c r="G23" s="1">
        <f t="shared" si="4"/>
        <v>128</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179</v>
      </c>
      <c r="F24" s="15">
        <v>1071413</v>
      </c>
      <c r="G24" s="1">
        <f t="shared" si="4"/>
        <v>128</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180</v>
      </c>
      <c r="E25" s="50" t="s">
        <v>181</v>
      </c>
      <c r="F25" s="15">
        <v>1071413</v>
      </c>
      <c r="G25" s="1">
        <f t="shared" si="4"/>
        <v>128</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3</v>
      </c>
      <c r="AI25" s="58">
        <f t="shared" si="6"/>
        <v>81.818181818181813</v>
      </c>
      <c r="AJ25" s="63" t="str">
        <f t="shared" si="7"/>
        <v/>
      </c>
      <c r="AK25" s="2" t="str">
        <f t="shared" si="8"/>
        <v/>
      </c>
      <c r="AL25" s="3" t="str">
        <f t="shared" si="9"/>
        <v/>
      </c>
      <c r="AM25" s="4" t="str">
        <f t="shared" si="10"/>
        <v/>
      </c>
      <c r="AN25" s="2" t="str">
        <f t="shared" si="11"/>
        <v/>
      </c>
      <c r="AO25" s="12"/>
      <c r="AP25" s="5">
        <f t="shared" si="12"/>
        <v>3</v>
      </c>
      <c r="AQ25" s="28">
        <f t="shared" si="13"/>
        <v>90.909090909090907</v>
      </c>
    </row>
    <row r="26" spans="1:43" ht="18.2" customHeight="1" thickBot="1" x14ac:dyDescent="0.3">
      <c r="A26" s="49">
        <v>1</v>
      </c>
      <c r="B26" s="49" t="s">
        <v>121</v>
      </c>
      <c r="C26" s="49" t="s">
        <v>182</v>
      </c>
      <c r="D26" s="49" t="s">
        <v>183</v>
      </c>
      <c r="E26" s="50" t="s">
        <v>184</v>
      </c>
      <c r="F26" s="15">
        <v>1071413</v>
      </c>
      <c r="G26" s="1">
        <f t="shared" si="4"/>
        <v>128</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1071413</v>
      </c>
      <c r="G27" s="1">
        <f t="shared" si="4"/>
        <v>128</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1071413</v>
      </c>
      <c r="G28" s="1">
        <f t="shared" si="4"/>
        <v>128</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1071413</v>
      </c>
      <c r="G29" s="1">
        <f t="shared" si="4"/>
        <v>128</v>
      </c>
      <c r="H29" s="1">
        <f t="shared" si="5"/>
        <v>33</v>
      </c>
      <c r="I29" s="12"/>
      <c r="J29" s="12"/>
      <c r="K29" s="12"/>
      <c r="L29" s="12"/>
      <c r="M29" s="12"/>
      <c r="N29" s="12"/>
      <c r="O29" s="12"/>
      <c r="P29" s="2" t="str">
        <f t="shared" si="0"/>
        <v/>
      </c>
      <c r="Q29" s="12"/>
      <c r="R29" s="3" t="str">
        <f t="shared" si="1"/>
        <v/>
      </c>
      <c r="S29" s="12"/>
      <c r="T29" s="12"/>
      <c r="U29" s="55">
        <v>3</v>
      </c>
      <c r="V29" s="58">
        <f t="shared" si="14"/>
        <v>81.818181818181813</v>
      </c>
      <c r="W29" s="56"/>
      <c r="X29" s="12"/>
      <c r="Y29" s="12"/>
      <c r="Z29" s="12"/>
      <c r="AA29" s="12"/>
      <c r="AB29" s="12"/>
      <c r="AC29" s="2" t="str">
        <f t="shared" si="2"/>
        <v/>
      </c>
      <c r="AD29" s="12"/>
      <c r="AE29" s="3" t="str">
        <f t="shared" si="3"/>
        <v/>
      </c>
      <c r="AF29" s="12"/>
      <c r="AG29" s="12"/>
      <c r="AH29" s="55">
        <v>2</v>
      </c>
      <c r="AI29" s="58">
        <f t="shared" si="6"/>
        <v>87.878787878787875</v>
      </c>
      <c r="AJ29" s="63" t="str">
        <f t="shared" si="7"/>
        <v/>
      </c>
      <c r="AK29" s="2" t="str">
        <f t="shared" si="8"/>
        <v/>
      </c>
      <c r="AL29" s="3" t="str">
        <f t="shared" si="9"/>
        <v/>
      </c>
      <c r="AM29" s="4" t="str">
        <f t="shared" si="10"/>
        <v/>
      </c>
      <c r="AN29" s="2" t="str">
        <f t="shared" si="11"/>
        <v/>
      </c>
      <c r="AO29" s="12"/>
      <c r="AP29" s="5">
        <f t="shared" si="12"/>
        <v>5</v>
      </c>
      <c r="AQ29" s="28">
        <f t="shared" si="13"/>
        <v>84.848484848484844</v>
      </c>
    </row>
    <row r="30" spans="1:43" ht="18.2" customHeight="1" x14ac:dyDescent="0.25">
      <c r="A30" s="49">
        <v>1</v>
      </c>
      <c r="B30" s="49" t="s">
        <v>121</v>
      </c>
      <c r="C30" s="49" t="s">
        <v>193</v>
      </c>
      <c r="D30" s="49" t="s">
        <v>194</v>
      </c>
      <c r="E30" s="50" t="s">
        <v>195</v>
      </c>
      <c r="F30" s="15">
        <v>1071413</v>
      </c>
      <c r="G30" s="1">
        <f t="shared" si="4"/>
        <v>128</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v>
      </c>
      <c r="V55" s="23">
        <f t="shared" si="17"/>
        <v>98.834498834498845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9</v>
      </c>
      <c r="AI55" s="23">
        <f t="shared" ref="AI55" si="19">IFERROR(AVERAGE(AI5:AI54),"")</f>
        <v>97.902097902097921</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14</v>
      </c>
      <c r="AQ55" s="23">
        <f t="shared" ref="AQ55" si="23">IFERROR(AVERAGE(AQ5:AQ54),"")</f>
        <v>98.368298368298383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2023-06-27T05:36:19Z</dcterms:modified>
</cp:coreProperties>
</file>