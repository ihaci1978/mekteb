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<sst xmlns="http://schemas.openxmlformats.org/spreadsheetml/2006/main" count="267" uniqueCount="196">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</sst>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9"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O33" sqref="O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114</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1199044</v>
      </c>
      <c r="G5" s="16">
        <f>IF(F5="","",$G$4)</f>
        <v>114</v>
      </c>
      <c r="H5" s="16">
        <f>IF(F5="","",$H$4)</f>
        <v>33</v>
      </c>
      <c r="I5" s="17"/>
      <c r="J5" s="17"/>
      <c r="K5" s="17"/>
      <c r="L5" s="17"/>
      <c r="M5" s="17"/>
      <c r="N5" s="17"/>
      <c r="O5" s="17"/>
      <c r="P5" s="18" t="str">
        <f t="shared" ref="P5:P36" si="0">IFERROR(AVERAGE(J5:O5),"")</f>
        <v/>
      </c>
      <c r="Q5" s="17"/>
      <c r="R5" s="19" t="str">
        <f t="shared" ref="R5:R36" si="1">IF(Q5="",P5,IF(P5="",Q5,P5*40/100+Q5*60/100))</f>
        <v/>
      </c>
      <c r="S5" s="17"/>
      <c r="T5" s="17"/>
      <c r="U5" s="20">
        <v>5</v>
      </c>
      <c r="V5" s="57">
        <f>IF(U5="","",((H5/2)-U5)*100/(H5/2))</f>
        <v>69.696969696969703</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5</v>
      </c>
      <c r="AQ5" s="26">
        <f>IF(AP5="","",(H5-AP5)*100/H5)</f>
        <v>84.848484848484844</v>
      </c>
    </row>
    <row r="6" spans="1:43" ht="18.2" customHeight="1" thickBot="1" x14ac:dyDescent="0.3">
      <c r="A6" s="49">
        <v>1</v>
      </c>
      <c r="B6" s="49" t="s">
        <v>121</v>
      </c>
      <c r="C6" s="49" t="s">
        <v>125</v>
      </c>
      <c r="D6" s="49" t="s">
        <v>126</v>
      </c>
      <c r="E6" s="50" t="s">
        <v>127</v>
      </c>
      <c r="F6" s="15">
        <v>1199044</v>
      </c>
      <c r="G6" s="1">
        <f t="shared" ref="G6:G54" si="4">IF(F6="","",$G$4)</f>
        <v>114</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1199044</v>
      </c>
      <c r="G7" s="1">
        <f t="shared" si="4"/>
        <v>114</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1199044</v>
      </c>
      <c r="G8" s="1">
        <f t="shared" si="4"/>
        <v>114</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126</v>
      </c>
      <c r="E9" s="50" t="s">
        <v>135</v>
      </c>
      <c r="F9" s="15">
        <v>1199044</v>
      </c>
      <c r="G9" s="1">
        <f t="shared" si="4"/>
        <v>114</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1199044</v>
      </c>
      <c r="G10" s="1">
        <f t="shared" si="4"/>
        <v>114</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139</v>
      </c>
      <c r="D11" s="49" t="s">
        <v>140</v>
      </c>
      <c r="E11" s="50" t="s">
        <v>141</v>
      </c>
      <c r="F11" s="15">
        <v>1199044</v>
      </c>
      <c r="G11" s="1">
        <f t="shared" si="4"/>
        <v>114</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142</v>
      </c>
      <c r="D12" s="49" t="s">
        <v>143</v>
      </c>
      <c r="E12" s="50" t="s">
        <v>144</v>
      </c>
      <c r="F12" s="15">
        <v>1199044</v>
      </c>
      <c r="G12" s="1">
        <f t="shared" si="4"/>
        <v>114</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1199044</v>
      </c>
      <c r="G13" s="1">
        <f t="shared" si="4"/>
        <v>114</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1199044</v>
      </c>
      <c r="G14" s="1">
        <f t="shared" si="4"/>
        <v>114</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1199044</v>
      </c>
      <c r="G15" s="1">
        <f t="shared" si="4"/>
        <v>114</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1199044</v>
      </c>
      <c r="G16" s="1">
        <f t="shared" si="4"/>
        <v>114</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157</v>
      </c>
      <c r="D17" s="49" t="s">
        <v>158</v>
      </c>
      <c r="E17" s="50" t="s">
        <v>159</v>
      </c>
      <c r="F17" s="15">
        <v>1199044</v>
      </c>
      <c r="G17" s="1">
        <f t="shared" si="4"/>
        <v>114</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157</v>
      </c>
      <c r="D18" s="49" t="s">
        <v>160</v>
      </c>
      <c r="E18" s="50" t="s">
        <v>161</v>
      </c>
      <c r="F18" s="15">
        <v>1199044</v>
      </c>
      <c r="G18" s="1">
        <f t="shared" si="4"/>
        <v>114</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1199044</v>
      </c>
      <c r="G19" s="1">
        <f t="shared" si="4"/>
        <v>114</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165</v>
      </c>
      <c r="D20" s="49" t="s">
        <v>166</v>
      </c>
      <c r="E20" s="50" t="s">
        <v>167</v>
      </c>
      <c r="F20" s="15">
        <v>1199044</v>
      </c>
      <c r="G20" s="1">
        <f t="shared" si="4"/>
        <v>114</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1199044</v>
      </c>
      <c r="G21" s="1">
        <f t="shared" si="4"/>
        <v>114</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1199044</v>
      </c>
      <c r="G22" s="1">
        <f t="shared" si="4"/>
        <v>114</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1199044</v>
      </c>
      <c r="G23" s="1">
        <f t="shared" si="4"/>
        <v>114</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130</v>
      </c>
      <c r="F24" s="15">
        <v>1199044</v>
      </c>
      <c r="G24" s="1">
        <f t="shared" si="4"/>
        <v>114</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179</v>
      </c>
      <c r="D25" s="49" t="s">
        <v>180</v>
      </c>
      <c r="E25" s="50" t="s">
        <v>181</v>
      </c>
      <c r="F25" s="15">
        <v>1199044</v>
      </c>
      <c r="G25" s="1">
        <f t="shared" si="4"/>
        <v>114</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182</v>
      </c>
      <c r="D26" s="49" t="s">
        <v>183</v>
      </c>
      <c r="E26" s="50" t="s">
        <v>184</v>
      </c>
      <c r="F26" s="15">
        <v>1199044</v>
      </c>
      <c r="G26" s="1">
        <f t="shared" si="4"/>
        <v>114</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1199044</v>
      </c>
      <c r="G27" s="1">
        <f t="shared" si="4"/>
        <v>114</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188</v>
      </c>
      <c r="D28" s="49" t="s">
        <v>189</v>
      </c>
      <c r="E28" s="50" t="s">
        <v>190</v>
      </c>
      <c r="F28" s="15">
        <v>1199044</v>
      </c>
      <c r="G28" s="1">
        <f t="shared" si="4"/>
        <v>114</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191</v>
      </c>
      <c r="D29" s="49" t="s">
        <v>146</v>
      </c>
      <c r="E29" s="50" t="s">
        <v>192</v>
      </c>
      <c r="F29" s="15">
        <v>1199044</v>
      </c>
      <c r="G29" s="1">
        <f t="shared" si="4"/>
        <v>114</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v>1</v>
      </c>
      <c r="B30" s="49" t="s">
        <v>121</v>
      </c>
      <c r="C30" s="49" t="s">
        <v>193</v>
      </c>
      <c r="D30" s="49" t="s">
        <v>194</v>
      </c>
      <c r="E30" s="50" t="s">
        <v>195</v>
      </c>
      <c r="F30" s="15">
        <v>1199044</v>
      </c>
      <c r="G30" s="1">
        <f t="shared" si="4"/>
        <v>114</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114</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5</v>
      </c>
      <c r="V55" s="23">
        <f t="shared" si="17"/>
        <v>98.834498834498845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5</v>
      </c>
      <c r="AQ55" s="23">
        <f t="shared" ref="AQ55" si="23">IFERROR(AVERAGE(AQ5:AQ54),"")</f>
        <v>99.417249417249423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2023-07-12T08:01:14Z</dcterms:modified>
</cp:coreProperties>
</file>