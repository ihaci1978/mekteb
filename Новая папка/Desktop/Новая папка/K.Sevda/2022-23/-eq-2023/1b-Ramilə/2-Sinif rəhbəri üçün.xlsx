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<sst xmlns="http://schemas.openxmlformats.org/spreadsheetml/2006/main" count="3815" uniqueCount="253">
  <si>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</si>
  <si>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</si>
  <si>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</si>
  <si>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</si>
  <si>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</si>
  <si>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</si>
  <si>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</si>
  <si>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</si>
  <si>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</si>
  <si>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</si>
  <si>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</si>
  <si>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</si>
  <si>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</si>
  <si>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</si>
  <si>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</si>
  <si>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</si>
  <si>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</si>
  <si>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</si>
  <si>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</si>
  <si>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</si>
  <si>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</si>
  <si>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</si>
  <si>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</si>
  <si>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</si>
  <si>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</si>
  <si>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</si>
  <si>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</si>
  <si>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</si>
  <si>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</si>
  <si>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</si>
  <si>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</si>
  <si>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</si>
  <si>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</si>
  <si>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</si>
  <si>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</si>
  <si>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</si>
  <si>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</si>
  <si>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</si>
  <si>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</si>
  <si>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</si>
  <si>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</si>
  <si>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</si>
  <si>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</si>
  <si>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</si>
  <si>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</si>
  <si>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</si>
  <si>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</si>
  <si>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</si>
  <si>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</si>
  <si>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</si>
  <si>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</si>
  <si>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</si>
  <si>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</si>
  <si>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</si>
  <si>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</si>
  <si>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</si>
  <si>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</si>
  <si>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</si>
  <si>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</si>
  <si>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</si>
  <si>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</si>
  <si>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</si>
  <si>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</si>
  <si>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</si>
  <si>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</si>
  <si>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</si>
  <si>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</si>
  <si>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</si>
  <si>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</si>
  <si>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</si>
  <si>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</si>
  <si>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</si>
  <si>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</si>
  <si>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</si>
  <si>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</si>
  <si>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</si>
  <si>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</si>
  <si>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</si>
  <si>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</si>
  <si>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</si>
  <si>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</si>
  <si>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</si>
  <si>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</si>
  <si>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</si>
  <si>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</si>
  <si>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</si>
  <si>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</si>
  <si>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</si>
  <si>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</si>
  <si>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</si>
  <si>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</si>
  <si>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</si>
  <si>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</si>
  <si>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</si>
  <si>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</si>
  <si>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</si>
  <si>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</si>
  <si>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</si>
  <si>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</si>
  <si>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</si>
  <si>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</si>
  <si>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</si>
  <si>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</si>
  <si>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</si>
  <si>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</si>
  <si>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</si>
  <si>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</si>
  <si>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</si>
  <si>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</si>
  <si>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</si>
  <si>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</si>
  <si>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</si>
  <si>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</si>
  <si>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</si>
  <si>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</si>
  <si>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</si>
  <si>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</si>
  <si>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</si>
  <si>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</si>
  <si>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</si>
  <si>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</si>
  <si>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</si>
  <si>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</si>
  <si>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</si>
  <si>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</si>
  <si>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</si>
  <si>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</si>
  <si>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</si>
  <si>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</si>
  <si>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</si>
  <si>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</si>
  <si>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</si>
  <si>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</si>
  <si>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</si>
  <si>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</si>
  <si>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</si>
  <si>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</si>
  <si>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</si>
  <si>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</si>
  <si>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</si>
  <si>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</si>
  <si>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</si>
  <si>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</si>
  <si>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</si>
  <si>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</si>
  <si>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</si>
  <si>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</si>
  <si>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</si>
  <si>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</si>
  <si>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</si>
  <si>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</si>
  <si>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</si>
  <si>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</si>
  <si>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</si>
  <si>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</si>
  <si>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</si>
  <si>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</si>
  <si>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</si>
  <si>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</si>
  <si>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</si>
  <si>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</si>
  <si>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</si>
  <si>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</si>
  <si>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</si>
  <si>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</si>
  <si>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</si>
  <si>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</si>
  <si>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</si>
  <si>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</si>
  <si>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</si>
  <si>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</si>
  <si>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</si>
  <si>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</si>
  <si>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</si>
  <si>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</si>
  <si>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</si>
  <si>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</si>
  <si>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</si>
  <si>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</si>
  <si>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</si>
  <si>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</si>
  <si>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</si>
  <si>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</si>
  <si>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</si>
  <si>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</si>
  <si>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</si>
  <si>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</si>
  <si>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</si>
  <si>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</si>
  <si>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</si>
  <si>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</si>
  <si>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</si>
  <si>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</si>
  <si>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</si>
  <si>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</si>
  <si>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</si>
  <si>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</si>
  <si>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</si>
  <si>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</si>
  <si>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</si>
  <si>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</si>
  <si>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</si>
  <si>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</si>
  <si>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</si>
  <si>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</si>
  <si>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</si>
  <si>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</si>
  <si>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</si>
  <si>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</si>
  <si>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</si>
  <si>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</si>
  <si>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</si>
  <si>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</si>
  <si>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</si>
  <si>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</si>
  <si>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</si>
  <si>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</si>
  <si>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</si>
  <si>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</si>
  <si>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</si>
  <si>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</si>
  <si>
    <t>B</t>
  </si>
  <si>
    <t>2022-2023</t>
  </si>
  <si>
    <t>Bakı</t>
  </si>
  <si>
    <t>Binəqədi</t>
  </si>
  <si>
    <t>Məmmədova Ramilə Xasay</t>
  </si>
  <si>
    <t>055-4065554</t>
  </si>
  <si>
    <t>077-5248188</t>
  </si>
  <si>
    <t>055-3707034</t>
  </si>
  <si>
    <t>051-3684868</t>
  </si>
  <si>
    <t>051-6960195</t>
  </si>
  <si>
    <t>055-9992872</t>
  </si>
  <si>
    <t>070-5316227</t>
  </si>
  <si>
    <t>051-5652130</t>
  </si>
  <si>
    <t>050-7288445</t>
  </si>
  <si>
    <t>050-6166600</t>
  </si>
  <si>
    <t>050-3863740</t>
  </si>
  <si>
    <t>055-501-73-86</t>
  </si>
  <si>
    <t>055-8814184</t>
  </si>
  <si>
    <t>050-7490207</t>
  </si>
  <si>
    <t>055-2528542</t>
  </si>
  <si>
    <t>070-6734468</t>
  </si>
  <si>
    <t>050-7653448</t>
  </si>
  <si>
    <t>070-6121303</t>
  </si>
  <si>
    <t>055-4128326</t>
  </si>
  <si>
    <t>051-5541850</t>
  </si>
  <si>
    <t>077-3081379</t>
  </si>
  <si>
    <t>050-8065677</t>
  </si>
  <si>
    <t>055-4948414</t>
  </si>
  <si>
    <t>050-5142236</t>
  </si>
  <si>
    <t>055-7516121</t>
  </si>
  <si>
    <t/>
  </si>
  <si>
    <t>050-6912116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</si>
</sst>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32" zoomScaleNormal="32" workbookViewId="0">
      <pane xSplit="10" ySplit="9" topLeftCell="K10" activePane="bottomRight" state="frozen"/>
      <selection pane="topRight" activeCell="H1" sqref="H1"/>
      <selection pane="bottomLeft" activeCell="A5" sqref="A5"/>
      <selection pane="bottomRight" activeCell="YM10" sqref="YM10:ZX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1B</v>
      </c>
      <c r="I2" s="75" t="str">
        <f>IF(K9="R","Rus",IF(K9="A","Azərbaycan",""))</f>
        <v>Azərbaycan</v>
      </c>
      <c r="J2" s="75"/>
      <c r="K2" s="75" t="str">
        <f>IF(K9="","",K9)</f>
        <v>A</v>
      </c>
      <c r="L2" s="75">
        <f>SUM(L4,L6)</f>
        <v>26</v>
      </c>
      <c r="M2" s="75"/>
      <c r="N2" s="75"/>
      <c r="O2" s="75"/>
      <c r="P2" s="75" t="str">
        <f>IF(P9="","",P9)</f>
        <v>Məmmədova Ramilə Xasay</v>
      </c>
      <c r="Q2" s="75"/>
      <c r="R2" s="75">
        <f>IF(Q1="","",Q1)</f>
        <v>101</v>
      </c>
      <c r="S2" s="75">
        <f>IF(S10="","",S10)</f>
        <v>270</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480</v>
      </c>
      <c r="AG2" s="76">
        <f t="shared" si="0"/>
        <v>86.324786324786317</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244</v>
      </c>
      <c r="AT2" s="76">
        <f t="shared" si="0"/>
        <v>93.048433048433054</v>
      </c>
      <c r="AU2" s="76" t="str">
        <f t="shared" si="0"/>
        <v/>
      </c>
      <c r="AV2" s="76" t="str">
        <f t="shared" si="0"/>
        <v/>
      </c>
      <c r="AW2" s="76" t="str">
        <f t="shared" si="0"/>
        <v/>
      </c>
      <c r="AX2" s="78" t="str">
        <f t="shared" si="0"/>
        <v/>
      </c>
      <c r="AY2" s="76" t="str">
        <f t="shared" si="0"/>
        <v/>
      </c>
      <c r="AZ2" s="76" t="str">
        <f t="shared" si="0"/>
        <v/>
      </c>
      <c r="BA2" s="77">
        <f>IFERROR(SUM(BA10:BA59),"")</f>
        <v>724</v>
      </c>
      <c r="BB2" s="76">
        <f t="shared" si="0"/>
        <v>89.686609686609685</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33</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2</v>
      </c>
      <c r="EQ2" s="79">
        <f t="shared" si="3"/>
        <v>99.533799533799538</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0</v>
      </c>
      <c r="FD2" s="79">
        <f t="shared" si="3"/>
        <v>100</v>
      </c>
      <c r="FE2" s="79" t="str">
        <f t="shared" si="3"/>
        <v/>
      </c>
      <c r="FF2" s="79" t="str">
        <f t="shared" si="3"/>
        <v/>
      </c>
      <c r="FG2" s="79" t="str">
        <f t="shared" si="3"/>
        <v/>
      </c>
      <c r="FH2" s="79" t="str">
        <f t="shared" si="3"/>
        <v/>
      </c>
      <c r="FI2" s="79" t="str">
        <f t="shared" si="3"/>
        <v/>
      </c>
      <c r="FJ2" s="79" t="str">
        <f t="shared" si="3"/>
        <v/>
      </c>
      <c r="FK2" s="79">
        <f>IFERROR(SUM(FK10:FK59),"")</f>
        <v>2</v>
      </c>
      <c r="FL2" s="79">
        <f t="shared" si="3"/>
        <v>99.766899766899769</v>
      </c>
      <c r="FM2" s="75"/>
      <c r="FN2" s="75">
        <f>IF(FM1="","",FM1)</f>
        <v>110</v>
      </c>
      <c r="FO2" s="75">
        <f>IF(FO10="","",FO10)</f>
        <v>168</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250</v>
      </c>
      <c r="GC2" s="75">
        <f t="shared" si="4"/>
        <v>88.553113553113562</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168</v>
      </c>
      <c r="GP2" s="75">
        <f t="shared" si="4"/>
        <v>92.307692307692307</v>
      </c>
      <c r="GQ2" s="75" t="str">
        <f t="shared" si="4"/>
        <v/>
      </c>
      <c r="GR2" s="75" t="str">
        <f t="shared" si="4"/>
        <v/>
      </c>
      <c r="GS2" s="75" t="str">
        <f t="shared" si="4"/>
        <v/>
      </c>
      <c r="GT2" s="75" t="str">
        <f t="shared" si="4"/>
        <v/>
      </c>
      <c r="GU2" s="75" t="str">
        <f t="shared" si="4"/>
        <v/>
      </c>
      <c r="GV2" s="75" t="str">
        <f t="shared" si="4"/>
        <v/>
      </c>
      <c r="GW2" s="75">
        <f>IFERROR(SUM(GW10:GW59),"")</f>
        <v>418</v>
      </c>
      <c r="GX2" s="75">
        <f t="shared" si="4"/>
        <v>90.430402930402934</v>
      </c>
      <c r="GY2" s="79"/>
      <c r="GZ2" s="79">
        <f>IF(GY1="","",GY1)</f>
        <v>114</v>
      </c>
      <c r="HA2" s="79">
        <f>IF(HA10="","",HA10)</f>
        <v>33</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5</v>
      </c>
      <c r="HO2" s="79">
        <f t="shared" si="5"/>
        <v>98.834498834498845</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f t="shared" si="5"/>
        <v>100</v>
      </c>
      <c r="IC2" s="79" t="str">
        <f t="shared" si="5"/>
        <v/>
      </c>
      <c r="ID2" s="79" t="str">
        <f t="shared" si="5"/>
        <v/>
      </c>
      <c r="IE2" s="79" t="str">
        <f t="shared" si="5"/>
        <v/>
      </c>
      <c r="IF2" s="79" t="str">
        <f t="shared" si="5"/>
        <v/>
      </c>
      <c r="IG2" s="79" t="str">
        <f t="shared" si="5"/>
        <v/>
      </c>
      <c r="IH2" s="79" t="str">
        <f t="shared" si="5"/>
        <v/>
      </c>
      <c r="II2" s="79">
        <f>IFERROR(SUM(II10:II59),"")</f>
        <v>5</v>
      </c>
      <c r="IJ2" s="79">
        <f t="shared" si="5"/>
        <v>99.417249417249423</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33</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35</v>
      </c>
      <c r="QI2" s="79">
        <f t="shared" si="11"/>
        <v>91.841491841491887</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29</v>
      </c>
      <c r="QV2" s="79">
        <f t="shared" si="11"/>
        <v>93.240093240093273</v>
      </c>
      <c r="QW2" s="79" t="str">
        <f t="shared" si="11"/>
        <v/>
      </c>
      <c r="QX2" s="79" t="str">
        <f t="shared" si="11"/>
        <v/>
      </c>
      <c r="QY2" s="79" t="str">
        <f t="shared" si="11"/>
        <v/>
      </c>
      <c r="QZ2" s="79" t="str">
        <f t="shared" si="11"/>
        <v/>
      </c>
      <c r="RA2" s="79" t="str">
        <f t="shared" si="11"/>
        <v/>
      </c>
      <c r="RB2" s="79" t="str">
        <f t="shared" si="11"/>
        <v/>
      </c>
      <c r="RC2" s="79">
        <f>IFERROR(SUM(RC10:RC59),"")</f>
        <v>64</v>
      </c>
      <c r="RD2" s="79">
        <f t="shared" si="11"/>
        <v>92.540792540792552</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69</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88</v>
      </c>
      <c r="US2" s="75">
        <f t="shared" si="14"/>
        <v>90.189520624303242</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f t="shared" si="14"/>
        <v>2.3846153846153846</v>
      </c>
      <c r="VE2" s="75">
        <f>IFERROR(SUM(VE10:VE59),"")</f>
        <v>0</v>
      </c>
      <c r="VF2" s="75" t="str">
        <f t="shared" si="14"/>
        <v/>
      </c>
      <c r="VG2" s="75" t="str">
        <f t="shared" si="14"/>
        <v/>
      </c>
      <c r="VH2" s="75" t="str">
        <f t="shared" si="14"/>
        <v/>
      </c>
      <c r="VI2" s="75" t="str">
        <f t="shared" si="14"/>
        <v/>
      </c>
      <c r="VJ2" s="75" t="str">
        <f t="shared" si="14"/>
        <v/>
      </c>
      <c r="VK2" s="75">
        <f t="shared" si="14"/>
        <v>2.3846153846153846</v>
      </c>
      <c r="VL2" s="75" t="str">
        <f t="shared" si="14"/>
        <v/>
      </c>
      <c r="VM2" s="75">
        <f>IFERROR(SUM(VM10:VM59),"")</f>
        <v>88</v>
      </c>
      <c r="VN2" s="75">
        <f t="shared" si="14"/>
        <v>95.094760312151621</v>
      </c>
      <c r="VO2" s="79"/>
      <c r="VP2" s="79">
        <f>IF(VO1="","",VO1)</f>
        <v>132</v>
      </c>
      <c r="VQ2" s="79">
        <f>IF(VQ10="","",VQ10)</f>
        <v>34</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58</v>
      </c>
      <c r="WE2" s="79">
        <f t="shared" si="15"/>
        <v>86.877828054298618</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18</v>
      </c>
      <c r="WR2" s="79">
        <f t="shared" si="15"/>
        <v>95.927601809954751</v>
      </c>
      <c r="WS2" s="79" t="str">
        <f t="shared" si="15"/>
        <v/>
      </c>
      <c r="WT2" s="79" t="str">
        <f t="shared" si="15"/>
        <v/>
      </c>
      <c r="WU2" s="79" t="str">
        <f t="shared" si="15"/>
        <v/>
      </c>
      <c r="WV2" s="79" t="str">
        <f t="shared" si="15"/>
        <v/>
      </c>
      <c r="WW2" s="79" t="str">
        <f t="shared" si="15"/>
        <v/>
      </c>
      <c r="WX2" s="79" t="str">
        <f t="shared" si="15"/>
        <v/>
      </c>
      <c r="WY2" s="79">
        <f>IFERROR(SUM(WY10:WY59),"")</f>
        <v>76</v>
      </c>
      <c r="WZ2" s="79">
        <f t="shared" si="15"/>
        <v>91.402714932126685</v>
      </c>
      <c r="XA2" s="75"/>
      <c r="XB2" s="75">
        <f>IF(XA1="","",XA1)</f>
        <v>133</v>
      </c>
      <c r="XC2" s="75">
        <f>IF(XC10="","",XC10)</f>
        <v>34</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36</v>
      </c>
      <c r="XQ2" s="75">
        <f t="shared" si="16"/>
        <v>91.855203619909489</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14</v>
      </c>
      <c r="YD2" s="75">
        <f t="shared" si="16"/>
        <v>96.832579185520359</v>
      </c>
      <c r="YE2" s="75" t="str">
        <f t="shared" si="16"/>
        <v/>
      </c>
      <c r="YF2" s="75" t="str">
        <f t="shared" si="16"/>
        <v/>
      </c>
      <c r="YG2" s="75" t="str">
        <f t="shared" si="16"/>
        <v/>
      </c>
      <c r="YH2" s="75" t="str">
        <f t="shared" si="16"/>
        <v/>
      </c>
      <c r="YI2" s="75" t="str">
        <f t="shared" si="16"/>
        <v/>
      </c>
      <c r="YJ2" s="75" t="str">
        <f t="shared" si="16"/>
        <v/>
      </c>
      <c r="YK2" s="75">
        <f>IFERROR(SUM(YK10:YK59),"")</f>
        <v>50</v>
      </c>
      <c r="YL2" s="75">
        <f t="shared" si="16"/>
        <v>94.343891402714917</v>
      </c>
      <c r="YM2" s="79"/>
      <c r="YN2" s="79">
        <f>IF(YM1="","",YM1)</f>
        <v>135</v>
      </c>
      <c r="YO2" s="79">
        <f>IF(YO10="","",YO10)</f>
        <v>33</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56</v>
      </c>
      <c r="ZC2" s="79">
        <f t="shared" si="17"/>
        <v>86.946386946386937</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20</v>
      </c>
      <c r="ZP2" s="79">
        <f t="shared" si="17"/>
        <v>95.337995337995366</v>
      </c>
      <c r="ZQ2" s="79" t="str">
        <f t="shared" si="17"/>
        <v/>
      </c>
      <c r="ZR2" s="79" t="str">
        <f t="shared" si="17"/>
        <v/>
      </c>
      <c r="ZS2" s="79" t="str">
        <f t="shared" si="17"/>
        <v/>
      </c>
      <c r="ZT2" s="79" t="str">
        <f t="shared" si="17"/>
        <v/>
      </c>
      <c r="ZU2" s="79" t="str">
        <f t="shared" si="17"/>
        <v/>
      </c>
      <c r="ZV2" s="79" t="str">
        <f t="shared" si="17"/>
        <v/>
      </c>
      <c r="ZW2" s="79">
        <f>IFERROR(SUM(ZW10:ZW59),"")</f>
        <v>76</v>
      </c>
      <c r="ZX2" s="79">
        <f t="shared" si="17"/>
        <v>91.142191142191152</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f t="shared" si="79"/>
        <v>0</v>
      </c>
      <c r="VE3" s="82"/>
      <c r="VF3" s="82"/>
      <c r="VG3" s="82" t="str">
        <f t="shared" ref="VG3:VI3" si="80">IFERROR(COUNTIFS(VG10:VG900000,"&gt;80",VG10:VG900000,"&lt;=100")/COUNTIF(VG10:VG900000,"&gt;=0"),"")</f>
        <v/>
      </c>
      <c r="VH3" s="82" t="str">
        <f t="shared" si="80"/>
        <v/>
      </c>
      <c r="VI3" s="82" t="str">
        <f t="shared" si="80"/>
        <v/>
      </c>
      <c r="VJ3" s="82"/>
      <c r="VK3" s="82">
        <f t="shared" ref="VK3:VL3" si="81">IFERROR(COUNTIFS(VK10:VK900000,"&gt;80",VK10:VK900000,"&lt;=100")/COUNTIF(VK10:VK900000,"&gt;=0"),"")</f>
        <v>0</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15</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f t="shared" si="172"/>
        <v>0</v>
      </c>
      <c r="VE4" s="82"/>
      <c r="VF4" s="82"/>
      <c r="VG4" s="82" t="str">
        <f t="shared" ref="VG4:VI4" si="173">IFERROR(COUNTIFS(VG10:VG900000,"&gt;60",VG10:VG900000,"&lt;=80")/COUNTIF(VG10:VG900000,"&gt;=0"),"")</f>
        <v/>
      </c>
      <c r="VH4" s="82" t="str">
        <f t="shared" si="173"/>
        <v/>
      </c>
      <c r="VI4" s="82" t="str">
        <f t="shared" si="173"/>
        <v/>
      </c>
      <c r="VJ4" s="82"/>
      <c r="VK4" s="82">
        <f t="shared" ref="VK4:VL4" si="174">IFERROR(COUNTIFS(VK10:VK900000,"&gt;60",VK10:VK900000,"&lt;=80")/COUNTIF(VK10:VK900000,"&gt;=0"),"")</f>
        <v>0</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f t="shared" si="265"/>
        <v>0</v>
      </c>
      <c r="VE5" s="82"/>
      <c r="VF5" s="82"/>
      <c r="VG5" s="82" t="str">
        <f t="shared" ref="VG5:VI5" si="266">IFERROR(COUNTIFS(VG10:VG900000,"&gt;30",VG10:VG900000,"&lt;=60")/COUNTIF(VG10:VG900000,"&gt;=0"),"")</f>
        <v/>
      </c>
      <c r="VH5" s="82" t="str">
        <f t="shared" si="266"/>
        <v/>
      </c>
      <c r="VI5" s="82" t="str">
        <f t="shared" si="266"/>
        <v/>
      </c>
      <c r="VJ5" s="82"/>
      <c r="VK5" s="82">
        <f t="shared" ref="VK5:VL5" si="267">IFERROR(COUNTIFS(VK10:VK900000,"&gt;30",VK10:VK900000,"&lt;=60")/COUNTIF(VK10:VK900000,"&gt;=0"),"")</f>
        <v>0</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11</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f t="shared" si="358"/>
        <v>1</v>
      </c>
      <c r="VE6" s="82"/>
      <c r="VF6" s="82"/>
      <c r="VG6" s="82" t="str">
        <f t="shared" ref="VG6:VI6" si="359">IFERROR(COUNTIFS(VG10:VG900000,"&gt;=0",VG10:VG900000,"&lt;=30")/COUNTIF(VG10:VG900000,"&gt;=0"),"")</f>
        <v/>
      </c>
      <c r="VH6" s="82" t="str">
        <f t="shared" si="359"/>
        <v/>
      </c>
      <c r="VI6" s="82" t="str">
        <f t="shared" si="359"/>
        <v/>
      </c>
      <c r="VJ6" s="82"/>
      <c r="VK6" s="82">
        <f t="shared" ref="VK6:VL6" si="360">IFERROR(COUNTIFS(VK10:VK900000,"&gt;=0",VK10:VK900000,"&lt;=30")/COUNTIF(VK10:VK900000,"&gt;=0"),"")</f>
        <v>1</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222</v>
      </c>
      <c r="B9" s="45" t="s">
        <v>223</v>
      </c>
      <c r="C9" s="44" t="s">
        <v>224</v>
      </c>
      <c r="D9" s="44">
        <v>99</v>
      </c>
      <c r="E9" s="105"/>
      <c r="F9" s="46">
        <v>1</v>
      </c>
      <c r="G9" s="46" t="s">
        <v>221</v>
      </c>
      <c r="H9" s="85" t="s">
        <v>2</v>
      </c>
      <c r="I9" s="85" t="s">
        <v>3</v>
      </c>
      <c r="J9" s="85" t="s">
        <v>1</v>
      </c>
      <c r="K9" s="46" t="s">
        <v>98</v>
      </c>
      <c r="L9" s="105"/>
      <c r="M9" s="105"/>
      <c r="N9" s="105"/>
      <c r="O9" s="105"/>
      <c r="P9" s="47" t="s">
        <v>225</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4240015</v>
      </c>
      <c r="F10" s="89">
        <f>IF(H10="","",$F$9)</f>
        <v>1</v>
      </c>
      <c r="G10" s="89" t="str">
        <f>IF(H10="","",$G$9)</f>
        <v>B</v>
      </c>
      <c r="H10" s="36" t="s">
        <v>147</v>
      </c>
      <c r="I10" s="36" t="s">
        <v>148</v>
      </c>
      <c r="J10" s="40" t="s">
        <v>149</v>
      </c>
      <c r="K10" s="90" t="str">
        <f>IF(H10="","",$K$9)</f>
        <v>A</v>
      </c>
      <c r="L10" s="40" t="s">
        <v>119</v>
      </c>
      <c r="M10" s="92">
        <v>42361</v>
      </c>
      <c r="N10" s="40"/>
      <c r="O10" s="42" t="s">
        <v>252</v>
      </c>
      <c r="P10" s="91" t="str">
        <f>IF(H10="","",$P$9)</f>
        <v>Məmmədova Ramilə Xasay</v>
      </c>
      <c r="Q10" s="48">
        <v>1072743</v>
      </c>
      <c r="R10" s="38">
        <v>101</v>
      </c>
      <c r="S10" s="38">
        <v>270</v>
      </c>
      <c r="T10" s="34"/>
      <c r="U10" s="34"/>
      <c r="V10" s="34"/>
      <c r="W10" s="34"/>
      <c r="X10" s="34"/>
      <c r="Y10" s="34"/>
      <c r="Z10" s="34"/>
      <c r="AA10" s="49" t="s">
        <v>251</v>
      </c>
      <c r="AB10" s="34"/>
      <c r="AC10" s="50" t="s">
        <v>251</v>
      </c>
      <c r="AD10" s="34"/>
      <c r="AE10" s="34"/>
      <c r="AF10" s="35">
        <v>46</v>
      </c>
      <c r="AG10" s="49">
        <v>65.925925925925924</v>
      </c>
      <c r="AH10" s="34"/>
      <c r="AI10" s="34"/>
      <c r="AJ10" s="34"/>
      <c r="AK10" s="34"/>
      <c r="AL10" s="34"/>
      <c r="AM10" s="34"/>
      <c r="AN10" s="49" t="s">
        <v>251</v>
      </c>
      <c r="AO10" s="34"/>
      <c r="AP10" s="50" t="s">
        <v>251</v>
      </c>
      <c r="AQ10" s="34"/>
      <c r="AR10" s="34"/>
      <c r="AS10" s="35">
        <v>10</v>
      </c>
      <c r="AT10" s="49">
        <v>92.592592592592595</v>
      </c>
      <c r="AU10" s="49" t="s">
        <v>251</v>
      </c>
      <c r="AV10" s="49" t="s">
        <v>251</v>
      </c>
      <c r="AW10" s="50" t="s">
        <v>251</v>
      </c>
      <c r="AX10" s="51" t="s">
        <v>251</v>
      </c>
      <c r="AY10" s="49" t="s">
        <v>251</v>
      </c>
      <c r="AZ10" s="34"/>
      <c r="BA10" s="52">
        <v>56</v>
      </c>
      <c r="BB10" s="53">
        <v>79.259259259259252</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1269215</v>
      </c>
      <c r="EB10" s="38">
        <v>106</v>
      </c>
      <c r="EC10" s="38">
        <v>33</v>
      </c>
      <c r="ED10" s="34"/>
      <c r="EE10" s="34"/>
      <c r="EF10" s="34"/>
      <c r="EG10" s="34"/>
      <c r="EH10" s="34"/>
      <c r="EI10" s="34"/>
      <c r="EJ10" s="34"/>
      <c r="EK10" s="49" t="s">
        <v>251</v>
      </c>
      <c r="EL10" s="34"/>
      <c r="EM10" s="50" t="s">
        <v>251</v>
      </c>
      <c r="EN10" s="34"/>
      <c r="EO10" s="34"/>
      <c r="EP10" s="35">
        <v>0</v>
      </c>
      <c r="EQ10" s="49">
        <v>100</v>
      </c>
      <c r="ER10" s="34"/>
      <c r="ES10" s="34"/>
      <c r="ET10" s="34"/>
      <c r="EU10" s="34"/>
      <c r="EV10" s="34"/>
      <c r="EW10" s="34"/>
      <c r="EX10" s="49" t="s">
        <v>251</v>
      </c>
      <c r="EY10" s="34"/>
      <c r="EZ10" s="50" t="s">
        <v>251</v>
      </c>
      <c r="FA10" s="34"/>
      <c r="FB10" s="34"/>
      <c r="FC10" s="35">
        <v>0</v>
      </c>
      <c r="FD10" s="49">
        <v>100</v>
      </c>
      <c r="FE10" s="49" t="s">
        <v>251</v>
      </c>
      <c r="FF10" s="49" t="s">
        <v>251</v>
      </c>
      <c r="FG10" s="50" t="s">
        <v>251</v>
      </c>
      <c r="FH10" s="51" t="s">
        <v>251</v>
      </c>
      <c r="FI10" s="49" t="s">
        <v>251</v>
      </c>
      <c r="FJ10" s="34"/>
      <c r="FK10" s="52">
        <v>0</v>
      </c>
      <c r="FL10" s="53">
        <v>100</v>
      </c>
      <c r="FM10" s="48">
        <v>1072743</v>
      </c>
      <c r="FN10" s="38">
        <v>110</v>
      </c>
      <c r="FO10" s="38">
        <v>168</v>
      </c>
      <c r="FP10" s="34"/>
      <c r="FQ10" s="34"/>
      <c r="FR10" s="34"/>
      <c r="FS10" s="34"/>
      <c r="FT10" s="34"/>
      <c r="FU10" s="34"/>
      <c r="FV10" s="34"/>
      <c r="FW10" s="49" t="s">
        <v>251</v>
      </c>
      <c r="FX10" s="34"/>
      <c r="FY10" s="50" t="s">
        <v>251</v>
      </c>
      <c r="FZ10" s="34"/>
      <c r="GA10" s="34"/>
      <c r="GB10" s="35">
        <v>29</v>
      </c>
      <c r="GC10" s="49">
        <v>65.476190476190482</v>
      </c>
      <c r="GD10" s="34"/>
      <c r="GE10" s="34"/>
      <c r="GF10" s="34"/>
      <c r="GG10" s="34"/>
      <c r="GH10" s="34"/>
      <c r="GI10" s="34"/>
      <c r="GJ10" s="49" t="s">
        <v>251</v>
      </c>
      <c r="GK10" s="34"/>
      <c r="GL10" s="50" t="s">
        <v>251</v>
      </c>
      <c r="GM10" s="34"/>
      <c r="GN10" s="34"/>
      <c r="GO10" s="35">
        <v>7</v>
      </c>
      <c r="GP10" s="49">
        <v>91.666666666666671</v>
      </c>
      <c r="GQ10" s="49" t="s">
        <v>251</v>
      </c>
      <c r="GR10" s="49" t="s">
        <v>251</v>
      </c>
      <c r="GS10" s="50" t="s">
        <v>251</v>
      </c>
      <c r="GT10" s="51" t="s">
        <v>251</v>
      </c>
      <c r="GU10" s="49" t="s">
        <v>251</v>
      </c>
      <c r="GV10" s="34"/>
      <c r="GW10" s="52">
        <v>36</v>
      </c>
      <c r="GX10" s="53">
        <v>78.571428571428569</v>
      </c>
      <c r="GY10" s="48">
        <v>1199044</v>
      </c>
      <c r="GZ10" s="38">
        <v>114</v>
      </c>
      <c r="HA10" s="38">
        <v>33</v>
      </c>
      <c r="HB10" s="34"/>
      <c r="HC10" s="34"/>
      <c r="HD10" s="34"/>
      <c r="HE10" s="34"/>
      <c r="HF10" s="34"/>
      <c r="HG10" s="34"/>
      <c r="HH10" s="34"/>
      <c r="HI10" s="49" t="s">
        <v>251</v>
      </c>
      <c r="HJ10" s="34"/>
      <c r="HK10" s="50" t="s">
        <v>251</v>
      </c>
      <c r="HL10" s="34"/>
      <c r="HM10" s="34"/>
      <c r="HN10" s="35">
        <v>5</v>
      </c>
      <c r="HO10" s="49">
        <v>69.696969696969703</v>
      </c>
      <c r="HP10" s="34"/>
      <c r="HQ10" s="34"/>
      <c r="HR10" s="34"/>
      <c r="HS10" s="34"/>
      <c r="HT10" s="34"/>
      <c r="HU10" s="34"/>
      <c r="HV10" s="49" t="s">
        <v>251</v>
      </c>
      <c r="HW10" s="34"/>
      <c r="HX10" s="50" t="s">
        <v>251</v>
      </c>
      <c r="HY10" s="34"/>
      <c r="HZ10" s="34"/>
      <c r="IA10" s="35">
        <v>0</v>
      </c>
      <c r="IB10" s="49">
        <v>100</v>
      </c>
      <c r="IC10" s="49" t="s">
        <v>251</v>
      </c>
      <c r="ID10" s="49" t="s">
        <v>251</v>
      </c>
      <c r="IE10" s="50" t="s">
        <v>251</v>
      </c>
      <c r="IF10" s="51" t="s">
        <v>251</v>
      </c>
      <c r="IG10" s="49" t="s">
        <v>251</v>
      </c>
      <c r="IH10" s="34"/>
      <c r="II10" s="52">
        <v>5</v>
      </c>
      <c r="IJ10" s="53">
        <v>84.848484848484844</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1072743</v>
      </c>
      <c r="PT10" s="38">
        <v>128</v>
      </c>
      <c r="PU10" s="38">
        <v>33</v>
      </c>
      <c r="PV10" s="34"/>
      <c r="PW10" s="34"/>
      <c r="PX10" s="34"/>
      <c r="PY10" s="34"/>
      <c r="PZ10" s="34"/>
      <c r="QA10" s="34"/>
      <c r="QB10" s="34"/>
      <c r="QC10" s="49" t="s">
        <v>251</v>
      </c>
      <c r="QD10" s="34"/>
      <c r="QE10" s="50" t="s">
        <v>251</v>
      </c>
      <c r="QF10" s="34"/>
      <c r="QG10" s="34"/>
      <c r="QH10" s="35">
        <v>0</v>
      </c>
      <c r="QI10" s="49">
        <v>100</v>
      </c>
      <c r="QJ10" s="34"/>
      <c r="QK10" s="34"/>
      <c r="QL10" s="34"/>
      <c r="QM10" s="34"/>
      <c r="QN10" s="34"/>
      <c r="QO10" s="34"/>
      <c r="QP10" s="49" t="s">
        <v>251</v>
      </c>
      <c r="QQ10" s="34"/>
      <c r="QR10" s="50" t="s">
        <v>251</v>
      </c>
      <c r="QS10" s="34"/>
      <c r="QT10" s="34"/>
      <c r="QU10" s="35">
        <v>1</v>
      </c>
      <c r="QV10" s="49">
        <v>93.939393939393938</v>
      </c>
      <c r="QW10" s="49" t="s">
        <v>251</v>
      </c>
      <c r="QX10" s="49" t="s">
        <v>251</v>
      </c>
      <c r="QY10" s="50" t="s">
        <v>251</v>
      </c>
      <c r="QZ10" s="51" t="s">
        <v>251</v>
      </c>
      <c r="RA10" s="49" t="s">
        <v>251</v>
      </c>
      <c r="RB10" s="34"/>
      <c r="RC10" s="52">
        <v>1</v>
      </c>
      <c r="RD10" s="53">
        <v>96.969696969696969</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1072743</v>
      </c>
      <c r="UD10" s="38">
        <v>131</v>
      </c>
      <c r="UE10" s="38">
        <v>69</v>
      </c>
      <c r="UF10" s="34"/>
      <c r="UG10" s="34"/>
      <c r="UH10" s="34"/>
      <c r="UI10" s="34"/>
      <c r="UJ10" s="34"/>
      <c r="UK10" s="34"/>
      <c r="UL10" s="34"/>
      <c r="UM10" s="49" t="s">
        <v>251</v>
      </c>
      <c r="UN10" s="34"/>
      <c r="UO10" s="50" t="s">
        <v>251</v>
      </c>
      <c r="UP10" s="34"/>
      <c r="UQ10" s="34"/>
      <c r="UR10" s="35">
        <v>12</v>
      </c>
      <c r="US10" s="49">
        <v>65.217391304347828</v>
      </c>
      <c r="UT10" s="34"/>
      <c r="UU10" s="34"/>
      <c r="UV10" s="34"/>
      <c r="UW10" s="34"/>
      <c r="UX10" s="34"/>
      <c r="UY10" s="34"/>
      <c r="UZ10" s="49" t="s">
        <v>251</v>
      </c>
      <c r="VA10" s="34"/>
      <c r="VB10" s="50" t="s">
        <v>251</v>
      </c>
      <c r="VC10" s="34"/>
      <c r="VD10" s="34">
        <v>2</v>
      </c>
      <c r="VE10" s="35"/>
      <c r="VF10" s="49" t="s">
        <v>251</v>
      </c>
      <c r="VG10" s="49" t="s">
        <v>251</v>
      </c>
      <c r="VH10" s="49" t="s">
        <v>251</v>
      </c>
      <c r="VI10" s="50" t="s">
        <v>251</v>
      </c>
      <c r="VJ10" s="51" t="s">
        <v>251</v>
      </c>
      <c r="VK10" s="49">
        <v>2</v>
      </c>
      <c r="VL10" s="34"/>
      <c r="VM10" s="52">
        <v>12</v>
      </c>
      <c r="VN10" s="53">
        <v>82.608695652173907</v>
      </c>
      <c r="VO10" s="48">
        <v>1072743</v>
      </c>
      <c r="VP10" s="38">
        <v>132</v>
      </c>
      <c r="VQ10" s="38">
        <v>34</v>
      </c>
      <c r="VR10" s="34"/>
      <c r="VS10" s="34"/>
      <c r="VT10" s="34"/>
      <c r="VU10" s="34"/>
      <c r="VV10" s="34"/>
      <c r="VW10" s="34"/>
      <c r="VX10" s="34"/>
      <c r="VY10" s="49" t="s">
        <v>251</v>
      </c>
      <c r="VZ10" s="34"/>
      <c r="WA10" s="50" t="s">
        <v>251</v>
      </c>
      <c r="WB10" s="34"/>
      <c r="WC10" s="34"/>
      <c r="WD10" s="35">
        <v>6</v>
      </c>
      <c r="WE10" s="49">
        <v>64.705882352941174</v>
      </c>
      <c r="WF10" s="34"/>
      <c r="WG10" s="34"/>
      <c r="WH10" s="34"/>
      <c r="WI10" s="34"/>
      <c r="WJ10" s="34"/>
      <c r="WK10" s="34"/>
      <c r="WL10" s="49" t="s">
        <v>251</v>
      </c>
      <c r="WM10" s="34"/>
      <c r="WN10" s="50" t="s">
        <v>251</v>
      </c>
      <c r="WO10" s="34"/>
      <c r="WP10" s="34"/>
      <c r="WQ10" s="35">
        <v>1</v>
      </c>
      <c r="WR10" s="49">
        <v>94.117647058823536</v>
      </c>
      <c r="WS10" s="49" t="s">
        <v>251</v>
      </c>
      <c r="WT10" s="49" t="s">
        <v>251</v>
      </c>
      <c r="WU10" s="50" t="s">
        <v>251</v>
      </c>
      <c r="WV10" s="51" t="s">
        <v>251</v>
      </c>
      <c r="WW10" s="49" t="s">
        <v>251</v>
      </c>
      <c r="WX10" s="34"/>
      <c r="WY10" s="52">
        <v>7</v>
      </c>
      <c r="WZ10" s="53">
        <v>79.411764705882348</v>
      </c>
      <c r="XA10" s="48">
        <v>1072748</v>
      </c>
      <c r="XB10" s="38">
        <v>133</v>
      </c>
      <c r="XC10" s="38">
        <v>34</v>
      </c>
      <c r="XD10" s="34"/>
      <c r="XE10" s="34"/>
      <c r="XF10" s="34"/>
      <c r="XG10" s="34"/>
      <c r="XH10" s="34"/>
      <c r="XI10" s="34"/>
      <c r="XJ10" s="34"/>
      <c r="XK10" s="49" t="s">
        <v>251</v>
      </c>
      <c r="XL10" s="34"/>
      <c r="XM10" s="50" t="s">
        <v>251</v>
      </c>
      <c r="XN10" s="34"/>
      <c r="XO10" s="34"/>
      <c r="XP10" s="35">
        <v>5</v>
      </c>
      <c r="XQ10" s="49">
        <v>70.588235294117652</v>
      </c>
      <c r="XR10" s="34"/>
      <c r="XS10" s="34"/>
      <c r="XT10" s="34"/>
      <c r="XU10" s="34"/>
      <c r="XV10" s="34"/>
      <c r="XW10" s="34"/>
      <c r="XX10" s="49" t="s">
        <v>251</v>
      </c>
      <c r="XY10" s="34"/>
      <c r="XZ10" s="50" t="s">
        <v>251</v>
      </c>
      <c r="YA10" s="34"/>
      <c r="YB10" s="34"/>
      <c r="YC10" s="35">
        <v>0</v>
      </c>
      <c r="YD10" s="49">
        <v>100</v>
      </c>
      <c r="YE10" s="49" t="s">
        <v>251</v>
      </c>
      <c r="YF10" s="49" t="s">
        <v>251</v>
      </c>
      <c r="YG10" s="50" t="s">
        <v>251</v>
      </c>
      <c r="YH10" s="51" t="s">
        <v>251</v>
      </c>
      <c r="YI10" s="49" t="s">
        <v>251</v>
      </c>
      <c r="YJ10" s="34"/>
      <c r="YK10" s="52">
        <v>5</v>
      </c>
      <c r="YL10" s="53">
        <v>85.294117647058826</v>
      </c>
      <c r="YM10" s="48">
        <v>1072743</v>
      </c>
      <c r="YN10" s="38">
        <v>135</v>
      </c>
      <c r="YO10" s="38">
        <v>33</v>
      </c>
      <c r="YP10" s="34"/>
      <c r="YQ10" s="34"/>
      <c r="YR10" s="34"/>
      <c r="YS10" s="34"/>
      <c r="YT10" s="34"/>
      <c r="YU10" s="34"/>
      <c r="YV10" s="34"/>
      <c r="YW10" s="49" t="s">
        <v>251</v>
      </c>
      <c r="YX10" s="34"/>
      <c r="YY10" s="50" t="s">
        <v>251</v>
      </c>
      <c r="YZ10" s="34"/>
      <c r="ZA10" s="34"/>
      <c r="ZB10" s="35">
        <v>5</v>
      </c>
      <c r="ZC10" s="49">
        <v>69.696969696969703</v>
      </c>
      <c r="ZD10" s="34"/>
      <c r="ZE10" s="34"/>
      <c r="ZF10" s="34"/>
      <c r="ZG10" s="34"/>
      <c r="ZH10" s="34"/>
      <c r="ZI10" s="34"/>
      <c r="ZJ10" s="49" t="s">
        <v>251</v>
      </c>
      <c r="ZK10" s="34"/>
      <c r="ZL10" s="50" t="s">
        <v>251</v>
      </c>
      <c r="ZM10" s="34"/>
      <c r="ZN10" s="34"/>
      <c r="ZO10" s="35">
        <v>0</v>
      </c>
      <c r="ZP10" s="49">
        <v>100</v>
      </c>
      <c r="ZQ10" s="49" t="s">
        <v>251</v>
      </c>
      <c r="ZR10" s="49" t="s">
        <v>251</v>
      </c>
      <c r="ZS10" s="50" t="s">
        <v>251</v>
      </c>
      <c r="ZT10" s="51" t="s">
        <v>251</v>
      </c>
      <c r="ZU10" s="49" t="s">
        <v>251</v>
      </c>
      <c r="ZV10" s="34"/>
      <c r="ZW10" s="52">
        <v>5</v>
      </c>
      <c r="ZX10" s="53">
        <v>84.848484848484844</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4238250</v>
      </c>
      <c r="F11" s="89">
        <f t="shared" ref="F11:F59" si="401">IF(H11="","",$F$9)</f>
        <v>1</v>
      </c>
      <c r="G11" s="89" t="str">
        <f t="shared" ref="G11:G59" si="402">IF(H11="","",$G$9)</f>
        <v>B</v>
      </c>
      <c r="H11" s="36" t="s">
        <v>150</v>
      </c>
      <c r="I11" s="37" t="s">
        <v>151</v>
      </c>
      <c r="J11" s="41" t="s">
        <v>152</v>
      </c>
      <c r="K11" s="90" t="str">
        <f t="shared" ref="K11:K59" si="403">IF(H11="","",$K$9)</f>
        <v>A</v>
      </c>
      <c r="L11" s="41" t="s">
        <v>117</v>
      </c>
      <c r="M11" s="93">
        <v>42258</v>
      </c>
      <c r="N11" s="41"/>
      <c r="O11" s="43" t="s">
        <v>226</v>
      </c>
      <c r="P11" s="91" t="str">
        <f t="shared" ref="P11:P59" si="404">IF(H11="","",$P$9)</f>
        <v>Məmmədova Ramilə Xasay</v>
      </c>
      <c r="Q11" s="4">
        <v>1072743</v>
      </c>
      <c r="R11" s="39">
        <v>101</v>
      </c>
      <c r="S11" s="39">
        <v>270</v>
      </c>
      <c r="T11" s="1"/>
      <c r="U11" s="1"/>
      <c r="V11" s="1"/>
      <c r="W11" s="1"/>
      <c r="X11" s="1"/>
      <c r="Y11" s="1"/>
      <c r="Z11" s="1"/>
      <c r="AA11" s="55" t="s">
        <v>251</v>
      </c>
      <c r="AB11" s="1"/>
      <c r="AC11" s="56" t="s">
        <v>251</v>
      </c>
      <c r="AD11" s="1"/>
      <c r="AE11" s="1"/>
      <c r="AF11" s="2">
        <v>30</v>
      </c>
      <c r="AG11" s="55">
        <v>77.777777777777771</v>
      </c>
      <c r="AH11" s="1"/>
      <c r="AI11" s="1"/>
      <c r="AJ11" s="1"/>
      <c r="AK11" s="1"/>
      <c r="AL11" s="1"/>
      <c r="AM11" s="1"/>
      <c r="AN11" s="55" t="s">
        <v>251</v>
      </c>
      <c r="AO11" s="1"/>
      <c r="AP11" s="56" t="s">
        <v>251</v>
      </c>
      <c r="AQ11" s="1"/>
      <c r="AR11" s="1"/>
      <c r="AS11" s="2">
        <v>30</v>
      </c>
      <c r="AT11" s="55">
        <v>77.777777777777771</v>
      </c>
      <c r="AU11" s="55" t="s">
        <v>251</v>
      </c>
      <c r="AV11" s="55" t="s">
        <v>251</v>
      </c>
      <c r="AW11" s="56" t="s">
        <v>251</v>
      </c>
      <c r="AX11" s="57" t="s">
        <v>251</v>
      </c>
      <c r="AY11" s="55" t="s">
        <v>251</v>
      </c>
      <c r="AZ11" s="1"/>
      <c r="BA11" s="58">
        <v>60</v>
      </c>
      <c r="BB11" s="59">
        <v>77.777777777777771</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1269215</v>
      </c>
      <c r="EB11" s="39">
        <v>106</v>
      </c>
      <c r="EC11" s="39">
        <v>33</v>
      </c>
      <c r="ED11" s="1"/>
      <c r="EE11" s="1"/>
      <c r="EF11" s="1"/>
      <c r="EG11" s="1"/>
      <c r="EH11" s="1"/>
      <c r="EI11" s="1"/>
      <c r="EJ11" s="1"/>
      <c r="EK11" s="55" t="s">
        <v>251</v>
      </c>
      <c r="EL11" s="1"/>
      <c r="EM11" s="56" t="s">
        <v>251</v>
      </c>
      <c r="EN11" s="1"/>
      <c r="EO11" s="1"/>
      <c r="EP11" s="2">
        <v>1</v>
      </c>
      <c r="EQ11" s="55">
        <v>93.939393939393938</v>
      </c>
      <c r="ER11" s="1"/>
      <c r="ES11" s="1"/>
      <c r="ET11" s="1"/>
      <c r="EU11" s="1"/>
      <c r="EV11" s="1"/>
      <c r="EW11" s="1"/>
      <c r="EX11" s="55" t="s">
        <v>251</v>
      </c>
      <c r="EY11" s="1"/>
      <c r="EZ11" s="56" t="s">
        <v>251</v>
      </c>
      <c r="FA11" s="1"/>
      <c r="FB11" s="1"/>
      <c r="FC11" s="2">
        <v>0</v>
      </c>
      <c r="FD11" s="55">
        <v>100</v>
      </c>
      <c r="FE11" s="55" t="s">
        <v>251</v>
      </c>
      <c r="FF11" s="55" t="s">
        <v>251</v>
      </c>
      <c r="FG11" s="56" t="s">
        <v>251</v>
      </c>
      <c r="FH11" s="57" t="s">
        <v>251</v>
      </c>
      <c r="FI11" s="55" t="s">
        <v>251</v>
      </c>
      <c r="FJ11" s="1"/>
      <c r="FK11" s="58">
        <v>1</v>
      </c>
      <c r="FL11" s="59">
        <v>96.969696969696969</v>
      </c>
      <c r="FM11" s="4">
        <v>1072743</v>
      </c>
      <c r="FN11" s="39">
        <v>110</v>
      </c>
      <c r="FO11" s="39">
        <v>168</v>
      </c>
      <c r="FP11" s="1"/>
      <c r="FQ11" s="1"/>
      <c r="FR11" s="1"/>
      <c r="FS11" s="1"/>
      <c r="FT11" s="1"/>
      <c r="FU11" s="1"/>
      <c r="FV11" s="1"/>
      <c r="FW11" s="55" t="s">
        <v>251</v>
      </c>
      <c r="FX11" s="1"/>
      <c r="FY11" s="56" t="s">
        <v>251</v>
      </c>
      <c r="FZ11" s="1"/>
      <c r="GA11" s="1"/>
      <c r="GB11" s="2">
        <v>15</v>
      </c>
      <c r="GC11" s="55">
        <v>82.142857142857139</v>
      </c>
      <c r="GD11" s="1"/>
      <c r="GE11" s="1"/>
      <c r="GF11" s="1"/>
      <c r="GG11" s="1"/>
      <c r="GH11" s="1"/>
      <c r="GI11" s="1"/>
      <c r="GJ11" s="55" t="s">
        <v>251</v>
      </c>
      <c r="GK11" s="1"/>
      <c r="GL11" s="56" t="s">
        <v>251</v>
      </c>
      <c r="GM11" s="1"/>
      <c r="GN11" s="1"/>
      <c r="GO11" s="2">
        <v>19</v>
      </c>
      <c r="GP11" s="55">
        <v>77.38095238095238</v>
      </c>
      <c r="GQ11" s="55" t="s">
        <v>251</v>
      </c>
      <c r="GR11" s="55" t="s">
        <v>251</v>
      </c>
      <c r="GS11" s="56" t="s">
        <v>251</v>
      </c>
      <c r="GT11" s="57" t="s">
        <v>251</v>
      </c>
      <c r="GU11" s="55" t="s">
        <v>251</v>
      </c>
      <c r="GV11" s="1"/>
      <c r="GW11" s="58">
        <v>34</v>
      </c>
      <c r="GX11" s="59">
        <v>79.761904761904759</v>
      </c>
      <c r="GY11" s="4">
        <v>1199044</v>
      </c>
      <c r="GZ11" s="39">
        <v>114</v>
      </c>
      <c r="HA11" s="39">
        <v>33</v>
      </c>
      <c r="HB11" s="1"/>
      <c r="HC11" s="1"/>
      <c r="HD11" s="1"/>
      <c r="HE11" s="1"/>
      <c r="HF11" s="1"/>
      <c r="HG11" s="1"/>
      <c r="HH11" s="1"/>
      <c r="HI11" s="55" t="s">
        <v>251</v>
      </c>
      <c r="HJ11" s="1"/>
      <c r="HK11" s="56" t="s">
        <v>251</v>
      </c>
      <c r="HL11" s="1"/>
      <c r="HM11" s="1"/>
      <c r="HN11" s="2">
        <v>0</v>
      </c>
      <c r="HO11" s="55">
        <v>100</v>
      </c>
      <c r="HP11" s="1"/>
      <c r="HQ11" s="1"/>
      <c r="HR11" s="1"/>
      <c r="HS11" s="1"/>
      <c r="HT11" s="1"/>
      <c r="HU11" s="1"/>
      <c r="HV11" s="55" t="s">
        <v>251</v>
      </c>
      <c r="HW11" s="1"/>
      <c r="HX11" s="56" t="s">
        <v>251</v>
      </c>
      <c r="HY11" s="1"/>
      <c r="HZ11" s="1"/>
      <c r="IA11" s="2">
        <v>0</v>
      </c>
      <c r="IB11" s="55">
        <v>100</v>
      </c>
      <c r="IC11" s="55" t="s">
        <v>251</v>
      </c>
      <c r="ID11" s="55" t="s">
        <v>251</v>
      </c>
      <c r="IE11" s="56" t="s">
        <v>251</v>
      </c>
      <c r="IF11" s="57" t="s">
        <v>251</v>
      </c>
      <c r="IG11" s="55" t="s">
        <v>251</v>
      </c>
      <c r="IH11" s="1"/>
      <c r="II11" s="58">
        <v>0</v>
      </c>
      <c r="IJ11" s="59">
        <v>100</v>
      </c>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1072743</v>
      </c>
      <c r="PT11" s="39">
        <v>128</v>
      </c>
      <c r="PU11" s="39">
        <v>33</v>
      </c>
      <c r="PV11" s="1"/>
      <c r="PW11" s="1"/>
      <c r="PX11" s="1"/>
      <c r="PY11" s="1"/>
      <c r="PZ11" s="1"/>
      <c r="QA11" s="1"/>
      <c r="QB11" s="1"/>
      <c r="QC11" s="55" t="s">
        <v>251</v>
      </c>
      <c r="QD11" s="1"/>
      <c r="QE11" s="56" t="s">
        <v>251</v>
      </c>
      <c r="QF11" s="1"/>
      <c r="QG11" s="1"/>
      <c r="QH11" s="2">
        <v>2</v>
      </c>
      <c r="QI11" s="55">
        <v>87.878787878787875</v>
      </c>
      <c r="QJ11" s="1"/>
      <c r="QK11" s="1"/>
      <c r="QL11" s="1"/>
      <c r="QM11" s="1"/>
      <c r="QN11" s="1"/>
      <c r="QO11" s="1"/>
      <c r="QP11" s="55" t="s">
        <v>251</v>
      </c>
      <c r="QQ11" s="1"/>
      <c r="QR11" s="56" t="s">
        <v>251</v>
      </c>
      <c r="QS11" s="1"/>
      <c r="QT11" s="1"/>
      <c r="QU11" s="2">
        <v>2</v>
      </c>
      <c r="QV11" s="55">
        <v>87.878787878787875</v>
      </c>
      <c r="QW11" s="55" t="s">
        <v>251</v>
      </c>
      <c r="QX11" s="55" t="s">
        <v>251</v>
      </c>
      <c r="QY11" s="56" t="s">
        <v>251</v>
      </c>
      <c r="QZ11" s="57" t="s">
        <v>251</v>
      </c>
      <c r="RA11" s="55" t="s">
        <v>251</v>
      </c>
      <c r="RB11" s="1"/>
      <c r="RC11" s="58">
        <v>4</v>
      </c>
      <c r="RD11" s="59">
        <v>87.878787878787875</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1072743</v>
      </c>
      <c r="UD11" s="39">
        <v>131</v>
      </c>
      <c r="UE11" s="39">
        <v>69</v>
      </c>
      <c r="UF11" s="1"/>
      <c r="UG11" s="1"/>
      <c r="UH11" s="1"/>
      <c r="UI11" s="1"/>
      <c r="UJ11" s="1"/>
      <c r="UK11" s="1"/>
      <c r="UL11" s="1"/>
      <c r="UM11" s="55" t="s">
        <v>251</v>
      </c>
      <c r="UN11" s="1"/>
      <c r="UO11" s="56" t="s">
        <v>251</v>
      </c>
      <c r="UP11" s="1"/>
      <c r="UQ11" s="1"/>
      <c r="UR11" s="2">
        <v>5</v>
      </c>
      <c r="US11" s="55">
        <v>85.507246376811594</v>
      </c>
      <c r="UT11" s="1"/>
      <c r="UU11" s="1"/>
      <c r="UV11" s="1"/>
      <c r="UW11" s="1"/>
      <c r="UX11" s="1"/>
      <c r="UY11" s="1"/>
      <c r="UZ11" s="55" t="s">
        <v>251</v>
      </c>
      <c r="VA11" s="1"/>
      <c r="VB11" s="56" t="s">
        <v>251</v>
      </c>
      <c r="VC11" s="1"/>
      <c r="VD11" s="1">
        <v>6</v>
      </c>
      <c r="VE11" s="2"/>
      <c r="VF11" s="55" t="s">
        <v>251</v>
      </c>
      <c r="VG11" s="55" t="s">
        <v>251</v>
      </c>
      <c r="VH11" s="55" t="s">
        <v>251</v>
      </c>
      <c r="VI11" s="56" t="s">
        <v>251</v>
      </c>
      <c r="VJ11" s="57" t="s">
        <v>251</v>
      </c>
      <c r="VK11" s="55">
        <v>6</v>
      </c>
      <c r="VL11" s="1"/>
      <c r="VM11" s="58">
        <v>5</v>
      </c>
      <c r="VN11" s="59">
        <v>92.753623188405797</v>
      </c>
      <c r="VO11" s="4">
        <v>1072743</v>
      </c>
      <c r="VP11" s="39">
        <v>132</v>
      </c>
      <c r="VQ11" s="39">
        <v>34</v>
      </c>
      <c r="VR11" s="1"/>
      <c r="VS11" s="1"/>
      <c r="VT11" s="1"/>
      <c r="VU11" s="1"/>
      <c r="VV11" s="1"/>
      <c r="VW11" s="1"/>
      <c r="VX11" s="1"/>
      <c r="VY11" s="55" t="s">
        <v>251</v>
      </c>
      <c r="VZ11" s="1"/>
      <c r="WA11" s="56" t="s">
        <v>251</v>
      </c>
      <c r="WB11" s="1"/>
      <c r="WC11" s="1"/>
      <c r="WD11" s="2">
        <v>1</v>
      </c>
      <c r="WE11" s="55">
        <v>94.117647058823536</v>
      </c>
      <c r="WF11" s="1"/>
      <c r="WG11" s="1"/>
      <c r="WH11" s="1"/>
      <c r="WI11" s="1"/>
      <c r="WJ11" s="1"/>
      <c r="WK11" s="1"/>
      <c r="WL11" s="55" t="s">
        <v>251</v>
      </c>
      <c r="WM11" s="1"/>
      <c r="WN11" s="56" t="s">
        <v>251</v>
      </c>
      <c r="WO11" s="1"/>
      <c r="WP11" s="1"/>
      <c r="WQ11" s="2">
        <v>3</v>
      </c>
      <c r="WR11" s="55">
        <v>82.352941176470594</v>
      </c>
      <c r="WS11" s="55" t="s">
        <v>251</v>
      </c>
      <c r="WT11" s="55" t="s">
        <v>251</v>
      </c>
      <c r="WU11" s="56" t="s">
        <v>251</v>
      </c>
      <c r="WV11" s="57" t="s">
        <v>251</v>
      </c>
      <c r="WW11" s="55" t="s">
        <v>251</v>
      </c>
      <c r="WX11" s="1"/>
      <c r="WY11" s="58">
        <v>4</v>
      </c>
      <c r="WZ11" s="59">
        <v>88.235294117647058</v>
      </c>
      <c r="XA11" s="4">
        <v>1072748</v>
      </c>
      <c r="XB11" s="39">
        <v>133</v>
      </c>
      <c r="XC11" s="39">
        <v>34</v>
      </c>
      <c r="XD11" s="1"/>
      <c r="XE11" s="1"/>
      <c r="XF11" s="1"/>
      <c r="XG11" s="1"/>
      <c r="XH11" s="1"/>
      <c r="XI11" s="1"/>
      <c r="XJ11" s="1"/>
      <c r="XK11" s="55" t="s">
        <v>251</v>
      </c>
      <c r="XL11" s="1"/>
      <c r="XM11" s="56" t="s">
        <v>251</v>
      </c>
      <c r="XN11" s="1"/>
      <c r="XO11" s="1"/>
      <c r="XP11" s="2">
        <v>4</v>
      </c>
      <c r="XQ11" s="55">
        <v>76.470588235294116</v>
      </c>
      <c r="XR11" s="1"/>
      <c r="XS11" s="1"/>
      <c r="XT11" s="1"/>
      <c r="XU11" s="1"/>
      <c r="XV11" s="1"/>
      <c r="XW11" s="1"/>
      <c r="XX11" s="55" t="s">
        <v>251</v>
      </c>
      <c r="XY11" s="1"/>
      <c r="XZ11" s="56" t="s">
        <v>251</v>
      </c>
      <c r="YA11" s="1"/>
      <c r="YB11" s="1"/>
      <c r="YC11" s="2">
        <v>2</v>
      </c>
      <c r="YD11" s="55">
        <v>88.235294117647058</v>
      </c>
      <c r="YE11" s="55" t="s">
        <v>251</v>
      </c>
      <c r="YF11" s="55" t="s">
        <v>251</v>
      </c>
      <c r="YG11" s="56" t="s">
        <v>251</v>
      </c>
      <c r="YH11" s="57" t="s">
        <v>251</v>
      </c>
      <c r="YI11" s="55" t="s">
        <v>251</v>
      </c>
      <c r="YJ11" s="1"/>
      <c r="YK11" s="58">
        <v>6</v>
      </c>
      <c r="YL11" s="59">
        <v>82.352941176470594</v>
      </c>
      <c r="YM11" s="4">
        <v>1072743</v>
      </c>
      <c r="YN11" s="39">
        <v>135</v>
      </c>
      <c r="YO11" s="39">
        <v>33</v>
      </c>
      <c r="YP11" s="1"/>
      <c r="YQ11" s="1"/>
      <c r="YR11" s="1"/>
      <c r="YS11" s="1"/>
      <c r="YT11" s="1"/>
      <c r="YU11" s="1"/>
      <c r="YV11" s="1"/>
      <c r="YW11" s="55" t="s">
        <v>251</v>
      </c>
      <c r="YX11" s="1"/>
      <c r="YY11" s="56" t="s">
        <v>251</v>
      </c>
      <c r="YZ11" s="1"/>
      <c r="ZA11" s="1"/>
      <c r="ZB11" s="2">
        <v>4</v>
      </c>
      <c r="ZC11" s="55">
        <v>75.757575757575751</v>
      </c>
      <c r="ZD11" s="1"/>
      <c r="ZE11" s="1"/>
      <c r="ZF11" s="1"/>
      <c r="ZG11" s="1"/>
      <c r="ZH11" s="1"/>
      <c r="ZI11" s="1"/>
      <c r="ZJ11" s="55" t="s">
        <v>251</v>
      </c>
      <c r="ZK11" s="1"/>
      <c r="ZL11" s="56" t="s">
        <v>251</v>
      </c>
      <c r="ZM11" s="1"/>
      <c r="ZN11" s="1"/>
      <c r="ZO11" s="2">
        <v>3</v>
      </c>
      <c r="ZP11" s="55">
        <v>81.818181818181813</v>
      </c>
      <c r="ZQ11" s="55" t="s">
        <v>251</v>
      </c>
      <c r="ZR11" s="55" t="s">
        <v>251</v>
      </c>
      <c r="ZS11" s="56" t="s">
        <v>251</v>
      </c>
      <c r="ZT11" s="57" t="s">
        <v>251</v>
      </c>
      <c r="ZU11" s="55" t="s">
        <v>251</v>
      </c>
      <c r="ZV11" s="1"/>
      <c r="ZW11" s="58">
        <v>7</v>
      </c>
      <c r="ZX11" s="59">
        <v>78.787878787878782</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4238523</v>
      </c>
      <c r="F12" s="89">
        <f t="shared" si="401"/>
        <v>1</v>
      </c>
      <c r="G12" s="89" t="str">
        <f t="shared" si="402"/>
        <v>B</v>
      </c>
      <c r="H12" s="36" t="s">
        <v>153</v>
      </c>
      <c r="I12" s="37" t="s">
        <v>154</v>
      </c>
      <c r="J12" s="41" t="s">
        <v>155</v>
      </c>
      <c r="K12" s="90" t="str">
        <f t="shared" si="403"/>
        <v>A</v>
      </c>
      <c r="L12" s="41" t="s">
        <v>119</v>
      </c>
      <c r="M12" s="93">
        <v>42659</v>
      </c>
      <c r="N12" s="41"/>
      <c r="O12" s="43" t="s">
        <v>227</v>
      </c>
      <c r="P12" s="91" t="str">
        <f t="shared" si="404"/>
        <v>Məmmədova Ramilə Xasay</v>
      </c>
      <c r="Q12" s="4">
        <v>1072743</v>
      </c>
      <c r="R12" s="39">
        <v>101</v>
      </c>
      <c r="S12" s="39">
        <v>270</v>
      </c>
      <c r="T12" s="1"/>
      <c r="U12" s="1"/>
      <c r="V12" s="1"/>
      <c r="W12" s="1"/>
      <c r="X12" s="1"/>
      <c r="Y12" s="1"/>
      <c r="Z12" s="1"/>
      <c r="AA12" s="55" t="s">
        <v>251</v>
      </c>
      <c r="AB12" s="1"/>
      <c r="AC12" s="56" t="s">
        <v>251</v>
      </c>
      <c r="AD12" s="1"/>
      <c r="AE12" s="1"/>
      <c r="AF12" s="2">
        <v>30</v>
      </c>
      <c r="AG12" s="55">
        <v>77.777777777777771</v>
      </c>
      <c r="AH12" s="1"/>
      <c r="AI12" s="1"/>
      <c r="AJ12" s="1"/>
      <c r="AK12" s="1"/>
      <c r="AL12" s="1"/>
      <c r="AM12" s="1"/>
      <c r="AN12" s="55" t="s">
        <v>251</v>
      </c>
      <c r="AO12" s="1"/>
      <c r="AP12" s="56" t="s">
        <v>251</v>
      </c>
      <c r="AQ12" s="1"/>
      <c r="AR12" s="1"/>
      <c r="AS12" s="2">
        <v>28</v>
      </c>
      <c r="AT12" s="55">
        <v>79.259259259259252</v>
      </c>
      <c r="AU12" s="55" t="s">
        <v>251</v>
      </c>
      <c r="AV12" s="55" t="s">
        <v>251</v>
      </c>
      <c r="AW12" s="56" t="s">
        <v>251</v>
      </c>
      <c r="AX12" s="57" t="s">
        <v>251</v>
      </c>
      <c r="AY12" s="55" t="s">
        <v>251</v>
      </c>
      <c r="AZ12" s="1"/>
      <c r="BA12" s="58">
        <v>58</v>
      </c>
      <c r="BB12" s="59">
        <v>78.518518518518519</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1269215</v>
      </c>
      <c r="EB12" s="39">
        <v>106</v>
      </c>
      <c r="EC12" s="39">
        <v>33</v>
      </c>
      <c r="ED12" s="1"/>
      <c r="EE12" s="1"/>
      <c r="EF12" s="1"/>
      <c r="EG12" s="1"/>
      <c r="EH12" s="1"/>
      <c r="EI12" s="1"/>
      <c r="EJ12" s="1"/>
      <c r="EK12" s="55" t="s">
        <v>251</v>
      </c>
      <c r="EL12" s="1"/>
      <c r="EM12" s="56" t="s">
        <v>251</v>
      </c>
      <c r="EN12" s="1"/>
      <c r="EO12" s="1"/>
      <c r="EP12" s="2">
        <v>0</v>
      </c>
      <c r="EQ12" s="55">
        <v>100</v>
      </c>
      <c r="ER12" s="1"/>
      <c r="ES12" s="1"/>
      <c r="ET12" s="1"/>
      <c r="EU12" s="1"/>
      <c r="EV12" s="1"/>
      <c r="EW12" s="1"/>
      <c r="EX12" s="55" t="s">
        <v>251</v>
      </c>
      <c r="EY12" s="1"/>
      <c r="EZ12" s="56" t="s">
        <v>251</v>
      </c>
      <c r="FA12" s="1"/>
      <c r="FB12" s="1"/>
      <c r="FC12" s="2">
        <v>0</v>
      </c>
      <c r="FD12" s="55">
        <v>100</v>
      </c>
      <c r="FE12" s="55" t="s">
        <v>251</v>
      </c>
      <c r="FF12" s="55" t="s">
        <v>251</v>
      </c>
      <c r="FG12" s="56" t="s">
        <v>251</v>
      </c>
      <c r="FH12" s="57" t="s">
        <v>251</v>
      </c>
      <c r="FI12" s="55" t="s">
        <v>251</v>
      </c>
      <c r="FJ12" s="1"/>
      <c r="FK12" s="58">
        <v>0</v>
      </c>
      <c r="FL12" s="59">
        <v>100</v>
      </c>
      <c r="FM12" s="4">
        <v>1072743</v>
      </c>
      <c r="FN12" s="39">
        <v>110</v>
      </c>
      <c r="FO12" s="39">
        <v>168</v>
      </c>
      <c r="FP12" s="1"/>
      <c r="FQ12" s="1"/>
      <c r="FR12" s="1"/>
      <c r="FS12" s="1"/>
      <c r="FT12" s="1"/>
      <c r="FU12" s="1"/>
      <c r="FV12" s="1"/>
      <c r="FW12" s="55" t="s">
        <v>251</v>
      </c>
      <c r="FX12" s="1"/>
      <c r="FY12" s="56" t="s">
        <v>251</v>
      </c>
      <c r="FZ12" s="1"/>
      <c r="GA12" s="1"/>
      <c r="GB12" s="2">
        <v>6</v>
      </c>
      <c r="GC12" s="55">
        <v>92.857142857142861</v>
      </c>
      <c r="GD12" s="1"/>
      <c r="GE12" s="1"/>
      <c r="GF12" s="1"/>
      <c r="GG12" s="1"/>
      <c r="GH12" s="1"/>
      <c r="GI12" s="1"/>
      <c r="GJ12" s="55" t="s">
        <v>251</v>
      </c>
      <c r="GK12" s="1"/>
      <c r="GL12" s="56" t="s">
        <v>251</v>
      </c>
      <c r="GM12" s="1"/>
      <c r="GN12" s="1"/>
      <c r="GO12" s="2">
        <v>18</v>
      </c>
      <c r="GP12" s="55">
        <v>78.571428571428569</v>
      </c>
      <c r="GQ12" s="55" t="s">
        <v>251</v>
      </c>
      <c r="GR12" s="55" t="s">
        <v>251</v>
      </c>
      <c r="GS12" s="56" t="s">
        <v>251</v>
      </c>
      <c r="GT12" s="57" t="s">
        <v>251</v>
      </c>
      <c r="GU12" s="55" t="s">
        <v>251</v>
      </c>
      <c r="GV12" s="1"/>
      <c r="GW12" s="58">
        <v>24</v>
      </c>
      <c r="GX12" s="59">
        <v>85.714285714285708</v>
      </c>
      <c r="GY12" s="4">
        <v>1199044</v>
      </c>
      <c r="GZ12" s="39">
        <v>114</v>
      </c>
      <c r="HA12" s="39">
        <v>33</v>
      </c>
      <c r="HB12" s="1"/>
      <c r="HC12" s="1"/>
      <c r="HD12" s="1"/>
      <c r="HE12" s="1"/>
      <c r="HF12" s="1"/>
      <c r="HG12" s="1"/>
      <c r="HH12" s="1"/>
      <c r="HI12" s="55" t="s">
        <v>251</v>
      </c>
      <c r="HJ12" s="1"/>
      <c r="HK12" s="56" t="s">
        <v>251</v>
      </c>
      <c r="HL12" s="1"/>
      <c r="HM12" s="1"/>
      <c r="HN12" s="2">
        <v>0</v>
      </c>
      <c r="HO12" s="55">
        <v>100</v>
      </c>
      <c r="HP12" s="1"/>
      <c r="HQ12" s="1"/>
      <c r="HR12" s="1"/>
      <c r="HS12" s="1"/>
      <c r="HT12" s="1"/>
      <c r="HU12" s="1"/>
      <c r="HV12" s="55" t="s">
        <v>251</v>
      </c>
      <c r="HW12" s="1"/>
      <c r="HX12" s="56" t="s">
        <v>251</v>
      </c>
      <c r="HY12" s="1"/>
      <c r="HZ12" s="1"/>
      <c r="IA12" s="2">
        <v>0</v>
      </c>
      <c r="IB12" s="55">
        <v>100</v>
      </c>
      <c r="IC12" s="55" t="s">
        <v>251</v>
      </c>
      <c r="ID12" s="55" t="s">
        <v>251</v>
      </c>
      <c r="IE12" s="56" t="s">
        <v>251</v>
      </c>
      <c r="IF12" s="57" t="s">
        <v>251</v>
      </c>
      <c r="IG12" s="55" t="s">
        <v>251</v>
      </c>
      <c r="IH12" s="1"/>
      <c r="II12" s="58">
        <v>0</v>
      </c>
      <c r="IJ12" s="59">
        <v>100</v>
      </c>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1072743</v>
      </c>
      <c r="PT12" s="39">
        <v>128</v>
      </c>
      <c r="PU12" s="39">
        <v>33</v>
      </c>
      <c r="PV12" s="1"/>
      <c r="PW12" s="1"/>
      <c r="PX12" s="1"/>
      <c r="PY12" s="1"/>
      <c r="PZ12" s="1"/>
      <c r="QA12" s="1"/>
      <c r="QB12" s="1"/>
      <c r="QC12" s="55" t="s">
        <v>251</v>
      </c>
      <c r="QD12" s="1"/>
      <c r="QE12" s="56" t="s">
        <v>251</v>
      </c>
      <c r="QF12" s="1"/>
      <c r="QG12" s="1"/>
      <c r="QH12" s="2">
        <v>3</v>
      </c>
      <c r="QI12" s="55">
        <v>81.818181818181813</v>
      </c>
      <c r="QJ12" s="1"/>
      <c r="QK12" s="1"/>
      <c r="QL12" s="1"/>
      <c r="QM12" s="1"/>
      <c r="QN12" s="1"/>
      <c r="QO12" s="1"/>
      <c r="QP12" s="55" t="s">
        <v>251</v>
      </c>
      <c r="QQ12" s="1"/>
      <c r="QR12" s="56" t="s">
        <v>251</v>
      </c>
      <c r="QS12" s="1"/>
      <c r="QT12" s="1"/>
      <c r="QU12" s="2">
        <v>2</v>
      </c>
      <c r="QV12" s="55">
        <v>87.878787878787875</v>
      </c>
      <c r="QW12" s="55" t="s">
        <v>251</v>
      </c>
      <c r="QX12" s="55" t="s">
        <v>251</v>
      </c>
      <c r="QY12" s="56" t="s">
        <v>251</v>
      </c>
      <c r="QZ12" s="57" t="s">
        <v>251</v>
      </c>
      <c r="RA12" s="55" t="s">
        <v>251</v>
      </c>
      <c r="RB12" s="1"/>
      <c r="RC12" s="58">
        <v>5</v>
      </c>
      <c r="RD12" s="59">
        <v>84.848484848484844</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1072743</v>
      </c>
      <c r="UD12" s="39">
        <v>131</v>
      </c>
      <c r="UE12" s="39">
        <v>69</v>
      </c>
      <c r="UF12" s="1"/>
      <c r="UG12" s="1"/>
      <c r="UH12" s="1"/>
      <c r="UI12" s="1"/>
      <c r="UJ12" s="1"/>
      <c r="UK12" s="1"/>
      <c r="UL12" s="1"/>
      <c r="UM12" s="55" t="s">
        <v>251</v>
      </c>
      <c r="UN12" s="1"/>
      <c r="UO12" s="56" t="s">
        <v>251</v>
      </c>
      <c r="UP12" s="1"/>
      <c r="UQ12" s="1"/>
      <c r="UR12" s="2">
        <v>5</v>
      </c>
      <c r="US12" s="55">
        <v>85.507246376811594</v>
      </c>
      <c r="UT12" s="1"/>
      <c r="UU12" s="1"/>
      <c r="UV12" s="1"/>
      <c r="UW12" s="1"/>
      <c r="UX12" s="1"/>
      <c r="UY12" s="1"/>
      <c r="UZ12" s="55" t="s">
        <v>251</v>
      </c>
      <c r="VA12" s="1"/>
      <c r="VB12" s="56" t="s">
        <v>251</v>
      </c>
      <c r="VC12" s="1"/>
      <c r="VD12" s="1">
        <v>4</v>
      </c>
      <c r="VE12" s="2"/>
      <c r="VF12" s="55" t="s">
        <v>251</v>
      </c>
      <c r="VG12" s="55" t="s">
        <v>251</v>
      </c>
      <c r="VH12" s="55" t="s">
        <v>251</v>
      </c>
      <c r="VI12" s="56" t="s">
        <v>251</v>
      </c>
      <c r="VJ12" s="57" t="s">
        <v>251</v>
      </c>
      <c r="VK12" s="55">
        <v>4</v>
      </c>
      <c r="VL12" s="1"/>
      <c r="VM12" s="58">
        <v>5</v>
      </c>
      <c r="VN12" s="59">
        <v>92.753623188405797</v>
      </c>
      <c r="VO12" s="4">
        <v>1072743</v>
      </c>
      <c r="VP12" s="39">
        <v>132</v>
      </c>
      <c r="VQ12" s="39">
        <v>34</v>
      </c>
      <c r="VR12" s="1"/>
      <c r="VS12" s="1"/>
      <c r="VT12" s="1"/>
      <c r="VU12" s="1"/>
      <c r="VV12" s="1"/>
      <c r="VW12" s="1"/>
      <c r="VX12" s="1"/>
      <c r="VY12" s="55" t="s">
        <v>251</v>
      </c>
      <c r="VZ12" s="1"/>
      <c r="WA12" s="56" t="s">
        <v>251</v>
      </c>
      <c r="WB12" s="1"/>
      <c r="WC12" s="1"/>
      <c r="WD12" s="2">
        <v>4</v>
      </c>
      <c r="WE12" s="55">
        <v>76.470588235294116</v>
      </c>
      <c r="WF12" s="1"/>
      <c r="WG12" s="1"/>
      <c r="WH12" s="1"/>
      <c r="WI12" s="1"/>
      <c r="WJ12" s="1"/>
      <c r="WK12" s="1"/>
      <c r="WL12" s="55" t="s">
        <v>251</v>
      </c>
      <c r="WM12" s="1"/>
      <c r="WN12" s="56" t="s">
        <v>251</v>
      </c>
      <c r="WO12" s="1"/>
      <c r="WP12" s="1"/>
      <c r="WQ12" s="2">
        <v>0</v>
      </c>
      <c r="WR12" s="55">
        <v>100</v>
      </c>
      <c r="WS12" s="55" t="s">
        <v>251</v>
      </c>
      <c r="WT12" s="55" t="s">
        <v>251</v>
      </c>
      <c r="WU12" s="56" t="s">
        <v>251</v>
      </c>
      <c r="WV12" s="57" t="s">
        <v>251</v>
      </c>
      <c r="WW12" s="55" t="s">
        <v>251</v>
      </c>
      <c r="WX12" s="1"/>
      <c r="WY12" s="58">
        <v>4</v>
      </c>
      <c r="WZ12" s="59">
        <v>88.235294117647058</v>
      </c>
      <c r="XA12" s="4">
        <v>1072748</v>
      </c>
      <c r="XB12" s="39">
        <v>133</v>
      </c>
      <c r="XC12" s="39">
        <v>34</v>
      </c>
      <c r="XD12" s="1"/>
      <c r="XE12" s="1"/>
      <c r="XF12" s="1"/>
      <c r="XG12" s="1"/>
      <c r="XH12" s="1"/>
      <c r="XI12" s="1"/>
      <c r="XJ12" s="1"/>
      <c r="XK12" s="55" t="s">
        <v>251</v>
      </c>
      <c r="XL12" s="1"/>
      <c r="XM12" s="56" t="s">
        <v>251</v>
      </c>
      <c r="XN12" s="1"/>
      <c r="XO12" s="1"/>
      <c r="XP12" s="2">
        <v>2</v>
      </c>
      <c r="XQ12" s="55">
        <v>88.235294117647058</v>
      </c>
      <c r="XR12" s="1"/>
      <c r="XS12" s="1"/>
      <c r="XT12" s="1"/>
      <c r="XU12" s="1"/>
      <c r="XV12" s="1"/>
      <c r="XW12" s="1"/>
      <c r="XX12" s="55" t="s">
        <v>251</v>
      </c>
      <c r="XY12" s="1"/>
      <c r="XZ12" s="56" t="s">
        <v>251</v>
      </c>
      <c r="YA12" s="1"/>
      <c r="YB12" s="1"/>
      <c r="YC12" s="2">
        <v>2</v>
      </c>
      <c r="YD12" s="55">
        <v>88.235294117647058</v>
      </c>
      <c r="YE12" s="55" t="s">
        <v>251</v>
      </c>
      <c r="YF12" s="55" t="s">
        <v>251</v>
      </c>
      <c r="YG12" s="56" t="s">
        <v>251</v>
      </c>
      <c r="YH12" s="57" t="s">
        <v>251</v>
      </c>
      <c r="YI12" s="55" t="s">
        <v>251</v>
      </c>
      <c r="YJ12" s="1"/>
      <c r="YK12" s="58">
        <v>4</v>
      </c>
      <c r="YL12" s="59">
        <v>88.235294117647058</v>
      </c>
      <c r="YM12" s="4">
        <v>1072743</v>
      </c>
      <c r="YN12" s="39">
        <v>135</v>
      </c>
      <c r="YO12" s="39">
        <v>33</v>
      </c>
      <c r="YP12" s="1"/>
      <c r="YQ12" s="1"/>
      <c r="YR12" s="1"/>
      <c r="YS12" s="1"/>
      <c r="YT12" s="1"/>
      <c r="YU12" s="1"/>
      <c r="YV12" s="1"/>
      <c r="YW12" s="55" t="s">
        <v>251</v>
      </c>
      <c r="YX12" s="1"/>
      <c r="YY12" s="56" t="s">
        <v>251</v>
      </c>
      <c r="YZ12" s="1"/>
      <c r="ZA12" s="1"/>
      <c r="ZB12" s="2">
        <v>5</v>
      </c>
      <c r="ZC12" s="55">
        <v>69.696969696969703</v>
      </c>
      <c r="ZD12" s="1"/>
      <c r="ZE12" s="1"/>
      <c r="ZF12" s="1"/>
      <c r="ZG12" s="1"/>
      <c r="ZH12" s="1"/>
      <c r="ZI12" s="1"/>
      <c r="ZJ12" s="55" t="s">
        <v>251</v>
      </c>
      <c r="ZK12" s="1"/>
      <c r="ZL12" s="56" t="s">
        <v>251</v>
      </c>
      <c r="ZM12" s="1"/>
      <c r="ZN12" s="1"/>
      <c r="ZO12" s="2">
        <v>3</v>
      </c>
      <c r="ZP12" s="55">
        <v>81.818181818181813</v>
      </c>
      <c r="ZQ12" s="55" t="s">
        <v>251</v>
      </c>
      <c r="ZR12" s="55" t="s">
        <v>251</v>
      </c>
      <c r="ZS12" s="56" t="s">
        <v>251</v>
      </c>
      <c r="ZT12" s="57" t="s">
        <v>251</v>
      </c>
      <c r="ZU12" s="55" t="s">
        <v>251</v>
      </c>
      <c r="ZV12" s="1"/>
      <c r="ZW12" s="58">
        <v>8</v>
      </c>
      <c r="ZX12" s="59">
        <v>75.757575757575751</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4238400</v>
      </c>
      <c r="F13" s="89">
        <f t="shared" si="401"/>
        <v>1</v>
      </c>
      <c r="G13" s="89" t="str">
        <f t="shared" si="402"/>
        <v>B</v>
      </c>
      <c r="H13" s="36" t="s">
        <v>156</v>
      </c>
      <c r="I13" s="37" t="s">
        <v>157</v>
      </c>
      <c r="J13" s="41" t="s">
        <v>158</v>
      </c>
      <c r="K13" s="90" t="str">
        <f t="shared" si="403"/>
        <v>A</v>
      </c>
      <c r="L13" s="41" t="s">
        <v>119</v>
      </c>
      <c r="M13" s="93">
        <v>42641</v>
      </c>
      <c r="N13" s="41"/>
      <c r="O13" s="43" t="s">
        <v>228</v>
      </c>
      <c r="P13" s="91" t="str">
        <f t="shared" si="404"/>
        <v>Məmmədova Ramilə Xasay</v>
      </c>
      <c r="Q13" s="4">
        <v>1072743</v>
      </c>
      <c r="R13" s="39">
        <v>101</v>
      </c>
      <c r="S13" s="39">
        <v>270</v>
      </c>
      <c r="T13" s="1"/>
      <c r="U13" s="1"/>
      <c r="V13" s="1"/>
      <c r="W13" s="1"/>
      <c r="X13" s="1"/>
      <c r="Y13" s="1"/>
      <c r="Z13" s="1"/>
      <c r="AA13" s="55" t="s">
        <v>251</v>
      </c>
      <c r="AB13" s="1"/>
      <c r="AC13" s="56" t="s">
        <v>251</v>
      </c>
      <c r="AD13" s="1"/>
      <c r="AE13" s="1"/>
      <c r="AF13" s="2">
        <v>22</v>
      </c>
      <c r="AG13" s="55">
        <v>83.703703703703709</v>
      </c>
      <c r="AH13" s="1"/>
      <c r="AI13" s="1"/>
      <c r="AJ13" s="1"/>
      <c r="AK13" s="1"/>
      <c r="AL13" s="1"/>
      <c r="AM13" s="1"/>
      <c r="AN13" s="55" t="s">
        <v>251</v>
      </c>
      <c r="AO13" s="1"/>
      <c r="AP13" s="56" t="s">
        <v>251</v>
      </c>
      <c r="AQ13" s="1"/>
      <c r="AR13" s="1"/>
      <c r="AS13" s="2">
        <v>26</v>
      </c>
      <c r="AT13" s="55">
        <v>80.740740740740748</v>
      </c>
      <c r="AU13" s="55" t="s">
        <v>251</v>
      </c>
      <c r="AV13" s="55" t="s">
        <v>251</v>
      </c>
      <c r="AW13" s="56" t="s">
        <v>251</v>
      </c>
      <c r="AX13" s="57" t="s">
        <v>251</v>
      </c>
      <c r="AY13" s="55" t="s">
        <v>251</v>
      </c>
      <c r="AZ13" s="1"/>
      <c r="BA13" s="58">
        <v>48</v>
      </c>
      <c r="BB13" s="59">
        <v>82.222222222222229</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1269215</v>
      </c>
      <c r="EB13" s="39">
        <v>106</v>
      </c>
      <c r="EC13" s="39">
        <v>33</v>
      </c>
      <c r="ED13" s="1"/>
      <c r="EE13" s="1"/>
      <c r="EF13" s="1"/>
      <c r="EG13" s="1"/>
      <c r="EH13" s="1"/>
      <c r="EI13" s="1"/>
      <c r="EJ13" s="1"/>
      <c r="EK13" s="55" t="s">
        <v>251</v>
      </c>
      <c r="EL13" s="1"/>
      <c r="EM13" s="56" t="s">
        <v>251</v>
      </c>
      <c r="EN13" s="1"/>
      <c r="EO13" s="1"/>
      <c r="EP13" s="2">
        <v>0</v>
      </c>
      <c r="EQ13" s="55">
        <v>100</v>
      </c>
      <c r="ER13" s="1"/>
      <c r="ES13" s="1"/>
      <c r="ET13" s="1"/>
      <c r="EU13" s="1"/>
      <c r="EV13" s="1"/>
      <c r="EW13" s="1"/>
      <c r="EX13" s="55" t="s">
        <v>251</v>
      </c>
      <c r="EY13" s="1"/>
      <c r="EZ13" s="56" t="s">
        <v>251</v>
      </c>
      <c r="FA13" s="1"/>
      <c r="FB13" s="1"/>
      <c r="FC13" s="2">
        <v>0</v>
      </c>
      <c r="FD13" s="55">
        <v>100</v>
      </c>
      <c r="FE13" s="55" t="s">
        <v>251</v>
      </c>
      <c r="FF13" s="55" t="s">
        <v>251</v>
      </c>
      <c r="FG13" s="56" t="s">
        <v>251</v>
      </c>
      <c r="FH13" s="57" t="s">
        <v>251</v>
      </c>
      <c r="FI13" s="55" t="s">
        <v>251</v>
      </c>
      <c r="FJ13" s="1"/>
      <c r="FK13" s="58">
        <v>0</v>
      </c>
      <c r="FL13" s="59">
        <v>100</v>
      </c>
      <c r="FM13" s="4">
        <v>1072743</v>
      </c>
      <c r="FN13" s="39">
        <v>110</v>
      </c>
      <c r="FO13" s="39">
        <v>168</v>
      </c>
      <c r="FP13" s="1"/>
      <c r="FQ13" s="1"/>
      <c r="FR13" s="1"/>
      <c r="FS13" s="1"/>
      <c r="FT13" s="1"/>
      <c r="FU13" s="1"/>
      <c r="FV13" s="1"/>
      <c r="FW13" s="55" t="s">
        <v>251</v>
      </c>
      <c r="FX13" s="1"/>
      <c r="FY13" s="56" t="s">
        <v>251</v>
      </c>
      <c r="FZ13" s="1"/>
      <c r="GA13" s="1"/>
      <c r="GB13" s="2">
        <v>10</v>
      </c>
      <c r="GC13" s="55">
        <v>88.095238095238102</v>
      </c>
      <c r="GD13" s="1"/>
      <c r="GE13" s="1"/>
      <c r="GF13" s="1"/>
      <c r="GG13" s="1"/>
      <c r="GH13" s="1"/>
      <c r="GI13" s="1"/>
      <c r="GJ13" s="55" t="s">
        <v>251</v>
      </c>
      <c r="GK13" s="1"/>
      <c r="GL13" s="56" t="s">
        <v>251</v>
      </c>
      <c r="GM13" s="1"/>
      <c r="GN13" s="1"/>
      <c r="GO13" s="2">
        <v>26</v>
      </c>
      <c r="GP13" s="55">
        <v>69.047619047619051</v>
      </c>
      <c r="GQ13" s="55" t="s">
        <v>251</v>
      </c>
      <c r="GR13" s="55" t="s">
        <v>251</v>
      </c>
      <c r="GS13" s="56" t="s">
        <v>251</v>
      </c>
      <c r="GT13" s="57" t="s">
        <v>251</v>
      </c>
      <c r="GU13" s="55" t="s">
        <v>251</v>
      </c>
      <c r="GV13" s="1"/>
      <c r="GW13" s="58">
        <v>36</v>
      </c>
      <c r="GX13" s="59">
        <v>78.571428571428569</v>
      </c>
      <c r="GY13" s="4">
        <v>1199044</v>
      </c>
      <c r="GZ13" s="39">
        <v>114</v>
      </c>
      <c r="HA13" s="39">
        <v>33</v>
      </c>
      <c r="HB13" s="1"/>
      <c r="HC13" s="1"/>
      <c r="HD13" s="1"/>
      <c r="HE13" s="1"/>
      <c r="HF13" s="1"/>
      <c r="HG13" s="1"/>
      <c r="HH13" s="1"/>
      <c r="HI13" s="55" t="s">
        <v>251</v>
      </c>
      <c r="HJ13" s="1"/>
      <c r="HK13" s="56" t="s">
        <v>251</v>
      </c>
      <c r="HL13" s="1"/>
      <c r="HM13" s="1"/>
      <c r="HN13" s="2">
        <v>0</v>
      </c>
      <c r="HO13" s="55">
        <v>100</v>
      </c>
      <c r="HP13" s="1"/>
      <c r="HQ13" s="1"/>
      <c r="HR13" s="1"/>
      <c r="HS13" s="1"/>
      <c r="HT13" s="1"/>
      <c r="HU13" s="1"/>
      <c r="HV13" s="55" t="s">
        <v>251</v>
      </c>
      <c r="HW13" s="1"/>
      <c r="HX13" s="56" t="s">
        <v>251</v>
      </c>
      <c r="HY13" s="1"/>
      <c r="HZ13" s="1"/>
      <c r="IA13" s="2">
        <v>0</v>
      </c>
      <c r="IB13" s="55">
        <v>100</v>
      </c>
      <c r="IC13" s="55" t="s">
        <v>251</v>
      </c>
      <c r="ID13" s="55" t="s">
        <v>251</v>
      </c>
      <c r="IE13" s="56" t="s">
        <v>251</v>
      </c>
      <c r="IF13" s="57" t="s">
        <v>251</v>
      </c>
      <c r="IG13" s="55" t="s">
        <v>251</v>
      </c>
      <c r="IH13" s="1"/>
      <c r="II13" s="58">
        <v>0</v>
      </c>
      <c r="IJ13" s="59">
        <v>100</v>
      </c>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1072743</v>
      </c>
      <c r="PT13" s="39">
        <v>128</v>
      </c>
      <c r="PU13" s="39">
        <v>33</v>
      </c>
      <c r="PV13" s="1"/>
      <c r="PW13" s="1"/>
      <c r="PX13" s="1"/>
      <c r="PY13" s="1"/>
      <c r="PZ13" s="1"/>
      <c r="QA13" s="1"/>
      <c r="QB13" s="1"/>
      <c r="QC13" s="55" t="s">
        <v>251</v>
      </c>
      <c r="QD13" s="1"/>
      <c r="QE13" s="56" t="s">
        <v>251</v>
      </c>
      <c r="QF13" s="1"/>
      <c r="QG13" s="1"/>
      <c r="QH13" s="2">
        <v>2</v>
      </c>
      <c r="QI13" s="55">
        <v>87.878787878787875</v>
      </c>
      <c r="QJ13" s="1"/>
      <c r="QK13" s="1"/>
      <c r="QL13" s="1"/>
      <c r="QM13" s="1"/>
      <c r="QN13" s="1"/>
      <c r="QO13" s="1"/>
      <c r="QP13" s="55" t="s">
        <v>251</v>
      </c>
      <c r="QQ13" s="1"/>
      <c r="QR13" s="56" t="s">
        <v>251</v>
      </c>
      <c r="QS13" s="1"/>
      <c r="QT13" s="1"/>
      <c r="QU13" s="2">
        <v>3</v>
      </c>
      <c r="QV13" s="55">
        <v>81.818181818181813</v>
      </c>
      <c r="QW13" s="55" t="s">
        <v>251</v>
      </c>
      <c r="QX13" s="55" t="s">
        <v>251</v>
      </c>
      <c r="QY13" s="56" t="s">
        <v>251</v>
      </c>
      <c r="QZ13" s="57" t="s">
        <v>251</v>
      </c>
      <c r="RA13" s="55" t="s">
        <v>251</v>
      </c>
      <c r="RB13" s="1"/>
      <c r="RC13" s="58">
        <v>5</v>
      </c>
      <c r="RD13" s="59">
        <v>84.848484848484844</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1072743</v>
      </c>
      <c r="UD13" s="39">
        <v>131</v>
      </c>
      <c r="UE13" s="39">
        <v>69</v>
      </c>
      <c r="UF13" s="1"/>
      <c r="UG13" s="1"/>
      <c r="UH13" s="1"/>
      <c r="UI13" s="1"/>
      <c r="UJ13" s="1"/>
      <c r="UK13" s="1"/>
      <c r="UL13" s="1"/>
      <c r="UM13" s="55" t="s">
        <v>251</v>
      </c>
      <c r="UN13" s="1"/>
      <c r="UO13" s="56" t="s">
        <v>251</v>
      </c>
      <c r="UP13" s="1"/>
      <c r="UQ13" s="1"/>
      <c r="UR13" s="2">
        <v>4</v>
      </c>
      <c r="US13" s="55">
        <v>88.405797101449281</v>
      </c>
      <c r="UT13" s="1"/>
      <c r="UU13" s="1"/>
      <c r="UV13" s="1"/>
      <c r="UW13" s="1"/>
      <c r="UX13" s="1"/>
      <c r="UY13" s="1"/>
      <c r="UZ13" s="55" t="s">
        <v>251</v>
      </c>
      <c r="VA13" s="1"/>
      <c r="VB13" s="56" t="s">
        <v>251</v>
      </c>
      <c r="VC13" s="1"/>
      <c r="VD13" s="1">
        <v>10</v>
      </c>
      <c r="VE13" s="2"/>
      <c r="VF13" s="55" t="s">
        <v>251</v>
      </c>
      <c r="VG13" s="55" t="s">
        <v>251</v>
      </c>
      <c r="VH13" s="55" t="s">
        <v>251</v>
      </c>
      <c r="VI13" s="56" t="s">
        <v>251</v>
      </c>
      <c r="VJ13" s="57" t="s">
        <v>251</v>
      </c>
      <c r="VK13" s="55">
        <v>10</v>
      </c>
      <c r="VL13" s="1"/>
      <c r="VM13" s="58">
        <v>4</v>
      </c>
      <c r="VN13" s="59">
        <v>94.20289855072464</v>
      </c>
      <c r="VO13" s="4">
        <v>1072743</v>
      </c>
      <c r="VP13" s="39">
        <v>132</v>
      </c>
      <c r="VQ13" s="39">
        <v>34</v>
      </c>
      <c r="VR13" s="1"/>
      <c r="VS13" s="1"/>
      <c r="VT13" s="1"/>
      <c r="VU13" s="1"/>
      <c r="VV13" s="1"/>
      <c r="VW13" s="1"/>
      <c r="VX13" s="1"/>
      <c r="VY13" s="55" t="s">
        <v>251</v>
      </c>
      <c r="VZ13" s="1"/>
      <c r="WA13" s="56" t="s">
        <v>251</v>
      </c>
      <c r="WB13" s="1"/>
      <c r="WC13" s="1"/>
      <c r="WD13" s="2">
        <v>3</v>
      </c>
      <c r="WE13" s="55">
        <v>82.352941176470594</v>
      </c>
      <c r="WF13" s="1"/>
      <c r="WG13" s="1"/>
      <c r="WH13" s="1"/>
      <c r="WI13" s="1"/>
      <c r="WJ13" s="1"/>
      <c r="WK13" s="1"/>
      <c r="WL13" s="55" t="s">
        <v>251</v>
      </c>
      <c r="WM13" s="1"/>
      <c r="WN13" s="56" t="s">
        <v>251</v>
      </c>
      <c r="WO13" s="1"/>
      <c r="WP13" s="1"/>
      <c r="WQ13" s="2">
        <v>3</v>
      </c>
      <c r="WR13" s="55">
        <v>82.352941176470594</v>
      </c>
      <c r="WS13" s="55" t="s">
        <v>251</v>
      </c>
      <c r="WT13" s="55" t="s">
        <v>251</v>
      </c>
      <c r="WU13" s="56" t="s">
        <v>251</v>
      </c>
      <c r="WV13" s="57" t="s">
        <v>251</v>
      </c>
      <c r="WW13" s="55" t="s">
        <v>251</v>
      </c>
      <c r="WX13" s="1"/>
      <c r="WY13" s="58">
        <v>6</v>
      </c>
      <c r="WZ13" s="59">
        <v>82.352941176470594</v>
      </c>
      <c r="XA13" s="4">
        <v>1072748</v>
      </c>
      <c r="XB13" s="39">
        <v>133</v>
      </c>
      <c r="XC13" s="39">
        <v>34</v>
      </c>
      <c r="XD13" s="1"/>
      <c r="XE13" s="1"/>
      <c r="XF13" s="1"/>
      <c r="XG13" s="1"/>
      <c r="XH13" s="1"/>
      <c r="XI13" s="1"/>
      <c r="XJ13" s="1"/>
      <c r="XK13" s="55" t="s">
        <v>251</v>
      </c>
      <c r="XL13" s="1"/>
      <c r="XM13" s="56" t="s">
        <v>251</v>
      </c>
      <c r="XN13" s="1"/>
      <c r="XO13" s="1"/>
      <c r="XP13" s="2">
        <v>3</v>
      </c>
      <c r="XQ13" s="55">
        <v>82.352941176470594</v>
      </c>
      <c r="XR13" s="1"/>
      <c r="XS13" s="1"/>
      <c r="XT13" s="1"/>
      <c r="XU13" s="1"/>
      <c r="XV13" s="1"/>
      <c r="XW13" s="1"/>
      <c r="XX13" s="55" t="s">
        <v>251</v>
      </c>
      <c r="XY13" s="1"/>
      <c r="XZ13" s="56" t="s">
        <v>251</v>
      </c>
      <c r="YA13" s="1"/>
      <c r="YB13" s="1"/>
      <c r="YC13" s="2">
        <v>3</v>
      </c>
      <c r="YD13" s="55">
        <v>82.352941176470594</v>
      </c>
      <c r="YE13" s="55" t="s">
        <v>251</v>
      </c>
      <c r="YF13" s="55" t="s">
        <v>251</v>
      </c>
      <c r="YG13" s="56" t="s">
        <v>251</v>
      </c>
      <c r="YH13" s="57" t="s">
        <v>251</v>
      </c>
      <c r="YI13" s="55" t="s">
        <v>251</v>
      </c>
      <c r="YJ13" s="1"/>
      <c r="YK13" s="58">
        <v>6</v>
      </c>
      <c r="YL13" s="59">
        <v>82.352941176470594</v>
      </c>
      <c r="YM13" s="4">
        <v>1072743</v>
      </c>
      <c r="YN13" s="39">
        <v>135</v>
      </c>
      <c r="YO13" s="39">
        <v>33</v>
      </c>
      <c r="YP13" s="1"/>
      <c r="YQ13" s="1"/>
      <c r="YR13" s="1"/>
      <c r="YS13" s="1"/>
      <c r="YT13" s="1"/>
      <c r="YU13" s="1"/>
      <c r="YV13" s="1"/>
      <c r="YW13" s="55" t="s">
        <v>251</v>
      </c>
      <c r="YX13" s="1"/>
      <c r="YY13" s="56" t="s">
        <v>251</v>
      </c>
      <c r="YZ13" s="1"/>
      <c r="ZA13" s="1"/>
      <c r="ZB13" s="2">
        <v>4</v>
      </c>
      <c r="ZC13" s="55">
        <v>75.757575757575751</v>
      </c>
      <c r="ZD13" s="1"/>
      <c r="ZE13" s="1"/>
      <c r="ZF13" s="1"/>
      <c r="ZG13" s="1"/>
      <c r="ZH13" s="1"/>
      <c r="ZI13" s="1"/>
      <c r="ZJ13" s="55" t="s">
        <v>251</v>
      </c>
      <c r="ZK13" s="1"/>
      <c r="ZL13" s="56" t="s">
        <v>251</v>
      </c>
      <c r="ZM13" s="1"/>
      <c r="ZN13" s="1"/>
      <c r="ZO13" s="2">
        <v>3</v>
      </c>
      <c r="ZP13" s="55">
        <v>81.818181818181813</v>
      </c>
      <c r="ZQ13" s="55" t="s">
        <v>251</v>
      </c>
      <c r="ZR13" s="55" t="s">
        <v>251</v>
      </c>
      <c r="ZS13" s="56" t="s">
        <v>251</v>
      </c>
      <c r="ZT13" s="57" t="s">
        <v>251</v>
      </c>
      <c r="ZU13" s="55" t="s">
        <v>251</v>
      </c>
      <c r="ZV13" s="1"/>
      <c r="ZW13" s="58">
        <v>7</v>
      </c>
      <c r="ZX13" s="59">
        <v>78.787878787878782</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3984202</v>
      </c>
      <c r="F14" s="89">
        <f t="shared" si="401"/>
        <v>1</v>
      </c>
      <c r="G14" s="89" t="str">
        <f t="shared" si="402"/>
        <v>B</v>
      </c>
      <c r="H14" s="36" t="s">
        <v>159</v>
      </c>
      <c r="I14" s="37" t="s">
        <v>151</v>
      </c>
      <c r="J14" s="41" t="s">
        <v>160</v>
      </c>
      <c r="K14" s="90" t="str">
        <f t="shared" si="403"/>
        <v>A</v>
      </c>
      <c r="L14" s="41" t="s">
        <v>117</v>
      </c>
      <c r="M14" s="93">
        <v>42676</v>
      </c>
      <c r="N14" s="41"/>
      <c r="O14" s="43" t="s">
        <v>229</v>
      </c>
      <c r="P14" s="91" t="str">
        <f t="shared" si="404"/>
        <v>Məmmədova Ramilə Xasay</v>
      </c>
      <c r="Q14" s="4">
        <v>1072743</v>
      </c>
      <c r="R14" s="39">
        <v>101</v>
      </c>
      <c r="S14" s="39">
        <v>270</v>
      </c>
      <c r="T14" s="1"/>
      <c r="U14" s="1"/>
      <c r="V14" s="1"/>
      <c r="W14" s="1"/>
      <c r="X14" s="1"/>
      <c r="Y14" s="1"/>
      <c r="Z14" s="1"/>
      <c r="AA14" s="55" t="s">
        <v>251</v>
      </c>
      <c r="AB14" s="1"/>
      <c r="AC14" s="56" t="s">
        <v>251</v>
      </c>
      <c r="AD14" s="1"/>
      <c r="AE14" s="1"/>
      <c r="AF14" s="2">
        <v>0</v>
      </c>
      <c r="AG14" s="55">
        <v>100</v>
      </c>
      <c r="AH14" s="1"/>
      <c r="AI14" s="1"/>
      <c r="AJ14" s="1"/>
      <c r="AK14" s="1"/>
      <c r="AL14" s="1"/>
      <c r="AM14" s="1"/>
      <c r="AN14" s="55" t="s">
        <v>251</v>
      </c>
      <c r="AO14" s="1"/>
      <c r="AP14" s="56" t="s">
        <v>251</v>
      </c>
      <c r="AQ14" s="1"/>
      <c r="AR14" s="1"/>
      <c r="AS14" s="2">
        <v>0</v>
      </c>
      <c r="AT14" s="55">
        <v>100</v>
      </c>
      <c r="AU14" s="55" t="s">
        <v>251</v>
      </c>
      <c r="AV14" s="55" t="s">
        <v>251</v>
      </c>
      <c r="AW14" s="56" t="s">
        <v>251</v>
      </c>
      <c r="AX14" s="57" t="s">
        <v>251</v>
      </c>
      <c r="AY14" s="55" t="s">
        <v>251</v>
      </c>
      <c r="AZ14" s="1"/>
      <c r="BA14" s="58">
        <v>0</v>
      </c>
      <c r="BB14" s="59">
        <v>100</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1269215</v>
      </c>
      <c r="EB14" s="39">
        <v>106</v>
      </c>
      <c r="EC14" s="39">
        <v>33</v>
      </c>
      <c r="ED14" s="1"/>
      <c r="EE14" s="1"/>
      <c r="EF14" s="1"/>
      <c r="EG14" s="1"/>
      <c r="EH14" s="1"/>
      <c r="EI14" s="1"/>
      <c r="EJ14" s="1"/>
      <c r="EK14" s="55" t="s">
        <v>251</v>
      </c>
      <c r="EL14" s="1"/>
      <c r="EM14" s="56" t="s">
        <v>251</v>
      </c>
      <c r="EN14" s="1"/>
      <c r="EO14" s="1"/>
      <c r="EP14" s="2">
        <v>0</v>
      </c>
      <c r="EQ14" s="55">
        <v>100</v>
      </c>
      <c r="ER14" s="1"/>
      <c r="ES14" s="1"/>
      <c r="ET14" s="1"/>
      <c r="EU14" s="1"/>
      <c r="EV14" s="1"/>
      <c r="EW14" s="1"/>
      <c r="EX14" s="55" t="s">
        <v>251</v>
      </c>
      <c r="EY14" s="1"/>
      <c r="EZ14" s="56" t="s">
        <v>251</v>
      </c>
      <c r="FA14" s="1"/>
      <c r="FB14" s="1"/>
      <c r="FC14" s="2">
        <v>0</v>
      </c>
      <c r="FD14" s="55">
        <v>100</v>
      </c>
      <c r="FE14" s="55" t="s">
        <v>251</v>
      </c>
      <c r="FF14" s="55" t="s">
        <v>251</v>
      </c>
      <c r="FG14" s="56" t="s">
        <v>251</v>
      </c>
      <c r="FH14" s="57" t="s">
        <v>251</v>
      </c>
      <c r="FI14" s="55" t="s">
        <v>251</v>
      </c>
      <c r="FJ14" s="1"/>
      <c r="FK14" s="58">
        <v>0</v>
      </c>
      <c r="FL14" s="59">
        <v>100</v>
      </c>
      <c r="FM14" s="4">
        <v>1072743</v>
      </c>
      <c r="FN14" s="39">
        <v>110</v>
      </c>
      <c r="FO14" s="39">
        <v>168</v>
      </c>
      <c r="FP14" s="1"/>
      <c r="FQ14" s="1"/>
      <c r="FR14" s="1"/>
      <c r="FS14" s="1"/>
      <c r="FT14" s="1"/>
      <c r="FU14" s="1"/>
      <c r="FV14" s="1"/>
      <c r="FW14" s="55" t="s">
        <v>251</v>
      </c>
      <c r="FX14" s="1"/>
      <c r="FY14" s="56" t="s">
        <v>251</v>
      </c>
      <c r="FZ14" s="1"/>
      <c r="GA14" s="1"/>
      <c r="GB14" s="2">
        <v>0</v>
      </c>
      <c r="GC14" s="55">
        <v>100</v>
      </c>
      <c r="GD14" s="1"/>
      <c r="GE14" s="1"/>
      <c r="GF14" s="1"/>
      <c r="GG14" s="1"/>
      <c r="GH14" s="1"/>
      <c r="GI14" s="1"/>
      <c r="GJ14" s="55" t="s">
        <v>251</v>
      </c>
      <c r="GK14" s="1"/>
      <c r="GL14" s="56" t="s">
        <v>251</v>
      </c>
      <c r="GM14" s="1"/>
      <c r="GN14" s="1"/>
      <c r="GO14" s="2">
        <v>0</v>
      </c>
      <c r="GP14" s="55">
        <v>100</v>
      </c>
      <c r="GQ14" s="55" t="s">
        <v>251</v>
      </c>
      <c r="GR14" s="55" t="s">
        <v>251</v>
      </c>
      <c r="GS14" s="56" t="s">
        <v>251</v>
      </c>
      <c r="GT14" s="57" t="s">
        <v>251</v>
      </c>
      <c r="GU14" s="55" t="s">
        <v>251</v>
      </c>
      <c r="GV14" s="1"/>
      <c r="GW14" s="58">
        <v>0</v>
      </c>
      <c r="GX14" s="59">
        <v>100</v>
      </c>
      <c r="GY14" s="4">
        <v>1199044</v>
      </c>
      <c r="GZ14" s="39">
        <v>114</v>
      </c>
      <c r="HA14" s="39">
        <v>33</v>
      </c>
      <c r="HB14" s="1"/>
      <c r="HC14" s="1"/>
      <c r="HD14" s="1"/>
      <c r="HE14" s="1"/>
      <c r="HF14" s="1"/>
      <c r="HG14" s="1"/>
      <c r="HH14" s="1"/>
      <c r="HI14" s="55" t="s">
        <v>251</v>
      </c>
      <c r="HJ14" s="1"/>
      <c r="HK14" s="56" t="s">
        <v>251</v>
      </c>
      <c r="HL14" s="1"/>
      <c r="HM14" s="1"/>
      <c r="HN14" s="2">
        <v>0</v>
      </c>
      <c r="HO14" s="55">
        <v>100</v>
      </c>
      <c r="HP14" s="1"/>
      <c r="HQ14" s="1"/>
      <c r="HR14" s="1"/>
      <c r="HS14" s="1"/>
      <c r="HT14" s="1"/>
      <c r="HU14" s="1"/>
      <c r="HV14" s="55" t="s">
        <v>251</v>
      </c>
      <c r="HW14" s="1"/>
      <c r="HX14" s="56" t="s">
        <v>251</v>
      </c>
      <c r="HY14" s="1"/>
      <c r="HZ14" s="1"/>
      <c r="IA14" s="2">
        <v>0</v>
      </c>
      <c r="IB14" s="55">
        <v>100</v>
      </c>
      <c r="IC14" s="55" t="s">
        <v>251</v>
      </c>
      <c r="ID14" s="55" t="s">
        <v>251</v>
      </c>
      <c r="IE14" s="56" t="s">
        <v>251</v>
      </c>
      <c r="IF14" s="57" t="s">
        <v>251</v>
      </c>
      <c r="IG14" s="55" t="s">
        <v>251</v>
      </c>
      <c r="IH14" s="1"/>
      <c r="II14" s="58">
        <v>0</v>
      </c>
      <c r="IJ14" s="59">
        <v>100</v>
      </c>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1072743</v>
      </c>
      <c r="PT14" s="39">
        <v>128</v>
      </c>
      <c r="PU14" s="39">
        <v>33</v>
      </c>
      <c r="PV14" s="1"/>
      <c r="PW14" s="1"/>
      <c r="PX14" s="1"/>
      <c r="PY14" s="1"/>
      <c r="PZ14" s="1"/>
      <c r="QA14" s="1"/>
      <c r="QB14" s="1"/>
      <c r="QC14" s="55" t="s">
        <v>251</v>
      </c>
      <c r="QD14" s="1"/>
      <c r="QE14" s="56" t="s">
        <v>251</v>
      </c>
      <c r="QF14" s="1"/>
      <c r="QG14" s="1"/>
      <c r="QH14" s="2">
        <v>0</v>
      </c>
      <c r="QI14" s="55">
        <v>100</v>
      </c>
      <c r="QJ14" s="1"/>
      <c r="QK14" s="1"/>
      <c r="QL14" s="1"/>
      <c r="QM14" s="1"/>
      <c r="QN14" s="1"/>
      <c r="QO14" s="1"/>
      <c r="QP14" s="55" t="s">
        <v>251</v>
      </c>
      <c r="QQ14" s="1"/>
      <c r="QR14" s="56" t="s">
        <v>251</v>
      </c>
      <c r="QS14" s="1"/>
      <c r="QT14" s="1"/>
      <c r="QU14" s="2">
        <v>0</v>
      </c>
      <c r="QV14" s="55">
        <v>100</v>
      </c>
      <c r="QW14" s="55" t="s">
        <v>251</v>
      </c>
      <c r="QX14" s="55" t="s">
        <v>251</v>
      </c>
      <c r="QY14" s="56" t="s">
        <v>251</v>
      </c>
      <c r="QZ14" s="57" t="s">
        <v>251</v>
      </c>
      <c r="RA14" s="55" t="s">
        <v>251</v>
      </c>
      <c r="RB14" s="1"/>
      <c r="RC14" s="58">
        <v>0</v>
      </c>
      <c r="RD14" s="59">
        <v>100</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1072743</v>
      </c>
      <c r="UD14" s="39">
        <v>131</v>
      </c>
      <c r="UE14" s="39">
        <v>69</v>
      </c>
      <c r="UF14" s="1"/>
      <c r="UG14" s="1"/>
      <c r="UH14" s="1"/>
      <c r="UI14" s="1"/>
      <c r="UJ14" s="1"/>
      <c r="UK14" s="1"/>
      <c r="UL14" s="1"/>
      <c r="UM14" s="55" t="s">
        <v>251</v>
      </c>
      <c r="UN14" s="1"/>
      <c r="UO14" s="56" t="s">
        <v>251</v>
      </c>
      <c r="UP14" s="1"/>
      <c r="UQ14" s="1"/>
      <c r="UR14" s="2">
        <v>0</v>
      </c>
      <c r="US14" s="55">
        <v>100</v>
      </c>
      <c r="UT14" s="1"/>
      <c r="UU14" s="1"/>
      <c r="UV14" s="1"/>
      <c r="UW14" s="1"/>
      <c r="UX14" s="1"/>
      <c r="UY14" s="1"/>
      <c r="UZ14" s="55" t="s">
        <v>251</v>
      </c>
      <c r="VA14" s="1"/>
      <c r="VB14" s="56" t="s">
        <v>251</v>
      </c>
      <c r="VC14" s="1"/>
      <c r="VD14" s="1">
        <v>0</v>
      </c>
      <c r="VE14" s="2"/>
      <c r="VF14" s="55" t="s">
        <v>251</v>
      </c>
      <c r="VG14" s="55" t="s">
        <v>251</v>
      </c>
      <c r="VH14" s="55" t="s">
        <v>251</v>
      </c>
      <c r="VI14" s="56" t="s">
        <v>251</v>
      </c>
      <c r="VJ14" s="57" t="s">
        <v>251</v>
      </c>
      <c r="VK14" s="55">
        <v>0</v>
      </c>
      <c r="VL14" s="1"/>
      <c r="VM14" s="58">
        <v>0</v>
      </c>
      <c r="VN14" s="59">
        <v>100</v>
      </c>
      <c r="VO14" s="4">
        <v>1072743</v>
      </c>
      <c r="VP14" s="39">
        <v>132</v>
      </c>
      <c r="VQ14" s="39">
        <v>34</v>
      </c>
      <c r="VR14" s="1"/>
      <c r="VS14" s="1"/>
      <c r="VT14" s="1"/>
      <c r="VU14" s="1"/>
      <c r="VV14" s="1"/>
      <c r="VW14" s="1"/>
      <c r="VX14" s="1"/>
      <c r="VY14" s="55" t="s">
        <v>251</v>
      </c>
      <c r="VZ14" s="1"/>
      <c r="WA14" s="56" t="s">
        <v>251</v>
      </c>
      <c r="WB14" s="1"/>
      <c r="WC14" s="1"/>
      <c r="WD14" s="2">
        <v>0</v>
      </c>
      <c r="WE14" s="55">
        <v>100</v>
      </c>
      <c r="WF14" s="1"/>
      <c r="WG14" s="1"/>
      <c r="WH14" s="1"/>
      <c r="WI14" s="1"/>
      <c r="WJ14" s="1"/>
      <c r="WK14" s="1"/>
      <c r="WL14" s="55" t="s">
        <v>251</v>
      </c>
      <c r="WM14" s="1"/>
      <c r="WN14" s="56" t="s">
        <v>251</v>
      </c>
      <c r="WO14" s="1"/>
      <c r="WP14" s="1"/>
      <c r="WQ14" s="2">
        <v>0</v>
      </c>
      <c r="WR14" s="55">
        <v>100</v>
      </c>
      <c r="WS14" s="55" t="s">
        <v>251</v>
      </c>
      <c r="WT14" s="55" t="s">
        <v>251</v>
      </c>
      <c r="WU14" s="56" t="s">
        <v>251</v>
      </c>
      <c r="WV14" s="57" t="s">
        <v>251</v>
      </c>
      <c r="WW14" s="55" t="s">
        <v>251</v>
      </c>
      <c r="WX14" s="1"/>
      <c r="WY14" s="58">
        <v>0</v>
      </c>
      <c r="WZ14" s="59">
        <v>100</v>
      </c>
      <c r="XA14" s="4">
        <v>1072748</v>
      </c>
      <c r="XB14" s="39">
        <v>133</v>
      </c>
      <c r="XC14" s="39">
        <v>34</v>
      </c>
      <c r="XD14" s="1"/>
      <c r="XE14" s="1"/>
      <c r="XF14" s="1"/>
      <c r="XG14" s="1"/>
      <c r="XH14" s="1"/>
      <c r="XI14" s="1"/>
      <c r="XJ14" s="1"/>
      <c r="XK14" s="55" t="s">
        <v>251</v>
      </c>
      <c r="XL14" s="1"/>
      <c r="XM14" s="56" t="s">
        <v>251</v>
      </c>
      <c r="XN14" s="1"/>
      <c r="XO14" s="1"/>
      <c r="XP14" s="2">
        <v>0</v>
      </c>
      <c r="XQ14" s="55">
        <v>100</v>
      </c>
      <c r="XR14" s="1"/>
      <c r="XS14" s="1"/>
      <c r="XT14" s="1"/>
      <c r="XU14" s="1"/>
      <c r="XV14" s="1"/>
      <c r="XW14" s="1"/>
      <c r="XX14" s="55" t="s">
        <v>251</v>
      </c>
      <c r="XY14" s="1"/>
      <c r="XZ14" s="56" t="s">
        <v>251</v>
      </c>
      <c r="YA14" s="1"/>
      <c r="YB14" s="1"/>
      <c r="YC14" s="2">
        <v>0</v>
      </c>
      <c r="YD14" s="55">
        <v>100</v>
      </c>
      <c r="YE14" s="55" t="s">
        <v>251</v>
      </c>
      <c r="YF14" s="55" t="s">
        <v>251</v>
      </c>
      <c r="YG14" s="56" t="s">
        <v>251</v>
      </c>
      <c r="YH14" s="57" t="s">
        <v>251</v>
      </c>
      <c r="YI14" s="55" t="s">
        <v>251</v>
      </c>
      <c r="YJ14" s="1"/>
      <c r="YK14" s="58">
        <v>0</v>
      </c>
      <c r="YL14" s="59">
        <v>100</v>
      </c>
      <c r="YM14" s="4">
        <v>1072743</v>
      </c>
      <c r="YN14" s="39">
        <v>135</v>
      </c>
      <c r="YO14" s="39">
        <v>33</v>
      </c>
      <c r="YP14" s="1"/>
      <c r="YQ14" s="1"/>
      <c r="YR14" s="1"/>
      <c r="YS14" s="1"/>
      <c r="YT14" s="1"/>
      <c r="YU14" s="1"/>
      <c r="YV14" s="1"/>
      <c r="YW14" s="55" t="s">
        <v>251</v>
      </c>
      <c r="YX14" s="1"/>
      <c r="YY14" s="56" t="s">
        <v>251</v>
      </c>
      <c r="YZ14" s="1"/>
      <c r="ZA14" s="1"/>
      <c r="ZB14" s="2">
        <v>0</v>
      </c>
      <c r="ZC14" s="55">
        <v>100</v>
      </c>
      <c r="ZD14" s="1"/>
      <c r="ZE14" s="1"/>
      <c r="ZF14" s="1"/>
      <c r="ZG14" s="1"/>
      <c r="ZH14" s="1"/>
      <c r="ZI14" s="1"/>
      <c r="ZJ14" s="55" t="s">
        <v>251</v>
      </c>
      <c r="ZK14" s="1"/>
      <c r="ZL14" s="56" t="s">
        <v>251</v>
      </c>
      <c r="ZM14" s="1"/>
      <c r="ZN14" s="1"/>
      <c r="ZO14" s="2">
        <v>0</v>
      </c>
      <c r="ZP14" s="55">
        <v>100</v>
      </c>
      <c r="ZQ14" s="55" t="s">
        <v>251</v>
      </c>
      <c r="ZR14" s="55" t="s">
        <v>251</v>
      </c>
      <c r="ZS14" s="56" t="s">
        <v>251</v>
      </c>
      <c r="ZT14" s="57" t="s">
        <v>251</v>
      </c>
      <c r="ZU14" s="55" t="s">
        <v>251</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3984228</v>
      </c>
      <c r="F15" s="89">
        <f t="shared" si="401"/>
        <v>1</v>
      </c>
      <c r="G15" s="89" t="str">
        <f t="shared" si="402"/>
        <v>B</v>
      </c>
      <c r="H15" s="36" t="s">
        <v>161</v>
      </c>
      <c r="I15" s="37" t="s">
        <v>162</v>
      </c>
      <c r="J15" s="41" t="s">
        <v>163</v>
      </c>
      <c r="K15" s="90" t="str">
        <f t="shared" si="403"/>
        <v>A</v>
      </c>
      <c r="L15" s="41" t="s">
        <v>117</v>
      </c>
      <c r="M15" s="93">
        <v>42511</v>
      </c>
      <c r="N15" s="41"/>
      <c r="O15" s="43" t="s">
        <v>230</v>
      </c>
      <c r="P15" s="91" t="str">
        <f t="shared" si="404"/>
        <v>Məmmədova Ramilə Xasay</v>
      </c>
      <c r="Q15" s="4">
        <v>1072743</v>
      </c>
      <c r="R15" s="39">
        <v>101</v>
      </c>
      <c r="S15" s="39">
        <v>270</v>
      </c>
      <c r="T15" s="1"/>
      <c r="U15" s="1"/>
      <c r="V15" s="1"/>
      <c r="W15" s="1"/>
      <c r="X15" s="1"/>
      <c r="Y15" s="1"/>
      <c r="Z15" s="1"/>
      <c r="AA15" s="55" t="s">
        <v>251</v>
      </c>
      <c r="AB15" s="1"/>
      <c r="AC15" s="56" t="s">
        <v>251</v>
      </c>
      <c r="AD15" s="1"/>
      <c r="AE15" s="1"/>
      <c r="AF15" s="2">
        <v>0</v>
      </c>
      <c r="AG15" s="55">
        <v>100</v>
      </c>
      <c r="AH15" s="1"/>
      <c r="AI15" s="1"/>
      <c r="AJ15" s="1"/>
      <c r="AK15" s="1"/>
      <c r="AL15" s="1"/>
      <c r="AM15" s="1"/>
      <c r="AN15" s="55" t="s">
        <v>251</v>
      </c>
      <c r="AO15" s="1"/>
      <c r="AP15" s="56" t="s">
        <v>251</v>
      </c>
      <c r="AQ15" s="1"/>
      <c r="AR15" s="1"/>
      <c r="AS15" s="2">
        <v>4</v>
      </c>
      <c r="AT15" s="55">
        <v>97.037037037037038</v>
      </c>
      <c r="AU15" s="55" t="s">
        <v>251</v>
      </c>
      <c r="AV15" s="55" t="s">
        <v>251</v>
      </c>
      <c r="AW15" s="56" t="s">
        <v>251</v>
      </c>
      <c r="AX15" s="57" t="s">
        <v>251</v>
      </c>
      <c r="AY15" s="55" t="s">
        <v>251</v>
      </c>
      <c r="AZ15" s="1"/>
      <c r="BA15" s="58">
        <v>4</v>
      </c>
      <c r="BB15" s="59">
        <v>98.518518518518519</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1269215</v>
      </c>
      <c r="EB15" s="39">
        <v>106</v>
      </c>
      <c r="EC15" s="39">
        <v>33</v>
      </c>
      <c r="ED15" s="1"/>
      <c r="EE15" s="1"/>
      <c r="EF15" s="1"/>
      <c r="EG15" s="1"/>
      <c r="EH15" s="1"/>
      <c r="EI15" s="1"/>
      <c r="EJ15" s="1"/>
      <c r="EK15" s="55" t="s">
        <v>251</v>
      </c>
      <c r="EL15" s="1"/>
      <c r="EM15" s="56" t="s">
        <v>251</v>
      </c>
      <c r="EN15" s="1"/>
      <c r="EO15" s="1"/>
      <c r="EP15" s="2">
        <v>0</v>
      </c>
      <c r="EQ15" s="55">
        <v>100</v>
      </c>
      <c r="ER15" s="1"/>
      <c r="ES15" s="1"/>
      <c r="ET15" s="1"/>
      <c r="EU15" s="1"/>
      <c r="EV15" s="1"/>
      <c r="EW15" s="1"/>
      <c r="EX15" s="55" t="s">
        <v>251</v>
      </c>
      <c r="EY15" s="1"/>
      <c r="EZ15" s="56" t="s">
        <v>251</v>
      </c>
      <c r="FA15" s="1"/>
      <c r="FB15" s="1"/>
      <c r="FC15" s="2">
        <v>0</v>
      </c>
      <c r="FD15" s="55">
        <v>100</v>
      </c>
      <c r="FE15" s="55" t="s">
        <v>251</v>
      </c>
      <c r="FF15" s="55" t="s">
        <v>251</v>
      </c>
      <c r="FG15" s="56" t="s">
        <v>251</v>
      </c>
      <c r="FH15" s="57" t="s">
        <v>251</v>
      </c>
      <c r="FI15" s="55" t="s">
        <v>251</v>
      </c>
      <c r="FJ15" s="1"/>
      <c r="FK15" s="58">
        <v>0</v>
      </c>
      <c r="FL15" s="59">
        <v>100</v>
      </c>
      <c r="FM15" s="4">
        <v>1072743</v>
      </c>
      <c r="FN15" s="39">
        <v>110</v>
      </c>
      <c r="FO15" s="39">
        <v>168</v>
      </c>
      <c r="FP15" s="1"/>
      <c r="FQ15" s="1"/>
      <c r="FR15" s="1"/>
      <c r="FS15" s="1"/>
      <c r="FT15" s="1"/>
      <c r="FU15" s="1"/>
      <c r="FV15" s="1"/>
      <c r="FW15" s="55" t="s">
        <v>251</v>
      </c>
      <c r="FX15" s="1"/>
      <c r="FY15" s="56" t="s">
        <v>251</v>
      </c>
      <c r="FZ15" s="1"/>
      <c r="GA15" s="1"/>
      <c r="GB15" s="2">
        <v>0</v>
      </c>
      <c r="GC15" s="55">
        <v>100</v>
      </c>
      <c r="GD15" s="1"/>
      <c r="GE15" s="1"/>
      <c r="GF15" s="1"/>
      <c r="GG15" s="1"/>
      <c r="GH15" s="1"/>
      <c r="GI15" s="1"/>
      <c r="GJ15" s="55" t="s">
        <v>251</v>
      </c>
      <c r="GK15" s="1"/>
      <c r="GL15" s="56" t="s">
        <v>251</v>
      </c>
      <c r="GM15" s="1"/>
      <c r="GN15" s="1"/>
      <c r="GO15" s="2">
        <v>2</v>
      </c>
      <c r="GP15" s="55">
        <v>97.61904761904762</v>
      </c>
      <c r="GQ15" s="55" t="s">
        <v>251</v>
      </c>
      <c r="GR15" s="55" t="s">
        <v>251</v>
      </c>
      <c r="GS15" s="56" t="s">
        <v>251</v>
      </c>
      <c r="GT15" s="57" t="s">
        <v>251</v>
      </c>
      <c r="GU15" s="55" t="s">
        <v>251</v>
      </c>
      <c r="GV15" s="1"/>
      <c r="GW15" s="58">
        <v>2</v>
      </c>
      <c r="GX15" s="59">
        <v>98.80952380952381</v>
      </c>
      <c r="GY15" s="4">
        <v>1199044</v>
      </c>
      <c r="GZ15" s="39">
        <v>114</v>
      </c>
      <c r="HA15" s="39">
        <v>33</v>
      </c>
      <c r="HB15" s="1"/>
      <c r="HC15" s="1"/>
      <c r="HD15" s="1"/>
      <c r="HE15" s="1"/>
      <c r="HF15" s="1"/>
      <c r="HG15" s="1"/>
      <c r="HH15" s="1"/>
      <c r="HI15" s="55" t="s">
        <v>251</v>
      </c>
      <c r="HJ15" s="1"/>
      <c r="HK15" s="56" t="s">
        <v>251</v>
      </c>
      <c r="HL15" s="1"/>
      <c r="HM15" s="1"/>
      <c r="HN15" s="2">
        <v>0</v>
      </c>
      <c r="HO15" s="55">
        <v>100</v>
      </c>
      <c r="HP15" s="1"/>
      <c r="HQ15" s="1"/>
      <c r="HR15" s="1"/>
      <c r="HS15" s="1"/>
      <c r="HT15" s="1"/>
      <c r="HU15" s="1"/>
      <c r="HV15" s="55" t="s">
        <v>251</v>
      </c>
      <c r="HW15" s="1"/>
      <c r="HX15" s="56" t="s">
        <v>251</v>
      </c>
      <c r="HY15" s="1"/>
      <c r="HZ15" s="1"/>
      <c r="IA15" s="2">
        <v>0</v>
      </c>
      <c r="IB15" s="55">
        <v>100</v>
      </c>
      <c r="IC15" s="55" t="s">
        <v>251</v>
      </c>
      <c r="ID15" s="55" t="s">
        <v>251</v>
      </c>
      <c r="IE15" s="56" t="s">
        <v>251</v>
      </c>
      <c r="IF15" s="57" t="s">
        <v>251</v>
      </c>
      <c r="IG15" s="55" t="s">
        <v>251</v>
      </c>
      <c r="IH15" s="1"/>
      <c r="II15" s="58">
        <v>0</v>
      </c>
      <c r="IJ15" s="59">
        <v>100</v>
      </c>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1072743</v>
      </c>
      <c r="PT15" s="39">
        <v>128</v>
      </c>
      <c r="PU15" s="39">
        <v>33</v>
      </c>
      <c r="PV15" s="1"/>
      <c r="PW15" s="1"/>
      <c r="PX15" s="1"/>
      <c r="PY15" s="1"/>
      <c r="PZ15" s="1"/>
      <c r="QA15" s="1"/>
      <c r="QB15" s="1"/>
      <c r="QC15" s="55" t="s">
        <v>251</v>
      </c>
      <c r="QD15" s="1"/>
      <c r="QE15" s="56" t="s">
        <v>251</v>
      </c>
      <c r="QF15" s="1"/>
      <c r="QG15" s="1"/>
      <c r="QH15" s="2">
        <v>0</v>
      </c>
      <c r="QI15" s="55">
        <v>100</v>
      </c>
      <c r="QJ15" s="1"/>
      <c r="QK15" s="1"/>
      <c r="QL15" s="1"/>
      <c r="QM15" s="1"/>
      <c r="QN15" s="1"/>
      <c r="QO15" s="1"/>
      <c r="QP15" s="55" t="s">
        <v>251</v>
      </c>
      <c r="QQ15" s="1"/>
      <c r="QR15" s="56" t="s">
        <v>251</v>
      </c>
      <c r="QS15" s="1"/>
      <c r="QT15" s="1"/>
      <c r="QU15" s="2">
        <v>0</v>
      </c>
      <c r="QV15" s="55">
        <v>100</v>
      </c>
      <c r="QW15" s="55" t="s">
        <v>251</v>
      </c>
      <c r="QX15" s="55" t="s">
        <v>251</v>
      </c>
      <c r="QY15" s="56" t="s">
        <v>251</v>
      </c>
      <c r="QZ15" s="57" t="s">
        <v>251</v>
      </c>
      <c r="RA15" s="55" t="s">
        <v>251</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1072743</v>
      </c>
      <c r="UD15" s="39">
        <v>131</v>
      </c>
      <c r="UE15" s="39">
        <v>69</v>
      </c>
      <c r="UF15" s="1"/>
      <c r="UG15" s="1"/>
      <c r="UH15" s="1"/>
      <c r="UI15" s="1"/>
      <c r="UJ15" s="1"/>
      <c r="UK15" s="1"/>
      <c r="UL15" s="1"/>
      <c r="UM15" s="55" t="s">
        <v>251</v>
      </c>
      <c r="UN15" s="1"/>
      <c r="UO15" s="56" t="s">
        <v>251</v>
      </c>
      <c r="UP15" s="1"/>
      <c r="UQ15" s="1"/>
      <c r="UR15" s="2">
        <v>0</v>
      </c>
      <c r="US15" s="55">
        <v>100</v>
      </c>
      <c r="UT15" s="1"/>
      <c r="UU15" s="1"/>
      <c r="UV15" s="1"/>
      <c r="UW15" s="1"/>
      <c r="UX15" s="1"/>
      <c r="UY15" s="1"/>
      <c r="UZ15" s="55" t="s">
        <v>251</v>
      </c>
      <c r="VA15" s="1"/>
      <c r="VB15" s="56" t="s">
        <v>251</v>
      </c>
      <c r="VC15" s="1"/>
      <c r="VD15" s="1">
        <v>0</v>
      </c>
      <c r="VE15" s="2"/>
      <c r="VF15" s="55" t="s">
        <v>251</v>
      </c>
      <c r="VG15" s="55" t="s">
        <v>251</v>
      </c>
      <c r="VH15" s="55" t="s">
        <v>251</v>
      </c>
      <c r="VI15" s="56" t="s">
        <v>251</v>
      </c>
      <c r="VJ15" s="57" t="s">
        <v>251</v>
      </c>
      <c r="VK15" s="55">
        <v>0</v>
      </c>
      <c r="VL15" s="1"/>
      <c r="VM15" s="58">
        <v>0</v>
      </c>
      <c r="VN15" s="59">
        <v>100</v>
      </c>
      <c r="VO15" s="4">
        <v>1072743</v>
      </c>
      <c r="VP15" s="39">
        <v>132</v>
      </c>
      <c r="VQ15" s="39">
        <v>34</v>
      </c>
      <c r="VR15" s="1"/>
      <c r="VS15" s="1"/>
      <c r="VT15" s="1"/>
      <c r="VU15" s="1"/>
      <c r="VV15" s="1"/>
      <c r="VW15" s="1"/>
      <c r="VX15" s="1"/>
      <c r="VY15" s="55" t="s">
        <v>251</v>
      </c>
      <c r="VZ15" s="1"/>
      <c r="WA15" s="56" t="s">
        <v>251</v>
      </c>
      <c r="WB15" s="1"/>
      <c r="WC15" s="1"/>
      <c r="WD15" s="2">
        <v>0</v>
      </c>
      <c r="WE15" s="55">
        <v>100</v>
      </c>
      <c r="WF15" s="1"/>
      <c r="WG15" s="1"/>
      <c r="WH15" s="1"/>
      <c r="WI15" s="1"/>
      <c r="WJ15" s="1"/>
      <c r="WK15" s="1"/>
      <c r="WL15" s="55" t="s">
        <v>251</v>
      </c>
      <c r="WM15" s="1"/>
      <c r="WN15" s="56" t="s">
        <v>251</v>
      </c>
      <c r="WO15" s="1"/>
      <c r="WP15" s="1"/>
      <c r="WQ15" s="2">
        <v>0</v>
      </c>
      <c r="WR15" s="55">
        <v>100</v>
      </c>
      <c r="WS15" s="55" t="s">
        <v>251</v>
      </c>
      <c r="WT15" s="55" t="s">
        <v>251</v>
      </c>
      <c r="WU15" s="56" t="s">
        <v>251</v>
      </c>
      <c r="WV15" s="57" t="s">
        <v>251</v>
      </c>
      <c r="WW15" s="55" t="s">
        <v>251</v>
      </c>
      <c r="WX15" s="1"/>
      <c r="WY15" s="58">
        <v>0</v>
      </c>
      <c r="WZ15" s="59">
        <v>100</v>
      </c>
      <c r="XA15" s="4">
        <v>1072748</v>
      </c>
      <c r="XB15" s="39">
        <v>133</v>
      </c>
      <c r="XC15" s="39">
        <v>34</v>
      </c>
      <c r="XD15" s="1"/>
      <c r="XE15" s="1"/>
      <c r="XF15" s="1"/>
      <c r="XG15" s="1"/>
      <c r="XH15" s="1"/>
      <c r="XI15" s="1"/>
      <c r="XJ15" s="1"/>
      <c r="XK15" s="55" t="s">
        <v>251</v>
      </c>
      <c r="XL15" s="1"/>
      <c r="XM15" s="56" t="s">
        <v>251</v>
      </c>
      <c r="XN15" s="1"/>
      <c r="XO15" s="1"/>
      <c r="XP15" s="2">
        <v>0</v>
      </c>
      <c r="XQ15" s="55">
        <v>100</v>
      </c>
      <c r="XR15" s="1"/>
      <c r="XS15" s="1"/>
      <c r="XT15" s="1"/>
      <c r="XU15" s="1"/>
      <c r="XV15" s="1"/>
      <c r="XW15" s="1"/>
      <c r="XX15" s="55" t="s">
        <v>251</v>
      </c>
      <c r="XY15" s="1"/>
      <c r="XZ15" s="56" t="s">
        <v>251</v>
      </c>
      <c r="YA15" s="1"/>
      <c r="YB15" s="1"/>
      <c r="YC15" s="2">
        <v>0</v>
      </c>
      <c r="YD15" s="55">
        <v>100</v>
      </c>
      <c r="YE15" s="55" t="s">
        <v>251</v>
      </c>
      <c r="YF15" s="55" t="s">
        <v>251</v>
      </c>
      <c r="YG15" s="56" t="s">
        <v>251</v>
      </c>
      <c r="YH15" s="57" t="s">
        <v>251</v>
      </c>
      <c r="YI15" s="55" t="s">
        <v>251</v>
      </c>
      <c r="YJ15" s="1"/>
      <c r="YK15" s="58">
        <v>0</v>
      </c>
      <c r="YL15" s="59">
        <v>100</v>
      </c>
      <c r="YM15" s="4">
        <v>1072743</v>
      </c>
      <c r="YN15" s="39">
        <v>135</v>
      </c>
      <c r="YO15" s="39">
        <v>33</v>
      </c>
      <c r="YP15" s="1"/>
      <c r="YQ15" s="1"/>
      <c r="YR15" s="1"/>
      <c r="YS15" s="1"/>
      <c r="YT15" s="1"/>
      <c r="YU15" s="1"/>
      <c r="YV15" s="1"/>
      <c r="YW15" s="55" t="s">
        <v>251</v>
      </c>
      <c r="YX15" s="1"/>
      <c r="YY15" s="56" t="s">
        <v>251</v>
      </c>
      <c r="YZ15" s="1"/>
      <c r="ZA15" s="1"/>
      <c r="ZB15" s="2">
        <v>0</v>
      </c>
      <c r="ZC15" s="55">
        <v>100</v>
      </c>
      <c r="ZD15" s="1"/>
      <c r="ZE15" s="1"/>
      <c r="ZF15" s="1"/>
      <c r="ZG15" s="1"/>
      <c r="ZH15" s="1"/>
      <c r="ZI15" s="1"/>
      <c r="ZJ15" s="55" t="s">
        <v>251</v>
      </c>
      <c r="ZK15" s="1"/>
      <c r="ZL15" s="56" t="s">
        <v>251</v>
      </c>
      <c r="ZM15" s="1"/>
      <c r="ZN15" s="1"/>
      <c r="ZO15" s="2">
        <v>0</v>
      </c>
      <c r="ZP15" s="55">
        <v>100</v>
      </c>
      <c r="ZQ15" s="55" t="s">
        <v>251</v>
      </c>
      <c r="ZR15" s="55" t="s">
        <v>251</v>
      </c>
      <c r="ZS15" s="56" t="s">
        <v>251</v>
      </c>
      <c r="ZT15" s="57" t="s">
        <v>251</v>
      </c>
      <c r="ZU15" s="55" t="s">
        <v>251</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3984274</v>
      </c>
      <c r="F16" s="89">
        <f t="shared" si="401"/>
        <v>1</v>
      </c>
      <c r="G16" s="89" t="str">
        <f t="shared" si="402"/>
        <v>B</v>
      </c>
      <c r="H16" s="36" t="s">
        <v>164</v>
      </c>
      <c r="I16" s="37" t="s">
        <v>165</v>
      </c>
      <c r="J16" s="41" t="s">
        <v>166</v>
      </c>
      <c r="K16" s="90" t="str">
        <f t="shared" si="403"/>
        <v>A</v>
      </c>
      <c r="L16" s="41" t="s">
        <v>119</v>
      </c>
      <c r="M16" s="93">
        <v>42547</v>
      </c>
      <c r="N16" s="41"/>
      <c r="O16" s="43" t="s">
        <v>231</v>
      </c>
      <c r="P16" s="91" t="str">
        <f t="shared" si="404"/>
        <v>Məmmədova Ramilə Xasay</v>
      </c>
      <c r="Q16" s="4">
        <v>1072743</v>
      </c>
      <c r="R16" s="39">
        <v>101</v>
      </c>
      <c r="S16" s="39">
        <v>270</v>
      </c>
      <c r="T16" s="1"/>
      <c r="U16" s="1"/>
      <c r="V16" s="1"/>
      <c r="W16" s="1"/>
      <c r="X16" s="1"/>
      <c r="Y16" s="1"/>
      <c r="Z16" s="1"/>
      <c r="AA16" s="55" t="s">
        <v>251</v>
      </c>
      <c r="AB16" s="1"/>
      <c r="AC16" s="56" t="s">
        <v>251</v>
      </c>
      <c r="AD16" s="1"/>
      <c r="AE16" s="1"/>
      <c r="AF16" s="2">
        <v>20</v>
      </c>
      <c r="AG16" s="55">
        <v>85.18518518518519</v>
      </c>
      <c r="AH16" s="1"/>
      <c r="AI16" s="1"/>
      <c r="AJ16" s="1"/>
      <c r="AK16" s="1"/>
      <c r="AL16" s="1"/>
      <c r="AM16" s="1"/>
      <c r="AN16" s="55" t="s">
        <v>251</v>
      </c>
      <c r="AO16" s="1"/>
      <c r="AP16" s="56" t="s">
        <v>251</v>
      </c>
      <c r="AQ16" s="1"/>
      <c r="AR16" s="1"/>
      <c r="AS16" s="2">
        <v>3</v>
      </c>
      <c r="AT16" s="55">
        <v>97.777777777777771</v>
      </c>
      <c r="AU16" s="55" t="s">
        <v>251</v>
      </c>
      <c r="AV16" s="55" t="s">
        <v>251</v>
      </c>
      <c r="AW16" s="56" t="s">
        <v>251</v>
      </c>
      <c r="AX16" s="57" t="s">
        <v>251</v>
      </c>
      <c r="AY16" s="55" t="s">
        <v>251</v>
      </c>
      <c r="AZ16" s="1"/>
      <c r="BA16" s="58">
        <v>23</v>
      </c>
      <c r="BB16" s="59">
        <v>91.481481481481481</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1269215</v>
      </c>
      <c r="EB16" s="39">
        <v>106</v>
      </c>
      <c r="EC16" s="39">
        <v>33</v>
      </c>
      <c r="ED16" s="1"/>
      <c r="EE16" s="1"/>
      <c r="EF16" s="1"/>
      <c r="EG16" s="1"/>
      <c r="EH16" s="1"/>
      <c r="EI16" s="1"/>
      <c r="EJ16" s="1"/>
      <c r="EK16" s="55" t="s">
        <v>251</v>
      </c>
      <c r="EL16" s="1"/>
      <c r="EM16" s="56" t="s">
        <v>251</v>
      </c>
      <c r="EN16" s="1"/>
      <c r="EO16" s="1"/>
      <c r="EP16" s="2">
        <v>0</v>
      </c>
      <c r="EQ16" s="55">
        <v>100</v>
      </c>
      <c r="ER16" s="1"/>
      <c r="ES16" s="1"/>
      <c r="ET16" s="1"/>
      <c r="EU16" s="1"/>
      <c r="EV16" s="1"/>
      <c r="EW16" s="1"/>
      <c r="EX16" s="55" t="s">
        <v>251</v>
      </c>
      <c r="EY16" s="1"/>
      <c r="EZ16" s="56" t="s">
        <v>251</v>
      </c>
      <c r="FA16" s="1"/>
      <c r="FB16" s="1"/>
      <c r="FC16" s="2">
        <v>0</v>
      </c>
      <c r="FD16" s="55">
        <v>100</v>
      </c>
      <c r="FE16" s="55" t="s">
        <v>251</v>
      </c>
      <c r="FF16" s="55" t="s">
        <v>251</v>
      </c>
      <c r="FG16" s="56" t="s">
        <v>251</v>
      </c>
      <c r="FH16" s="57" t="s">
        <v>251</v>
      </c>
      <c r="FI16" s="55" t="s">
        <v>251</v>
      </c>
      <c r="FJ16" s="1"/>
      <c r="FK16" s="58">
        <v>0</v>
      </c>
      <c r="FL16" s="59">
        <v>100</v>
      </c>
      <c r="FM16" s="4">
        <v>1072743</v>
      </c>
      <c r="FN16" s="39">
        <v>110</v>
      </c>
      <c r="FO16" s="39">
        <v>168</v>
      </c>
      <c r="FP16" s="1"/>
      <c r="FQ16" s="1"/>
      <c r="FR16" s="1"/>
      <c r="FS16" s="1"/>
      <c r="FT16" s="1"/>
      <c r="FU16" s="1"/>
      <c r="FV16" s="1"/>
      <c r="FW16" s="55" t="s">
        <v>251</v>
      </c>
      <c r="FX16" s="1"/>
      <c r="FY16" s="56" t="s">
        <v>251</v>
      </c>
      <c r="FZ16" s="1"/>
      <c r="GA16" s="1"/>
      <c r="GB16" s="2">
        <v>8</v>
      </c>
      <c r="GC16" s="55">
        <v>90.476190476190482</v>
      </c>
      <c r="GD16" s="1"/>
      <c r="GE16" s="1"/>
      <c r="GF16" s="1"/>
      <c r="GG16" s="1"/>
      <c r="GH16" s="1"/>
      <c r="GI16" s="1"/>
      <c r="GJ16" s="55" t="s">
        <v>251</v>
      </c>
      <c r="GK16" s="1"/>
      <c r="GL16" s="56" t="s">
        <v>251</v>
      </c>
      <c r="GM16" s="1"/>
      <c r="GN16" s="1"/>
      <c r="GO16" s="2">
        <v>3</v>
      </c>
      <c r="GP16" s="55">
        <v>96.428571428571431</v>
      </c>
      <c r="GQ16" s="55" t="s">
        <v>251</v>
      </c>
      <c r="GR16" s="55" t="s">
        <v>251</v>
      </c>
      <c r="GS16" s="56" t="s">
        <v>251</v>
      </c>
      <c r="GT16" s="57" t="s">
        <v>251</v>
      </c>
      <c r="GU16" s="55" t="s">
        <v>251</v>
      </c>
      <c r="GV16" s="1"/>
      <c r="GW16" s="58">
        <v>11</v>
      </c>
      <c r="GX16" s="59">
        <v>93.452380952380949</v>
      </c>
      <c r="GY16" s="4">
        <v>1199044</v>
      </c>
      <c r="GZ16" s="39">
        <v>114</v>
      </c>
      <c r="HA16" s="39">
        <v>33</v>
      </c>
      <c r="HB16" s="1"/>
      <c r="HC16" s="1"/>
      <c r="HD16" s="1"/>
      <c r="HE16" s="1"/>
      <c r="HF16" s="1"/>
      <c r="HG16" s="1"/>
      <c r="HH16" s="1"/>
      <c r="HI16" s="55" t="s">
        <v>251</v>
      </c>
      <c r="HJ16" s="1"/>
      <c r="HK16" s="56" t="s">
        <v>251</v>
      </c>
      <c r="HL16" s="1"/>
      <c r="HM16" s="1"/>
      <c r="HN16" s="2">
        <v>0</v>
      </c>
      <c r="HO16" s="55">
        <v>100</v>
      </c>
      <c r="HP16" s="1"/>
      <c r="HQ16" s="1"/>
      <c r="HR16" s="1"/>
      <c r="HS16" s="1"/>
      <c r="HT16" s="1"/>
      <c r="HU16" s="1"/>
      <c r="HV16" s="55" t="s">
        <v>251</v>
      </c>
      <c r="HW16" s="1"/>
      <c r="HX16" s="56" t="s">
        <v>251</v>
      </c>
      <c r="HY16" s="1"/>
      <c r="HZ16" s="1"/>
      <c r="IA16" s="2">
        <v>0</v>
      </c>
      <c r="IB16" s="55">
        <v>100</v>
      </c>
      <c r="IC16" s="55" t="s">
        <v>251</v>
      </c>
      <c r="ID16" s="55" t="s">
        <v>251</v>
      </c>
      <c r="IE16" s="56" t="s">
        <v>251</v>
      </c>
      <c r="IF16" s="57" t="s">
        <v>251</v>
      </c>
      <c r="IG16" s="55" t="s">
        <v>251</v>
      </c>
      <c r="IH16" s="1"/>
      <c r="II16" s="58">
        <v>0</v>
      </c>
      <c r="IJ16" s="59">
        <v>100</v>
      </c>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1072743</v>
      </c>
      <c r="PT16" s="39">
        <v>128</v>
      </c>
      <c r="PU16" s="39">
        <v>33</v>
      </c>
      <c r="PV16" s="1"/>
      <c r="PW16" s="1"/>
      <c r="PX16" s="1"/>
      <c r="PY16" s="1"/>
      <c r="PZ16" s="1"/>
      <c r="QA16" s="1"/>
      <c r="QB16" s="1"/>
      <c r="QC16" s="55" t="s">
        <v>251</v>
      </c>
      <c r="QD16" s="1"/>
      <c r="QE16" s="56" t="s">
        <v>251</v>
      </c>
      <c r="QF16" s="1"/>
      <c r="QG16" s="1"/>
      <c r="QH16" s="2">
        <v>1</v>
      </c>
      <c r="QI16" s="55">
        <v>93.939393939393938</v>
      </c>
      <c r="QJ16" s="1"/>
      <c r="QK16" s="1"/>
      <c r="QL16" s="1"/>
      <c r="QM16" s="1"/>
      <c r="QN16" s="1"/>
      <c r="QO16" s="1"/>
      <c r="QP16" s="55" t="s">
        <v>251</v>
      </c>
      <c r="QQ16" s="1"/>
      <c r="QR16" s="56" t="s">
        <v>251</v>
      </c>
      <c r="QS16" s="1"/>
      <c r="QT16" s="1"/>
      <c r="QU16" s="2">
        <v>1</v>
      </c>
      <c r="QV16" s="55">
        <v>93.939393939393938</v>
      </c>
      <c r="QW16" s="55" t="s">
        <v>251</v>
      </c>
      <c r="QX16" s="55" t="s">
        <v>251</v>
      </c>
      <c r="QY16" s="56" t="s">
        <v>251</v>
      </c>
      <c r="QZ16" s="57" t="s">
        <v>251</v>
      </c>
      <c r="RA16" s="55" t="s">
        <v>251</v>
      </c>
      <c r="RB16" s="1"/>
      <c r="RC16" s="58">
        <v>2</v>
      </c>
      <c r="RD16" s="59">
        <v>93.939393939393938</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1072743</v>
      </c>
      <c r="UD16" s="39">
        <v>131</v>
      </c>
      <c r="UE16" s="39">
        <v>69</v>
      </c>
      <c r="UF16" s="1"/>
      <c r="UG16" s="1"/>
      <c r="UH16" s="1"/>
      <c r="UI16" s="1"/>
      <c r="UJ16" s="1"/>
      <c r="UK16" s="1"/>
      <c r="UL16" s="1"/>
      <c r="UM16" s="55" t="s">
        <v>251</v>
      </c>
      <c r="UN16" s="1"/>
      <c r="UO16" s="56" t="s">
        <v>251</v>
      </c>
      <c r="UP16" s="1"/>
      <c r="UQ16" s="1"/>
      <c r="UR16" s="2">
        <v>1</v>
      </c>
      <c r="US16" s="55">
        <v>97.101449275362313</v>
      </c>
      <c r="UT16" s="1"/>
      <c r="UU16" s="1"/>
      <c r="UV16" s="1"/>
      <c r="UW16" s="1"/>
      <c r="UX16" s="1"/>
      <c r="UY16" s="1"/>
      <c r="UZ16" s="55" t="s">
        <v>251</v>
      </c>
      <c r="VA16" s="1"/>
      <c r="VB16" s="56" t="s">
        <v>251</v>
      </c>
      <c r="VC16" s="1"/>
      <c r="VD16" s="1">
        <v>1</v>
      </c>
      <c r="VE16" s="2"/>
      <c r="VF16" s="55" t="s">
        <v>251</v>
      </c>
      <c r="VG16" s="55" t="s">
        <v>251</v>
      </c>
      <c r="VH16" s="55" t="s">
        <v>251</v>
      </c>
      <c r="VI16" s="56" t="s">
        <v>251</v>
      </c>
      <c r="VJ16" s="57" t="s">
        <v>251</v>
      </c>
      <c r="VK16" s="55">
        <v>1</v>
      </c>
      <c r="VL16" s="1"/>
      <c r="VM16" s="58">
        <v>1</v>
      </c>
      <c r="VN16" s="59">
        <v>98.550724637681157</v>
      </c>
      <c r="VO16" s="4">
        <v>1072743</v>
      </c>
      <c r="VP16" s="39">
        <v>132</v>
      </c>
      <c r="VQ16" s="39">
        <v>34</v>
      </c>
      <c r="VR16" s="1"/>
      <c r="VS16" s="1"/>
      <c r="VT16" s="1"/>
      <c r="VU16" s="1"/>
      <c r="VV16" s="1"/>
      <c r="VW16" s="1"/>
      <c r="VX16" s="1"/>
      <c r="VY16" s="55" t="s">
        <v>251</v>
      </c>
      <c r="VZ16" s="1"/>
      <c r="WA16" s="56" t="s">
        <v>251</v>
      </c>
      <c r="WB16" s="1"/>
      <c r="WC16" s="1"/>
      <c r="WD16" s="2">
        <v>1</v>
      </c>
      <c r="WE16" s="55">
        <v>94.117647058823536</v>
      </c>
      <c r="WF16" s="1"/>
      <c r="WG16" s="1"/>
      <c r="WH16" s="1"/>
      <c r="WI16" s="1"/>
      <c r="WJ16" s="1"/>
      <c r="WK16" s="1"/>
      <c r="WL16" s="55" t="s">
        <v>251</v>
      </c>
      <c r="WM16" s="1"/>
      <c r="WN16" s="56" t="s">
        <v>251</v>
      </c>
      <c r="WO16" s="1"/>
      <c r="WP16" s="1"/>
      <c r="WQ16" s="2">
        <v>0</v>
      </c>
      <c r="WR16" s="55">
        <v>100</v>
      </c>
      <c r="WS16" s="55" t="s">
        <v>251</v>
      </c>
      <c r="WT16" s="55" t="s">
        <v>251</v>
      </c>
      <c r="WU16" s="56" t="s">
        <v>251</v>
      </c>
      <c r="WV16" s="57" t="s">
        <v>251</v>
      </c>
      <c r="WW16" s="55" t="s">
        <v>251</v>
      </c>
      <c r="WX16" s="1"/>
      <c r="WY16" s="58">
        <v>1</v>
      </c>
      <c r="WZ16" s="59">
        <v>97.058823529411768</v>
      </c>
      <c r="XA16" s="4">
        <v>1072748</v>
      </c>
      <c r="XB16" s="39">
        <v>133</v>
      </c>
      <c r="XC16" s="39">
        <v>34</v>
      </c>
      <c r="XD16" s="1"/>
      <c r="XE16" s="1"/>
      <c r="XF16" s="1"/>
      <c r="XG16" s="1"/>
      <c r="XH16" s="1"/>
      <c r="XI16" s="1"/>
      <c r="XJ16" s="1"/>
      <c r="XK16" s="55" t="s">
        <v>251</v>
      </c>
      <c r="XL16" s="1"/>
      <c r="XM16" s="56" t="s">
        <v>251</v>
      </c>
      <c r="XN16" s="1"/>
      <c r="XO16" s="1"/>
      <c r="XP16" s="2">
        <v>0</v>
      </c>
      <c r="XQ16" s="55">
        <v>100</v>
      </c>
      <c r="XR16" s="1"/>
      <c r="XS16" s="1"/>
      <c r="XT16" s="1"/>
      <c r="XU16" s="1"/>
      <c r="XV16" s="1"/>
      <c r="XW16" s="1"/>
      <c r="XX16" s="55" t="s">
        <v>251</v>
      </c>
      <c r="XY16" s="1"/>
      <c r="XZ16" s="56" t="s">
        <v>251</v>
      </c>
      <c r="YA16" s="1"/>
      <c r="YB16" s="1"/>
      <c r="YC16" s="2">
        <v>0</v>
      </c>
      <c r="YD16" s="55">
        <v>100</v>
      </c>
      <c r="YE16" s="55" t="s">
        <v>251</v>
      </c>
      <c r="YF16" s="55" t="s">
        <v>251</v>
      </c>
      <c r="YG16" s="56" t="s">
        <v>251</v>
      </c>
      <c r="YH16" s="57" t="s">
        <v>251</v>
      </c>
      <c r="YI16" s="55" t="s">
        <v>251</v>
      </c>
      <c r="YJ16" s="1"/>
      <c r="YK16" s="58">
        <v>0</v>
      </c>
      <c r="YL16" s="59">
        <v>100</v>
      </c>
      <c r="YM16" s="4">
        <v>1072743</v>
      </c>
      <c r="YN16" s="39">
        <v>135</v>
      </c>
      <c r="YO16" s="39">
        <v>33</v>
      </c>
      <c r="YP16" s="1"/>
      <c r="YQ16" s="1"/>
      <c r="YR16" s="1"/>
      <c r="YS16" s="1"/>
      <c r="YT16" s="1"/>
      <c r="YU16" s="1"/>
      <c r="YV16" s="1"/>
      <c r="YW16" s="55" t="s">
        <v>251</v>
      </c>
      <c r="YX16" s="1"/>
      <c r="YY16" s="56" t="s">
        <v>251</v>
      </c>
      <c r="YZ16" s="1"/>
      <c r="ZA16" s="1"/>
      <c r="ZB16" s="2">
        <v>1</v>
      </c>
      <c r="ZC16" s="55">
        <v>93.939393939393938</v>
      </c>
      <c r="ZD16" s="1"/>
      <c r="ZE16" s="1"/>
      <c r="ZF16" s="1"/>
      <c r="ZG16" s="1"/>
      <c r="ZH16" s="1"/>
      <c r="ZI16" s="1"/>
      <c r="ZJ16" s="55" t="s">
        <v>251</v>
      </c>
      <c r="ZK16" s="1"/>
      <c r="ZL16" s="56" t="s">
        <v>251</v>
      </c>
      <c r="ZM16" s="1"/>
      <c r="ZN16" s="1"/>
      <c r="ZO16" s="2">
        <v>0</v>
      </c>
      <c r="ZP16" s="55">
        <v>100</v>
      </c>
      <c r="ZQ16" s="55" t="s">
        <v>251</v>
      </c>
      <c r="ZR16" s="55" t="s">
        <v>251</v>
      </c>
      <c r="ZS16" s="56" t="s">
        <v>251</v>
      </c>
      <c r="ZT16" s="57" t="s">
        <v>251</v>
      </c>
      <c r="ZU16" s="55" t="s">
        <v>251</v>
      </c>
      <c r="ZV16" s="1"/>
      <c r="ZW16" s="58">
        <v>1</v>
      </c>
      <c r="ZX16" s="59">
        <v>96.969696969696969</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3984366</v>
      </c>
      <c r="F17" s="89">
        <f t="shared" si="401"/>
        <v>1</v>
      </c>
      <c r="G17" s="89" t="str">
        <f t="shared" si="402"/>
        <v>B</v>
      </c>
      <c r="H17" s="36" t="s">
        <v>167</v>
      </c>
      <c r="I17" s="37" t="s">
        <v>168</v>
      </c>
      <c r="J17" s="41" t="s">
        <v>169</v>
      </c>
      <c r="K17" s="90" t="str">
        <f t="shared" si="403"/>
        <v>A</v>
      </c>
      <c r="L17" s="41" t="s">
        <v>119</v>
      </c>
      <c r="M17" s="93">
        <v>42430</v>
      </c>
      <c r="N17" s="41"/>
      <c r="O17" s="43" t="s">
        <v>232</v>
      </c>
      <c r="P17" s="91" t="str">
        <f t="shared" si="404"/>
        <v>Məmmədova Ramilə Xasay</v>
      </c>
      <c r="Q17" s="4">
        <v>1072743</v>
      </c>
      <c r="R17" s="39">
        <v>101</v>
      </c>
      <c r="S17" s="39">
        <v>270</v>
      </c>
      <c r="T17" s="1"/>
      <c r="U17" s="1"/>
      <c r="V17" s="1"/>
      <c r="W17" s="1"/>
      <c r="X17" s="1"/>
      <c r="Y17" s="1"/>
      <c r="Z17" s="1"/>
      <c r="AA17" s="55" t="s">
        <v>251</v>
      </c>
      <c r="AB17" s="1"/>
      <c r="AC17" s="56" t="s">
        <v>251</v>
      </c>
      <c r="AD17" s="1"/>
      <c r="AE17" s="1"/>
      <c r="AF17" s="2">
        <v>14</v>
      </c>
      <c r="AG17" s="55">
        <v>89.629629629629633</v>
      </c>
      <c r="AH17" s="1"/>
      <c r="AI17" s="1"/>
      <c r="AJ17" s="1"/>
      <c r="AK17" s="1"/>
      <c r="AL17" s="1"/>
      <c r="AM17" s="1"/>
      <c r="AN17" s="55" t="s">
        <v>251</v>
      </c>
      <c r="AO17" s="1"/>
      <c r="AP17" s="56" t="s">
        <v>251</v>
      </c>
      <c r="AQ17" s="1"/>
      <c r="AR17" s="1"/>
      <c r="AS17" s="2">
        <v>0</v>
      </c>
      <c r="AT17" s="55">
        <v>100</v>
      </c>
      <c r="AU17" s="55" t="s">
        <v>251</v>
      </c>
      <c r="AV17" s="55" t="s">
        <v>251</v>
      </c>
      <c r="AW17" s="56" t="s">
        <v>251</v>
      </c>
      <c r="AX17" s="57" t="s">
        <v>251</v>
      </c>
      <c r="AY17" s="55" t="s">
        <v>251</v>
      </c>
      <c r="AZ17" s="1"/>
      <c r="BA17" s="58">
        <v>14</v>
      </c>
      <c r="BB17" s="59">
        <v>94.81481481481481</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1269215</v>
      </c>
      <c r="EB17" s="39">
        <v>106</v>
      </c>
      <c r="EC17" s="39">
        <v>33</v>
      </c>
      <c r="ED17" s="1"/>
      <c r="EE17" s="1"/>
      <c r="EF17" s="1"/>
      <c r="EG17" s="1"/>
      <c r="EH17" s="1"/>
      <c r="EI17" s="1"/>
      <c r="EJ17" s="1"/>
      <c r="EK17" s="55" t="s">
        <v>251</v>
      </c>
      <c r="EL17" s="1"/>
      <c r="EM17" s="56" t="s">
        <v>251</v>
      </c>
      <c r="EN17" s="1"/>
      <c r="EO17" s="1"/>
      <c r="EP17" s="2">
        <v>0</v>
      </c>
      <c r="EQ17" s="55">
        <v>100</v>
      </c>
      <c r="ER17" s="1"/>
      <c r="ES17" s="1"/>
      <c r="ET17" s="1"/>
      <c r="EU17" s="1"/>
      <c r="EV17" s="1"/>
      <c r="EW17" s="1"/>
      <c r="EX17" s="55" t="s">
        <v>251</v>
      </c>
      <c r="EY17" s="1"/>
      <c r="EZ17" s="56" t="s">
        <v>251</v>
      </c>
      <c r="FA17" s="1"/>
      <c r="FB17" s="1"/>
      <c r="FC17" s="2">
        <v>0</v>
      </c>
      <c r="FD17" s="55">
        <v>100</v>
      </c>
      <c r="FE17" s="55" t="s">
        <v>251</v>
      </c>
      <c r="FF17" s="55" t="s">
        <v>251</v>
      </c>
      <c r="FG17" s="56" t="s">
        <v>251</v>
      </c>
      <c r="FH17" s="57" t="s">
        <v>251</v>
      </c>
      <c r="FI17" s="55" t="s">
        <v>251</v>
      </c>
      <c r="FJ17" s="1"/>
      <c r="FK17" s="58">
        <v>0</v>
      </c>
      <c r="FL17" s="59">
        <v>100</v>
      </c>
      <c r="FM17" s="4">
        <v>1072743</v>
      </c>
      <c r="FN17" s="39">
        <v>110</v>
      </c>
      <c r="FO17" s="39">
        <v>168</v>
      </c>
      <c r="FP17" s="1"/>
      <c r="FQ17" s="1"/>
      <c r="FR17" s="1"/>
      <c r="FS17" s="1"/>
      <c r="FT17" s="1"/>
      <c r="FU17" s="1"/>
      <c r="FV17" s="1"/>
      <c r="FW17" s="55" t="s">
        <v>251</v>
      </c>
      <c r="FX17" s="1"/>
      <c r="FY17" s="56" t="s">
        <v>251</v>
      </c>
      <c r="FZ17" s="1"/>
      <c r="GA17" s="1"/>
      <c r="GB17" s="2">
        <v>7</v>
      </c>
      <c r="GC17" s="55">
        <v>91.666666666666671</v>
      </c>
      <c r="GD17" s="1"/>
      <c r="GE17" s="1"/>
      <c r="GF17" s="1"/>
      <c r="GG17" s="1"/>
      <c r="GH17" s="1"/>
      <c r="GI17" s="1"/>
      <c r="GJ17" s="55" t="s">
        <v>251</v>
      </c>
      <c r="GK17" s="1"/>
      <c r="GL17" s="56" t="s">
        <v>251</v>
      </c>
      <c r="GM17" s="1"/>
      <c r="GN17" s="1"/>
      <c r="GO17" s="2">
        <v>0</v>
      </c>
      <c r="GP17" s="55">
        <v>100</v>
      </c>
      <c r="GQ17" s="55" t="s">
        <v>251</v>
      </c>
      <c r="GR17" s="55" t="s">
        <v>251</v>
      </c>
      <c r="GS17" s="56" t="s">
        <v>251</v>
      </c>
      <c r="GT17" s="57" t="s">
        <v>251</v>
      </c>
      <c r="GU17" s="55" t="s">
        <v>251</v>
      </c>
      <c r="GV17" s="1"/>
      <c r="GW17" s="58">
        <v>7</v>
      </c>
      <c r="GX17" s="59">
        <v>95.833333333333329</v>
      </c>
      <c r="GY17" s="4">
        <v>1199044</v>
      </c>
      <c r="GZ17" s="39">
        <v>114</v>
      </c>
      <c r="HA17" s="39">
        <v>33</v>
      </c>
      <c r="HB17" s="1"/>
      <c r="HC17" s="1"/>
      <c r="HD17" s="1"/>
      <c r="HE17" s="1"/>
      <c r="HF17" s="1"/>
      <c r="HG17" s="1"/>
      <c r="HH17" s="1"/>
      <c r="HI17" s="55" t="s">
        <v>251</v>
      </c>
      <c r="HJ17" s="1"/>
      <c r="HK17" s="56" t="s">
        <v>251</v>
      </c>
      <c r="HL17" s="1"/>
      <c r="HM17" s="1"/>
      <c r="HN17" s="2">
        <v>0</v>
      </c>
      <c r="HO17" s="55">
        <v>100</v>
      </c>
      <c r="HP17" s="1"/>
      <c r="HQ17" s="1"/>
      <c r="HR17" s="1"/>
      <c r="HS17" s="1"/>
      <c r="HT17" s="1"/>
      <c r="HU17" s="1"/>
      <c r="HV17" s="55" t="s">
        <v>251</v>
      </c>
      <c r="HW17" s="1"/>
      <c r="HX17" s="56" t="s">
        <v>251</v>
      </c>
      <c r="HY17" s="1"/>
      <c r="HZ17" s="1"/>
      <c r="IA17" s="2">
        <v>0</v>
      </c>
      <c r="IB17" s="55">
        <v>100</v>
      </c>
      <c r="IC17" s="55" t="s">
        <v>251</v>
      </c>
      <c r="ID17" s="55" t="s">
        <v>251</v>
      </c>
      <c r="IE17" s="56" t="s">
        <v>251</v>
      </c>
      <c r="IF17" s="57" t="s">
        <v>251</v>
      </c>
      <c r="IG17" s="55" t="s">
        <v>251</v>
      </c>
      <c r="IH17" s="1"/>
      <c r="II17" s="58">
        <v>0</v>
      </c>
      <c r="IJ17" s="59">
        <v>100</v>
      </c>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1072743</v>
      </c>
      <c r="PT17" s="39">
        <v>128</v>
      </c>
      <c r="PU17" s="39">
        <v>33</v>
      </c>
      <c r="PV17" s="1"/>
      <c r="PW17" s="1"/>
      <c r="PX17" s="1"/>
      <c r="PY17" s="1"/>
      <c r="PZ17" s="1"/>
      <c r="QA17" s="1"/>
      <c r="QB17" s="1"/>
      <c r="QC17" s="55" t="s">
        <v>251</v>
      </c>
      <c r="QD17" s="1"/>
      <c r="QE17" s="56" t="s">
        <v>251</v>
      </c>
      <c r="QF17" s="1"/>
      <c r="QG17" s="1"/>
      <c r="QH17" s="2">
        <v>1</v>
      </c>
      <c r="QI17" s="55">
        <v>93.939393939393938</v>
      </c>
      <c r="QJ17" s="1"/>
      <c r="QK17" s="1"/>
      <c r="QL17" s="1"/>
      <c r="QM17" s="1"/>
      <c r="QN17" s="1"/>
      <c r="QO17" s="1"/>
      <c r="QP17" s="55" t="s">
        <v>251</v>
      </c>
      <c r="QQ17" s="1"/>
      <c r="QR17" s="56" t="s">
        <v>251</v>
      </c>
      <c r="QS17" s="1"/>
      <c r="QT17" s="1"/>
      <c r="QU17" s="2">
        <v>0</v>
      </c>
      <c r="QV17" s="55">
        <v>100</v>
      </c>
      <c r="QW17" s="55" t="s">
        <v>251</v>
      </c>
      <c r="QX17" s="55" t="s">
        <v>251</v>
      </c>
      <c r="QY17" s="56" t="s">
        <v>251</v>
      </c>
      <c r="QZ17" s="57" t="s">
        <v>251</v>
      </c>
      <c r="RA17" s="55" t="s">
        <v>251</v>
      </c>
      <c r="RB17" s="1"/>
      <c r="RC17" s="58">
        <v>1</v>
      </c>
      <c r="RD17" s="59">
        <v>96.969696969696969</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1072743</v>
      </c>
      <c r="UD17" s="39">
        <v>131</v>
      </c>
      <c r="UE17" s="39">
        <v>69</v>
      </c>
      <c r="UF17" s="1"/>
      <c r="UG17" s="1"/>
      <c r="UH17" s="1"/>
      <c r="UI17" s="1"/>
      <c r="UJ17" s="1"/>
      <c r="UK17" s="1"/>
      <c r="UL17" s="1"/>
      <c r="UM17" s="55" t="s">
        <v>251</v>
      </c>
      <c r="UN17" s="1"/>
      <c r="UO17" s="56" t="s">
        <v>251</v>
      </c>
      <c r="UP17" s="1"/>
      <c r="UQ17" s="1"/>
      <c r="UR17" s="2">
        <v>3</v>
      </c>
      <c r="US17" s="55">
        <v>91.304347826086953</v>
      </c>
      <c r="UT17" s="1"/>
      <c r="UU17" s="1"/>
      <c r="UV17" s="1"/>
      <c r="UW17" s="1"/>
      <c r="UX17" s="1"/>
      <c r="UY17" s="1"/>
      <c r="UZ17" s="55" t="s">
        <v>251</v>
      </c>
      <c r="VA17" s="1"/>
      <c r="VB17" s="56" t="s">
        <v>251</v>
      </c>
      <c r="VC17" s="1"/>
      <c r="VD17" s="1">
        <v>0</v>
      </c>
      <c r="VE17" s="2"/>
      <c r="VF17" s="55" t="s">
        <v>251</v>
      </c>
      <c r="VG17" s="55" t="s">
        <v>251</v>
      </c>
      <c r="VH17" s="55" t="s">
        <v>251</v>
      </c>
      <c r="VI17" s="56" t="s">
        <v>251</v>
      </c>
      <c r="VJ17" s="57" t="s">
        <v>251</v>
      </c>
      <c r="VK17" s="55">
        <v>0</v>
      </c>
      <c r="VL17" s="1"/>
      <c r="VM17" s="58">
        <v>3</v>
      </c>
      <c r="VN17" s="59">
        <v>95.652173913043484</v>
      </c>
      <c r="VO17" s="4">
        <v>1072743</v>
      </c>
      <c r="VP17" s="39">
        <v>132</v>
      </c>
      <c r="VQ17" s="39">
        <v>34</v>
      </c>
      <c r="VR17" s="1"/>
      <c r="VS17" s="1"/>
      <c r="VT17" s="1"/>
      <c r="VU17" s="1"/>
      <c r="VV17" s="1"/>
      <c r="VW17" s="1"/>
      <c r="VX17" s="1"/>
      <c r="VY17" s="55" t="s">
        <v>251</v>
      </c>
      <c r="VZ17" s="1"/>
      <c r="WA17" s="56" t="s">
        <v>251</v>
      </c>
      <c r="WB17" s="1"/>
      <c r="WC17" s="1"/>
      <c r="WD17" s="2">
        <v>1</v>
      </c>
      <c r="WE17" s="55">
        <v>94.117647058823536</v>
      </c>
      <c r="WF17" s="1"/>
      <c r="WG17" s="1"/>
      <c r="WH17" s="1"/>
      <c r="WI17" s="1"/>
      <c r="WJ17" s="1"/>
      <c r="WK17" s="1"/>
      <c r="WL17" s="55" t="s">
        <v>251</v>
      </c>
      <c r="WM17" s="1"/>
      <c r="WN17" s="56" t="s">
        <v>251</v>
      </c>
      <c r="WO17" s="1"/>
      <c r="WP17" s="1"/>
      <c r="WQ17" s="2">
        <v>0</v>
      </c>
      <c r="WR17" s="55">
        <v>100</v>
      </c>
      <c r="WS17" s="55" t="s">
        <v>251</v>
      </c>
      <c r="WT17" s="55" t="s">
        <v>251</v>
      </c>
      <c r="WU17" s="56" t="s">
        <v>251</v>
      </c>
      <c r="WV17" s="57" t="s">
        <v>251</v>
      </c>
      <c r="WW17" s="55" t="s">
        <v>251</v>
      </c>
      <c r="WX17" s="1"/>
      <c r="WY17" s="58">
        <v>1</v>
      </c>
      <c r="WZ17" s="59">
        <v>97.058823529411768</v>
      </c>
      <c r="XA17" s="4">
        <v>1072748</v>
      </c>
      <c r="XB17" s="39">
        <v>133</v>
      </c>
      <c r="XC17" s="39">
        <v>34</v>
      </c>
      <c r="XD17" s="1"/>
      <c r="XE17" s="1"/>
      <c r="XF17" s="1"/>
      <c r="XG17" s="1"/>
      <c r="XH17" s="1"/>
      <c r="XI17" s="1"/>
      <c r="XJ17" s="1"/>
      <c r="XK17" s="55" t="s">
        <v>251</v>
      </c>
      <c r="XL17" s="1"/>
      <c r="XM17" s="56" t="s">
        <v>251</v>
      </c>
      <c r="XN17" s="1"/>
      <c r="XO17" s="1"/>
      <c r="XP17" s="2">
        <v>3</v>
      </c>
      <c r="XQ17" s="55">
        <v>82.352941176470594</v>
      </c>
      <c r="XR17" s="1"/>
      <c r="XS17" s="1"/>
      <c r="XT17" s="1"/>
      <c r="XU17" s="1"/>
      <c r="XV17" s="1"/>
      <c r="XW17" s="1"/>
      <c r="XX17" s="55" t="s">
        <v>251</v>
      </c>
      <c r="XY17" s="1"/>
      <c r="XZ17" s="56" t="s">
        <v>251</v>
      </c>
      <c r="YA17" s="1"/>
      <c r="YB17" s="1"/>
      <c r="YC17" s="2">
        <v>0</v>
      </c>
      <c r="YD17" s="55">
        <v>100</v>
      </c>
      <c r="YE17" s="55" t="s">
        <v>251</v>
      </c>
      <c r="YF17" s="55" t="s">
        <v>251</v>
      </c>
      <c r="YG17" s="56" t="s">
        <v>251</v>
      </c>
      <c r="YH17" s="57" t="s">
        <v>251</v>
      </c>
      <c r="YI17" s="55" t="s">
        <v>251</v>
      </c>
      <c r="YJ17" s="1"/>
      <c r="YK17" s="58">
        <v>3</v>
      </c>
      <c r="YL17" s="59">
        <v>91.17647058823529</v>
      </c>
      <c r="YM17" s="4">
        <v>1072743</v>
      </c>
      <c r="YN17" s="39">
        <v>135</v>
      </c>
      <c r="YO17" s="39">
        <v>33</v>
      </c>
      <c r="YP17" s="1"/>
      <c r="YQ17" s="1"/>
      <c r="YR17" s="1"/>
      <c r="YS17" s="1"/>
      <c r="YT17" s="1"/>
      <c r="YU17" s="1"/>
      <c r="YV17" s="1"/>
      <c r="YW17" s="55" t="s">
        <v>251</v>
      </c>
      <c r="YX17" s="1"/>
      <c r="YY17" s="56" t="s">
        <v>251</v>
      </c>
      <c r="YZ17" s="1"/>
      <c r="ZA17" s="1"/>
      <c r="ZB17" s="2">
        <v>4</v>
      </c>
      <c r="ZC17" s="55">
        <v>75.757575757575751</v>
      </c>
      <c r="ZD17" s="1"/>
      <c r="ZE17" s="1"/>
      <c r="ZF17" s="1"/>
      <c r="ZG17" s="1"/>
      <c r="ZH17" s="1"/>
      <c r="ZI17" s="1"/>
      <c r="ZJ17" s="55" t="s">
        <v>251</v>
      </c>
      <c r="ZK17" s="1"/>
      <c r="ZL17" s="56" t="s">
        <v>251</v>
      </c>
      <c r="ZM17" s="1"/>
      <c r="ZN17" s="1"/>
      <c r="ZO17" s="2">
        <v>0</v>
      </c>
      <c r="ZP17" s="55">
        <v>100</v>
      </c>
      <c r="ZQ17" s="55" t="s">
        <v>251</v>
      </c>
      <c r="ZR17" s="55" t="s">
        <v>251</v>
      </c>
      <c r="ZS17" s="56" t="s">
        <v>251</v>
      </c>
      <c r="ZT17" s="57" t="s">
        <v>251</v>
      </c>
      <c r="ZU17" s="55" t="s">
        <v>251</v>
      </c>
      <c r="ZV17" s="1"/>
      <c r="ZW17" s="58">
        <v>4</v>
      </c>
      <c r="ZX17" s="59">
        <v>87.878787878787875</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4001271</v>
      </c>
      <c r="F18" s="89">
        <f t="shared" si="401"/>
        <v>1</v>
      </c>
      <c r="G18" s="89" t="str">
        <f t="shared" si="402"/>
        <v>B</v>
      </c>
      <c r="H18" s="36" t="s">
        <v>170</v>
      </c>
      <c r="I18" s="37" t="s">
        <v>171</v>
      </c>
      <c r="J18" s="41" t="s">
        <v>172</v>
      </c>
      <c r="K18" s="90" t="str">
        <f t="shared" si="403"/>
        <v>A</v>
      </c>
      <c r="L18" s="41" t="s">
        <v>117</v>
      </c>
      <c r="M18" s="93">
        <v>42396</v>
      </c>
      <c r="N18" s="41"/>
      <c r="O18" s="43" t="s">
        <v>233</v>
      </c>
      <c r="P18" s="91" t="str">
        <f t="shared" si="404"/>
        <v>Məmmədova Ramilə Xasay</v>
      </c>
      <c r="Q18" s="4">
        <v>1072743</v>
      </c>
      <c r="R18" s="39">
        <v>101</v>
      </c>
      <c r="S18" s="39">
        <v>270</v>
      </c>
      <c r="T18" s="1"/>
      <c r="U18" s="1"/>
      <c r="V18" s="1"/>
      <c r="W18" s="1"/>
      <c r="X18" s="1"/>
      <c r="Y18" s="1"/>
      <c r="Z18" s="1"/>
      <c r="AA18" s="55" t="s">
        <v>251</v>
      </c>
      <c r="AB18" s="1"/>
      <c r="AC18" s="56" t="s">
        <v>251</v>
      </c>
      <c r="AD18" s="1"/>
      <c r="AE18" s="1"/>
      <c r="AF18" s="2">
        <v>22</v>
      </c>
      <c r="AG18" s="55">
        <v>83.703703703703709</v>
      </c>
      <c r="AH18" s="1"/>
      <c r="AI18" s="1"/>
      <c r="AJ18" s="1"/>
      <c r="AK18" s="1"/>
      <c r="AL18" s="1"/>
      <c r="AM18" s="1"/>
      <c r="AN18" s="55" t="s">
        <v>251</v>
      </c>
      <c r="AO18" s="1"/>
      <c r="AP18" s="56" t="s">
        <v>251</v>
      </c>
      <c r="AQ18" s="1"/>
      <c r="AR18" s="1"/>
      <c r="AS18" s="2">
        <v>28</v>
      </c>
      <c r="AT18" s="55">
        <v>79.259259259259252</v>
      </c>
      <c r="AU18" s="55" t="s">
        <v>251</v>
      </c>
      <c r="AV18" s="55" t="s">
        <v>251</v>
      </c>
      <c r="AW18" s="56" t="s">
        <v>251</v>
      </c>
      <c r="AX18" s="57" t="s">
        <v>251</v>
      </c>
      <c r="AY18" s="55" t="s">
        <v>251</v>
      </c>
      <c r="AZ18" s="1"/>
      <c r="BA18" s="58">
        <v>50</v>
      </c>
      <c r="BB18" s="59">
        <v>81.481481481481481</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1269215</v>
      </c>
      <c r="EB18" s="39">
        <v>106</v>
      </c>
      <c r="EC18" s="39">
        <v>33</v>
      </c>
      <c r="ED18" s="1"/>
      <c r="EE18" s="1"/>
      <c r="EF18" s="1"/>
      <c r="EG18" s="1"/>
      <c r="EH18" s="1"/>
      <c r="EI18" s="1"/>
      <c r="EJ18" s="1"/>
      <c r="EK18" s="55" t="s">
        <v>251</v>
      </c>
      <c r="EL18" s="1"/>
      <c r="EM18" s="56" t="s">
        <v>251</v>
      </c>
      <c r="EN18" s="1"/>
      <c r="EO18" s="1"/>
      <c r="EP18" s="2">
        <v>0</v>
      </c>
      <c r="EQ18" s="55">
        <v>100</v>
      </c>
      <c r="ER18" s="1"/>
      <c r="ES18" s="1"/>
      <c r="ET18" s="1"/>
      <c r="EU18" s="1"/>
      <c r="EV18" s="1"/>
      <c r="EW18" s="1"/>
      <c r="EX18" s="55" t="s">
        <v>251</v>
      </c>
      <c r="EY18" s="1"/>
      <c r="EZ18" s="56" t="s">
        <v>251</v>
      </c>
      <c r="FA18" s="1"/>
      <c r="FB18" s="1"/>
      <c r="FC18" s="2">
        <v>0</v>
      </c>
      <c r="FD18" s="55">
        <v>100</v>
      </c>
      <c r="FE18" s="55" t="s">
        <v>251</v>
      </c>
      <c r="FF18" s="55" t="s">
        <v>251</v>
      </c>
      <c r="FG18" s="56" t="s">
        <v>251</v>
      </c>
      <c r="FH18" s="57" t="s">
        <v>251</v>
      </c>
      <c r="FI18" s="55" t="s">
        <v>251</v>
      </c>
      <c r="FJ18" s="1"/>
      <c r="FK18" s="58">
        <v>0</v>
      </c>
      <c r="FL18" s="59">
        <v>100</v>
      </c>
      <c r="FM18" s="4">
        <v>1072743</v>
      </c>
      <c r="FN18" s="39">
        <v>110</v>
      </c>
      <c r="FO18" s="39">
        <v>168</v>
      </c>
      <c r="FP18" s="1"/>
      <c r="FQ18" s="1"/>
      <c r="FR18" s="1"/>
      <c r="FS18" s="1"/>
      <c r="FT18" s="1"/>
      <c r="FU18" s="1"/>
      <c r="FV18" s="1"/>
      <c r="FW18" s="55" t="s">
        <v>251</v>
      </c>
      <c r="FX18" s="1"/>
      <c r="FY18" s="56" t="s">
        <v>251</v>
      </c>
      <c r="FZ18" s="1"/>
      <c r="GA18" s="1"/>
      <c r="GB18" s="2">
        <v>14</v>
      </c>
      <c r="GC18" s="55">
        <v>83.333333333333329</v>
      </c>
      <c r="GD18" s="1"/>
      <c r="GE18" s="1"/>
      <c r="GF18" s="1"/>
      <c r="GG18" s="1"/>
      <c r="GH18" s="1"/>
      <c r="GI18" s="1"/>
      <c r="GJ18" s="55" t="s">
        <v>251</v>
      </c>
      <c r="GK18" s="1"/>
      <c r="GL18" s="56" t="s">
        <v>251</v>
      </c>
      <c r="GM18" s="1"/>
      <c r="GN18" s="1"/>
      <c r="GO18" s="2">
        <v>18</v>
      </c>
      <c r="GP18" s="55">
        <v>78.571428571428569</v>
      </c>
      <c r="GQ18" s="55" t="s">
        <v>251</v>
      </c>
      <c r="GR18" s="55" t="s">
        <v>251</v>
      </c>
      <c r="GS18" s="56" t="s">
        <v>251</v>
      </c>
      <c r="GT18" s="57" t="s">
        <v>251</v>
      </c>
      <c r="GU18" s="55" t="s">
        <v>251</v>
      </c>
      <c r="GV18" s="1"/>
      <c r="GW18" s="58">
        <v>32</v>
      </c>
      <c r="GX18" s="59">
        <v>80.952380952380949</v>
      </c>
      <c r="GY18" s="4">
        <v>1199044</v>
      </c>
      <c r="GZ18" s="39">
        <v>114</v>
      </c>
      <c r="HA18" s="39">
        <v>33</v>
      </c>
      <c r="HB18" s="1"/>
      <c r="HC18" s="1"/>
      <c r="HD18" s="1"/>
      <c r="HE18" s="1"/>
      <c r="HF18" s="1"/>
      <c r="HG18" s="1"/>
      <c r="HH18" s="1"/>
      <c r="HI18" s="55" t="s">
        <v>251</v>
      </c>
      <c r="HJ18" s="1"/>
      <c r="HK18" s="56" t="s">
        <v>251</v>
      </c>
      <c r="HL18" s="1"/>
      <c r="HM18" s="1"/>
      <c r="HN18" s="2">
        <v>0</v>
      </c>
      <c r="HO18" s="55">
        <v>100</v>
      </c>
      <c r="HP18" s="1"/>
      <c r="HQ18" s="1"/>
      <c r="HR18" s="1"/>
      <c r="HS18" s="1"/>
      <c r="HT18" s="1"/>
      <c r="HU18" s="1"/>
      <c r="HV18" s="55" t="s">
        <v>251</v>
      </c>
      <c r="HW18" s="1"/>
      <c r="HX18" s="56" t="s">
        <v>251</v>
      </c>
      <c r="HY18" s="1"/>
      <c r="HZ18" s="1"/>
      <c r="IA18" s="2">
        <v>0</v>
      </c>
      <c r="IB18" s="55">
        <v>100</v>
      </c>
      <c r="IC18" s="55" t="s">
        <v>251</v>
      </c>
      <c r="ID18" s="55" t="s">
        <v>251</v>
      </c>
      <c r="IE18" s="56" t="s">
        <v>251</v>
      </c>
      <c r="IF18" s="57" t="s">
        <v>251</v>
      </c>
      <c r="IG18" s="55" t="s">
        <v>251</v>
      </c>
      <c r="IH18" s="1"/>
      <c r="II18" s="58">
        <v>0</v>
      </c>
      <c r="IJ18" s="59">
        <v>100</v>
      </c>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1072743</v>
      </c>
      <c r="PT18" s="39">
        <v>128</v>
      </c>
      <c r="PU18" s="39">
        <v>33</v>
      </c>
      <c r="PV18" s="1"/>
      <c r="PW18" s="1"/>
      <c r="PX18" s="1"/>
      <c r="PY18" s="1"/>
      <c r="PZ18" s="1"/>
      <c r="QA18" s="1"/>
      <c r="QB18" s="1"/>
      <c r="QC18" s="55" t="s">
        <v>251</v>
      </c>
      <c r="QD18" s="1"/>
      <c r="QE18" s="56" t="s">
        <v>251</v>
      </c>
      <c r="QF18" s="1"/>
      <c r="QG18" s="1"/>
      <c r="QH18" s="2">
        <v>3</v>
      </c>
      <c r="QI18" s="55">
        <v>81.818181818181813</v>
      </c>
      <c r="QJ18" s="1"/>
      <c r="QK18" s="1"/>
      <c r="QL18" s="1"/>
      <c r="QM18" s="1"/>
      <c r="QN18" s="1"/>
      <c r="QO18" s="1"/>
      <c r="QP18" s="55" t="s">
        <v>251</v>
      </c>
      <c r="QQ18" s="1"/>
      <c r="QR18" s="56" t="s">
        <v>251</v>
      </c>
      <c r="QS18" s="1"/>
      <c r="QT18" s="1"/>
      <c r="QU18" s="2">
        <v>2</v>
      </c>
      <c r="QV18" s="55">
        <v>87.878787878787875</v>
      </c>
      <c r="QW18" s="55" t="s">
        <v>251</v>
      </c>
      <c r="QX18" s="55" t="s">
        <v>251</v>
      </c>
      <c r="QY18" s="56" t="s">
        <v>251</v>
      </c>
      <c r="QZ18" s="57" t="s">
        <v>251</v>
      </c>
      <c r="RA18" s="55" t="s">
        <v>251</v>
      </c>
      <c r="RB18" s="1"/>
      <c r="RC18" s="58">
        <v>5</v>
      </c>
      <c r="RD18" s="59">
        <v>84.848484848484844</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1072743</v>
      </c>
      <c r="UD18" s="39">
        <v>131</v>
      </c>
      <c r="UE18" s="39">
        <v>69</v>
      </c>
      <c r="UF18" s="1"/>
      <c r="UG18" s="1"/>
      <c r="UH18" s="1"/>
      <c r="UI18" s="1"/>
      <c r="UJ18" s="1"/>
      <c r="UK18" s="1"/>
      <c r="UL18" s="1"/>
      <c r="UM18" s="55" t="s">
        <v>251</v>
      </c>
      <c r="UN18" s="1"/>
      <c r="UO18" s="56" t="s">
        <v>251</v>
      </c>
      <c r="UP18" s="1"/>
      <c r="UQ18" s="1"/>
      <c r="UR18" s="2">
        <v>4</v>
      </c>
      <c r="US18" s="55">
        <v>88.405797101449281</v>
      </c>
      <c r="UT18" s="1"/>
      <c r="UU18" s="1"/>
      <c r="UV18" s="1"/>
      <c r="UW18" s="1"/>
      <c r="UX18" s="1"/>
      <c r="UY18" s="1"/>
      <c r="UZ18" s="55" t="s">
        <v>251</v>
      </c>
      <c r="VA18" s="1"/>
      <c r="VB18" s="56" t="s">
        <v>251</v>
      </c>
      <c r="VC18" s="1"/>
      <c r="VD18" s="1">
        <v>5</v>
      </c>
      <c r="VE18" s="2"/>
      <c r="VF18" s="55" t="s">
        <v>251</v>
      </c>
      <c r="VG18" s="55" t="s">
        <v>251</v>
      </c>
      <c r="VH18" s="55" t="s">
        <v>251</v>
      </c>
      <c r="VI18" s="56" t="s">
        <v>251</v>
      </c>
      <c r="VJ18" s="57" t="s">
        <v>251</v>
      </c>
      <c r="VK18" s="55">
        <v>5</v>
      </c>
      <c r="VL18" s="1"/>
      <c r="VM18" s="58">
        <v>4</v>
      </c>
      <c r="VN18" s="59">
        <v>94.20289855072464</v>
      </c>
      <c r="VO18" s="4">
        <v>1072743</v>
      </c>
      <c r="VP18" s="39">
        <v>132</v>
      </c>
      <c r="VQ18" s="39">
        <v>34</v>
      </c>
      <c r="VR18" s="1"/>
      <c r="VS18" s="1"/>
      <c r="VT18" s="1"/>
      <c r="VU18" s="1"/>
      <c r="VV18" s="1"/>
      <c r="VW18" s="1"/>
      <c r="VX18" s="1"/>
      <c r="VY18" s="55" t="s">
        <v>251</v>
      </c>
      <c r="VZ18" s="1"/>
      <c r="WA18" s="56" t="s">
        <v>251</v>
      </c>
      <c r="WB18" s="1"/>
      <c r="WC18" s="1"/>
      <c r="WD18" s="2">
        <v>3</v>
      </c>
      <c r="WE18" s="55">
        <v>82.352941176470594</v>
      </c>
      <c r="WF18" s="1"/>
      <c r="WG18" s="1"/>
      <c r="WH18" s="1"/>
      <c r="WI18" s="1"/>
      <c r="WJ18" s="1"/>
      <c r="WK18" s="1"/>
      <c r="WL18" s="55" t="s">
        <v>251</v>
      </c>
      <c r="WM18" s="1"/>
      <c r="WN18" s="56" t="s">
        <v>251</v>
      </c>
      <c r="WO18" s="1"/>
      <c r="WP18" s="1"/>
      <c r="WQ18" s="2">
        <v>2</v>
      </c>
      <c r="WR18" s="55">
        <v>88.235294117647058</v>
      </c>
      <c r="WS18" s="55" t="s">
        <v>251</v>
      </c>
      <c r="WT18" s="55" t="s">
        <v>251</v>
      </c>
      <c r="WU18" s="56" t="s">
        <v>251</v>
      </c>
      <c r="WV18" s="57" t="s">
        <v>251</v>
      </c>
      <c r="WW18" s="55" t="s">
        <v>251</v>
      </c>
      <c r="WX18" s="1"/>
      <c r="WY18" s="58">
        <v>5</v>
      </c>
      <c r="WZ18" s="59">
        <v>85.294117647058826</v>
      </c>
      <c r="XA18" s="4">
        <v>1072748</v>
      </c>
      <c r="XB18" s="39">
        <v>133</v>
      </c>
      <c r="XC18" s="39">
        <v>34</v>
      </c>
      <c r="XD18" s="1"/>
      <c r="XE18" s="1"/>
      <c r="XF18" s="1"/>
      <c r="XG18" s="1"/>
      <c r="XH18" s="1"/>
      <c r="XI18" s="1"/>
      <c r="XJ18" s="1"/>
      <c r="XK18" s="55" t="s">
        <v>251</v>
      </c>
      <c r="XL18" s="1"/>
      <c r="XM18" s="56" t="s">
        <v>251</v>
      </c>
      <c r="XN18" s="1"/>
      <c r="XO18" s="1"/>
      <c r="XP18" s="2">
        <v>1</v>
      </c>
      <c r="XQ18" s="55">
        <v>94.117647058823536</v>
      </c>
      <c r="XR18" s="1"/>
      <c r="XS18" s="1"/>
      <c r="XT18" s="1"/>
      <c r="XU18" s="1"/>
      <c r="XV18" s="1"/>
      <c r="XW18" s="1"/>
      <c r="XX18" s="55" t="s">
        <v>251</v>
      </c>
      <c r="XY18" s="1"/>
      <c r="XZ18" s="56" t="s">
        <v>251</v>
      </c>
      <c r="YA18" s="1"/>
      <c r="YB18" s="1"/>
      <c r="YC18" s="2">
        <v>1</v>
      </c>
      <c r="YD18" s="55">
        <v>94.117647058823536</v>
      </c>
      <c r="YE18" s="55" t="s">
        <v>251</v>
      </c>
      <c r="YF18" s="55" t="s">
        <v>251</v>
      </c>
      <c r="YG18" s="56" t="s">
        <v>251</v>
      </c>
      <c r="YH18" s="57" t="s">
        <v>251</v>
      </c>
      <c r="YI18" s="55" t="s">
        <v>251</v>
      </c>
      <c r="YJ18" s="1"/>
      <c r="YK18" s="58">
        <v>2</v>
      </c>
      <c r="YL18" s="59">
        <v>94.117647058823536</v>
      </c>
      <c r="YM18" s="4">
        <v>1072743</v>
      </c>
      <c r="YN18" s="39">
        <v>135</v>
      </c>
      <c r="YO18" s="39">
        <v>33</v>
      </c>
      <c r="YP18" s="1"/>
      <c r="YQ18" s="1"/>
      <c r="YR18" s="1"/>
      <c r="YS18" s="1"/>
      <c r="YT18" s="1"/>
      <c r="YU18" s="1"/>
      <c r="YV18" s="1"/>
      <c r="YW18" s="55" t="s">
        <v>251</v>
      </c>
      <c r="YX18" s="1"/>
      <c r="YY18" s="56" t="s">
        <v>251</v>
      </c>
      <c r="YZ18" s="1"/>
      <c r="ZA18" s="1"/>
      <c r="ZB18" s="2">
        <v>0</v>
      </c>
      <c r="ZC18" s="55">
        <v>100</v>
      </c>
      <c r="ZD18" s="1"/>
      <c r="ZE18" s="1"/>
      <c r="ZF18" s="1"/>
      <c r="ZG18" s="1"/>
      <c r="ZH18" s="1"/>
      <c r="ZI18" s="1"/>
      <c r="ZJ18" s="55" t="s">
        <v>251</v>
      </c>
      <c r="ZK18" s="1"/>
      <c r="ZL18" s="56" t="s">
        <v>251</v>
      </c>
      <c r="ZM18" s="1"/>
      <c r="ZN18" s="1"/>
      <c r="ZO18" s="2">
        <v>1</v>
      </c>
      <c r="ZP18" s="55">
        <v>93.939393939393938</v>
      </c>
      <c r="ZQ18" s="55" t="s">
        <v>251</v>
      </c>
      <c r="ZR18" s="55" t="s">
        <v>251</v>
      </c>
      <c r="ZS18" s="56" t="s">
        <v>251</v>
      </c>
      <c r="ZT18" s="57" t="s">
        <v>251</v>
      </c>
      <c r="ZU18" s="55" t="s">
        <v>251</v>
      </c>
      <c r="ZV18" s="1"/>
      <c r="ZW18" s="58">
        <v>1</v>
      </c>
      <c r="ZX18" s="59">
        <v>96.969696969696969</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4238235</v>
      </c>
      <c r="F19" s="89">
        <f t="shared" si="401"/>
        <v>1</v>
      </c>
      <c r="G19" s="89" t="str">
        <f t="shared" si="402"/>
        <v>B</v>
      </c>
      <c r="H19" s="36" t="s">
        <v>173</v>
      </c>
      <c r="I19" s="37" t="s">
        <v>174</v>
      </c>
      <c r="J19" s="41" t="s">
        <v>175</v>
      </c>
      <c r="K19" s="90" t="str">
        <f t="shared" si="403"/>
        <v>A</v>
      </c>
      <c r="L19" s="41" t="s">
        <v>119</v>
      </c>
      <c r="M19" s="93">
        <v>42385</v>
      </c>
      <c r="N19" s="41"/>
      <c r="O19" s="43" t="s">
        <v>234</v>
      </c>
      <c r="P19" s="91" t="str">
        <f t="shared" si="404"/>
        <v>Məmmədova Ramilə Xasay</v>
      </c>
      <c r="Q19" s="4">
        <v>1072743</v>
      </c>
      <c r="R19" s="39">
        <v>101</v>
      </c>
      <c r="S19" s="39">
        <v>270</v>
      </c>
      <c r="T19" s="1"/>
      <c r="U19" s="1"/>
      <c r="V19" s="1"/>
      <c r="W19" s="1"/>
      <c r="X19" s="1"/>
      <c r="Y19" s="1"/>
      <c r="Z19" s="1"/>
      <c r="AA19" s="55" t="s">
        <v>251</v>
      </c>
      <c r="AB19" s="1"/>
      <c r="AC19" s="56" t="s">
        <v>251</v>
      </c>
      <c r="AD19" s="1"/>
      <c r="AE19" s="1"/>
      <c r="AF19" s="2">
        <v>0</v>
      </c>
      <c r="AG19" s="55">
        <v>100</v>
      </c>
      <c r="AH19" s="1"/>
      <c r="AI19" s="1"/>
      <c r="AJ19" s="1"/>
      <c r="AK19" s="1"/>
      <c r="AL19" s="1"/>
      <c r="AM19" s="1"/>
      <c r="AN19" s="55" t="s">
        <v>251</v>
      </c>
      <c r="AO19" s="1"/>
      <c r="AP19" s="56" t="s">
        <v>251</v>
      </c>
      <c r="AQ19" s="1"/>
      <c r="AR19" s="1"/>
      <c r="AS19" s="2">
        <v>0</v>
      </c>
      <c r="AT19" s="55">
        <v>100</v>
      </c>
      <c r="AU19" s="55" t="s">
        <v>251</v>
      </c>
      <c r="AV19" s="55" t="s">
        <v>251</v>
      </c>
      <c r="AW19" s="56" t="s">
        <v>251</v>
      </c>
      <c r="AX19" s="57" t="s">
        <v>251</v>
      </c>
      <c r="AY19" s="55" t="s">
        <v>251</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1269215</v>
      </c>
      <c r="EB19" s="39">
        <v>106</v>
      </c>
      <c r="EC19" s="39">
        <v>33</v>
      </c>
      <c r="ED19" s="1"/>
      <c r="EE19" s="1"/>
      <c r="EF19" s="1"/>
      <c r="EG19" s="1"/>
      <c r="EH19" s="1"/>
      <c r="EI19" s="1"/>
      <c r="EJ19" s="1"/>
      <c r="EK19" s="55" t="s">
        <v>251</v>
      </c>
      <c r="EL19" s="1"/>
      <c r="EM19" s="56" t="s">
        <v>251</v>
      </c>
      <c r="EN19" s="1"/>
      <c r="EO19" s="1"/>
      <c r="EP19" s="2">
        <v>0</v>
      </c>
      <c r="EQ19" s="55">
        <v>100</v>
      </c>
      <c r="ER19" s="1"/>
      <c r="ES19" s="1"/>
      <c r="ET19" s="1"/>
      <c r="EU19" s="1"/>
      <c r="EV19" s="1"/>
      <c r="EW19" s="1"/>
      <c r="EX19" s="55" t="s">
        <v>251</v>
      </c>
      <c r="EY19" s="1"/>
      <c r="EZ19" s="56" t="s">
        <v>251</v>
      </c>
      <c r="FA19" s="1"/>
      <c r="FB19" s="1"/>
      <c r="FC19" s="2">
        <v>0</v>
      </c>
      <c r="FD19" s="55">
        <v>100</v>
      </c>
      <c r="FE19" s="55" t="s">
        <v>251</v>
      </c>
      <c r="FF19" s="55" t="s">
        <v>251</v>
      </c>
      <c r="FG19" s="56" t="s">
        <v>251</v>
      </c>
      <c r="FH19" s="57" t="s">
        <v>251</v>
      </c>
      <c r="FI19" s="55" t="s">
        <v>251</v>
      </c>
      <c r="FJ19" s="1"/>
      <c r="FK19" s="58">
        <v>0</v>
      </c>
      <c r="FL19" s="59">
        <v>100</v>
      </c>
      <c r="FM19" s="4">
        <v>1072743</v>
      </c>
      <c r="FN19" s="39">
        <v>110</v>
      </c>
      <c r="FO19" s="39">
        <v>168</v>
      </c>
      <c r="FP19" s="1"/>
      <c r="FQ19" s="1"/>
      <c r="FR19" s="1"/>
      <c r="FS19" s="1"/>
      <c r="FT19" s="1"/>
      <c r="FU19" s="1"/>
      <c r="FV19" s="1"/>
      <c r="FW19" s="55" t="s">
        <v>251</v>
      </c>
      <c r="FX19" s="1"/>
      <c r="FY19" s="56" t="s">
        <v>251</v>
      </c>
      <c r="FZ19" s="1"/>
      <c r="GA19" s="1"/>
      <c r="GB19" s="2">
        <v>0</v>
      </c>
      <c r="GC19" s="55">
        <v>100</v>
      </c>
      <c r="GD19" s="1"/>
      <c r="GE19" s="1"/>
      <c r="GF19" s="1"/>
      <c r="GG19" s="1"/>
      <c r="GH19" s="1"/>
      <c r="GI19" s="1"/>
      <c r="GJ19" s="55" t="s">
        <v>251</v>
      </c>
      <c r="GK19" s="1"/>
      <c r="GL19" s="56" t="s">
        <v>251</v>
      </c>
      <c r="GM19" s="1"/>
      <c r="GN19" s="1"/>
      <c r="GO19" s="2">
        <v>0</v>
      </c>
      <c r="GP19" s="55">
        <v>100</v>
      </c>
      <c r="GQ19" s="55" t="s">
        <v>251</v>
      </c>
      <c r="GR19" s="55" t="s">
        <v>251</v>
      </c>
      <c r="GS19" s="56" t="s">
        <v>251</v>
      </c>
      <c r="GT19" s="57" t="s">
        <v>251</v>
      </c>
      <c r="GU19" s="55" t="s">
        <v>251</v>
      </c>
      <c r="GV19" s="1"/>
      <c r="GW19" s="58">
        <v>0</v>
      </c>
      <c r="GX19" s="59">
        <v>100</v>
      </c>
      <c r="GY19" s="4">
        <v>1199044</v>
      </c>
      <c r="GZ19" s="39">
        <v>114</v>
      </c>
      <c r="HA19" s="39">
        <v>33</v>
      </c>
      <c r="HB19" s="1"/>
      <c r="HC19" s="1"/>
      <c r="HD19" s="1"/>
      <c r="HE19" s="1"/>
      <c r="HF19" s="1"/>
      <c r="HG19" s="1"/>
      <c r="HH19" s="1"/>
      <c r="HI19" s="55" t="s">
        <v>251</v>
      </c>
      <c r="HJ19" s="1"/>
      <c r="HK19" s="56" t="s">
        <v>251</v>
      </c>
      <c r="HL19" s="1"/>
      <c r="HM19" s="1"/>
      <c r="HN19" s="2">
        <v>0</v>
      </c>
      <c r="HO19" s="55">
        <v>100</v>
      </c>
      <c r="HP19" s="1"/>
      <c r="HQ19" s="1"/>
      <c r="HR19" s="1"/>
      <c r="HS19" s="1"/>
      <c r="HT19" s="1"/>
      <c r="HU19" s="1"/>
      <c r="HV19" s="55" t="s">
        <v>251</v>
      </c>
      <c r="HW19" s="1"/>
      <c r="HX19" s="56" t="s">
        <v>251</v>
      </c>
      <c r="HY19" s="1"/>
      <c r="HZ19" s="1"/>
      <c r="IA19" s="2">
        <v>0</v>
      </c>
      <c r="IB19" s="55">
        <v>100</v>
      </c>
      <c r="IC19" s="55" t="s">
        <v>251</v>
      </c>
      <c r="ID19" s="55" t="s">
        <v>251</v>
      </c>
      <c r="IE19" s="56" t="s">
        <v>251</v>
      </c>
      <c r="IF19" s="57" t="s">
        <v>251</v>
      </c>
      <c r="IG19" s="55" t="s">
        <v>251</v>
      </c>
      <c r="IH19" s="1"/>
      <c r="II19" s="58">
        <v>0</v>
      </c>
      <c r="IJ19" s="59">
        <v>100</v>
      </c>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1072743</v>
      </c>
      <c r="PT19" s="39">
        <v>128</v>
      </c>
      <c r="PU19" s="39">
        <v>33</v>
      </c>
      <c r="PV19" s="1"/>
      <c r="PW19" s="1"/>
      <c r="PX19" s="1"/>
      <c r="PY19" s="1"/>
      <c r="PZ19" s="1"/>
      <c r="QA19" s="1"/>
      <c r="QB19" s="1"/>
      <c r="QC19" s="55" t="s">
        <v>251</v>
      </c>
      <c r="QD19" s="1"/>
      <c r="QE19" s="56" t="s">
        <v>251</v>
      </c>
      <c r="QF19" s="1"/>
      <c r="QG19" s="1"/>
      <c r="QH19" s="2">
        <v>0</v>
      </c>
      <c r="QI19" s="55">
        <v>100</v>
      </c>
      <c r="QJ19" s="1"/>
      <c r="QK19" s="1"/>
      <c r="QL19" s="1"/>
      <c r="QM19" s="1"/>
      <c r="QN19" s="1"/>
      <c r="QO19" s="1"/>
      <c r="QP19" s="55" t="s">
        <v>251</v>
      </c>
      <c r="QQ19" s="1"/>
      <c r="QR19" s="56" t="s">
        <v>251</v>
      </c>
      <c r="QS19" s="1"/>
      <c r="QT19" s="1"/>
      <c r="QU19" s="2">
        <v>0</v>
      </c>
      <c r="QV19" s="55">
        <v>100</v>
      </c>
      <c r="QW19" s="55" t="s">
        <v>251</v>
      </c>
      <c r="QX19" s="55" t="s">
        <v>251</v>
      </c>
      <c r="QY19" s="56" t="s">
        <v>251</v>
      </c>
      <c r="QZ19" s="57" t="s">
        <v>251</v>
      </c>
      <c r="RA19" s="55" t="s">
        <v>251</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1072743</v>
      </c>
      <c r="UD19" s="39">
        <v>131</v>
      </c>
      <c r="UE19" s="39">
        <v>69</v>
      </c>
      <c r="UF19" s="1"/>
      <c r="UG19" s="1"/>
      <c r="UH19" s="1"/>
      <c r="UI19" s="1"/>
      <c r="UJ19" s="1"/>
      <c r="UK19" s="1"/>
      <c r="UL19" s="1"/>
      <c r="UM19" s="55" t="s">
        <v>251</v>
      </c>
      <c r="UN19" s="1"/>
      <c r="UO19" s="56" t="s">
        <v>251</v>
      </c>
      <c r="UP19" s="1"/>
      <c r="UQ19" s="1"/>
      <c r="UR19" s="2">
        <v>0</v>
      </c>
      <c r="US19" s="55">
        <v>100</v>
      </c>
      <c r="UT19" s="1"/>
      <c r="UU19" s="1"/>
      <c r="UV19" s="1"/>
      <c r="UW19" s="1"/>
      <c r="UX19" s="1"/>
      <c r="UY19" s="1"/>
      <c r="UZ19" s="55" t="s">
        <v>251</v>
      </c>
      <c r="VA19" s="1"/>
      <c r="VB19" s="56" t="s">
        <v>251</v>
      </c>
      <c r="VC19" s="1"/>
      <c r="VD19" s="1">
        <v>0</v>
      </c>
      <c r="VE19" s="2"/>
      <c r="VF19" s="55" t="s">
        <v>251</v>
      </c>
      <c r="VG19" s="55" t="s">
        <v>251</v>
      </c>
      <c r="VH19" s="55" t="s">
        <v>251</v>
      </c>
      <c r="VI19" s="56" t="s">
        <v>251</v>
      </c>
      <c r="VJ19" s="57" t="s">
        <v>251</v>
      </c>
      <c r="VK19" s="55">
        <v>0</v>
      </c>
      <c r="VL19" s="1"/>
      <c r="VM19" s="58">
        <v>0</v>
      </c>
      <c r="VN19" s="59">
        <v>100</v>
      </c>
      <c r="VO19" s="4">
        <v>1072743</v>
      </c>
      <c r="VP19" s="39">
        <v>132</v>
      </c>
      <c r="VQ19" s="39">
        <v>34</v>
      </c>
      <c r="VR19" s="1"/>
      <c r="VS19" s="1"/>
      <c r="VT19" s="1"/>
      <c r="VU19" s="1"/>
      <c r="VV19" s="1"/>
      <c r="VW19" s="1"/>
      <c r="VX19" s="1"/>
      <c r="VY19" s="55" t="s">
        <v>251</v>
      </c>
      <c r="VZ19" s="1"/>
      <c r="WA19" s="56" t="s">
        <v>251</v>
      </c>
      <c r="WB19" s="1"/>
      <c r="WC19" s="1"/>
      <c r="WD19" s="2">
        <v>0</v>
      </c>
      <c r="WE19" s="55">
        <v>100</v>
      </c>
      <c r="WF19" s="1"/>
      <c r="WG19" s="1"/>
      <c r="WH19" s="1"/>
      <c r="WI19" s="1"/>
      <c r="WJ19" s="1"/>
      <c r="WK19" s="1"/>
      <c r="WL19" s="55" t="s">
        <v>251</v>
      </c>
      <c r="WM19" s="1"/>
      <c r="WN19" s="56" t="s">
        <v>251</v>
      </c>
      <c r="WO19" s="1"/>
      <c r="WP19" s="1"/>
      <c r="WQ19" s="2">
        <v>0</v>
      </c>
      <c r="WR19" s="55">
        <v>100</v>
      </c>
      <c r="WS19" s="55" t="s">
        <v>251</v>
      </c>
      <c r="WT19" s="55" t="s">
        <v>251</v>
      </c>
      <c r="WU19" s="56" t="s">
        <v>251</v>
      </c>
      <c r="WV19" s="57" t="s">
        <v>251</v>
      </c>
      <c r="WW19" s="55" t="s">
        <v>251</v>
      </c>
      <c r="WX19" s="1"/>
      <c r="WY19" s="58">
        <v>0</v>
      </c>
      <c r="WZ19" s="59">
        <v>100</v>
      </c>
      <c r="XA19" s="4">
        <v>1072748</v>
      </c>
      <c r="XB19" s="39">
        <v>133</v>
      </c>
      <c r="XC19" s="39">
        <v>34</v>
      </c>
      <c r="XD19" s="1"/>
      <c r="XE19" s="1"/>
      <c r="XF19" s="1"/>
      <c r="XG19" s="1"/>
      <c r="XH19" s="1"/>
      <c r="XI19" s="1"/>
      <c r="XJ19" s="1"/>
      <c r="XK19" s="55" t="s">
        <v>251</v>
      </c>
      <c r="XL19" s="1"/>
      <c r="XM19" s="56" t="s">
        <v>251</v>
      </c>
      <c r="XN19" s="1"/>
      <c r="XO19" s="1"/>
      <c r="XP19" s="2">
        <v>0</v>
      </c>
      <c r="XQ19" s="55">
        <v>100</v>
      </c>
      <c r="XR19" s="1"/>
      <c r="XS19" s="1"/>
      <c r="XT19" s="1"/>
      <c r="XU19" s="1"/>
      <c r="XV19" s="1"/>
      <c r="XW19" s="1"/>
      <c r="XX19" s="55" t="s">
        <v>251</v>
      </c>
      <c r="XY19" s="1"/>
      <c r="XZ19" s="56" t="s">
        <v>251</v>
      </c>
      <c r="YA19" s="1"/>
      <c r="YB19" s="1"/>
      <c r="YC19" s="2">
        <v>0</v>
      </c>
      <c r="YD19" s="55">
        <v>100</v>
      </c>
      <c r="YE19" s="55" t="s">
        <v>251</v>
      </c>
      <c r="YF19" s="55" t="s">
        <v>251</v>
      </c>
      <c r="YG19" s="56" t="s">
        <v>251</v>
      </c>
      <c r="YH19" s="57" t="s">
        <v>251</v>
      </c>
      <c r="YI19" s="55" t="s">
        <v>251</v>
      </c>
      <c r="YJ19" s="1"/>
      <c r="YK19" s="58">
        <v>0</v>
      </c>
      <c r="YL19" s="59">
        <v>100</v>
      </c>
      <c r="YM19" s="4">
        <v>1072743</v>
      </c>
      <c r="YN19" s="39">
        <v>135</v>
      </c>
      <c r="YO19" s="39">
        <v>33</v>
      </c>
      <c r="YP19" s="1"/>
      <c r="YQ19" s="1"/>
      <c r="YR19" s="1"/>
      <c r="YS19" s="1"/>
      <c r="YT19" s="1"/>
      <c r="YU19" s="1"/>
      <c r="YV19" s="1"/>
      <c r="YW19" s="55" t="s">
        <v>251</v>
      </c>
      <c r="YX19" s="1"/>
      <c r="YY19" s="56" t="s">
        <v>251</v>
      </c>
      <c r="YZ19" s="1"/>
      <c r="ZA19" s="1"/>
      <c r="ZB19" s="2">
        <v>0</v>
      </c>
      <c r="ZC19" s="55">
        <v>100</v>
      </c>
      <c r="ZD19" s="1"/>
      <c r="ZE19" s="1"/>
      <c r="ZF19" s="1"/>
      <c r="ZG19" s="1"/>
      <c r="ZH19" s="1"/>
      <c r="ZI19" s="1"/>
      <c r="ZJ19" s="55" t="s">
        <v>251</v>
      </c>
      <c r="ZK19" s="1"/>
      <c r="ZL19" s="56" t="s">
        <v>251</v>
      </c>
      <c r="ZM19" s="1"/>
      <c r="ZN19" s="1"/>
      <c r="ZO19" s="2">
        <v>0</v>
      </c>
      <c r="ZP19" s="55">
        <v>100</v>
      </c>
      <c r="ZQ19" s="55" t="s">
        <v>251</v>
      </c>
      <c r="ZR19" s="55" t="s">
        <v>251</v>
      </c>
      <c r="ZS19" s="56" t="s">
        <v>251</v>
      </c>
      <c r="ZT19" s="57" t="s">
        <v>251</v>
      </c>
      <c r="ZU19" s="55" t="s">
        <v>251</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4238275</v>
      </c>
      <c r="F20" s="89">
        <f t="shared" si="401"/>
        <v>1</v>
      </c>
      <c r="G20" s="89" t="str">
        <f t="shared" si="402"/>
        <v>B</v>
      </c>
      <c r="H20" s="37" t="s">
        <v>176</v>
      </c>
      <c r="I20" s="37" t="s">
        <v>177</v>
      </c>
      <c r="J20" s="41" t="s">
        <v>178</v>
      </c>
      <c r="K20" s="90" t="str">
        <f t="shared" si="403"/>
        <v>A</v>
      </c>
      <c r="L20" s="41" t="s">
        <v>117</v>
      </c>
      <c r="M20" s="93">
        <v>42432</v>
      </c>
      <c r="N20" s="41"/>
      <c r="O20" s="43" t="s">
        <v>235</v>
      </c>
      <c r="P20" s="91" t="str">
        <f t="shared" si="404"/>
        <v>Məmmədova Ramilə Xasay</v>
      </c>
      <c r="Q20" s="4">
        <v>1072743</v>
      </c>
      <c r="R20" s="39">
        <v>101</v>
      </c>
      <c r="S20" s="39">
        <v>270</v>
      </c>
      <c r="T20" s="1"/>
      <c r="U20" s="1"/>
      <c r="V20" s="1"/>
      <c r="W20" s="1"/>
      <c r="X20" s="1"/>
      <c r="Y20" s="1"/>
      <c r="Z20" s="1"/>
      <c r="AA20" s="55" t="s">
        <v>251</v>
      </c>
      <c r="AB20" s="1"/>
      <c r="AC20" s="56" t="s">
        <v>251</v>
      </c>
      <c r="AD20" s="1"/>
      <c r="AE20" s="1"/>
      <c r="AF20" s="2">
        <v>12</v>
      </c>
      <c r="AG20" s="55">
        <v>91.111111111111114</v>
      </c>
      <c r="AH20" s="1"/>
      <c r="AI20" s="1"/>
      <c r="AJ20" s="1"/>
      <c r="AK20" s="1"/>
      <c r="AL20" s="1"/>
      <c r="AM20" s="1"/>
      <c r="AN20" s="55" t="s">
        <v>251</v>
      </c>
      <c r="AO20" s="1"/>
      <c r="AP20" s="56" t="s">
        <v>251</v>
      </c>
      <c r="AQ20" s="1"/>
      <c r="AR20" s="1"/>
      <c r="AS20" s="2">
        <v>0</v>
      </c>
      <c r="AT20" s="55">
        <v>100</v>
      </c>
      <c r="AU20" s="55" t="s">
        <v>251</v>
      </c>
      <c r="AV20" s="55" t="s">
        <v>251</v>
      </c>
      <c r="AW20" s="56" t="s">
        <v>251</v>
      </c>
      <c r="AX20" s="57" t="s">
        <v>251</v>
      </c>
      <c r="AY20" s="55" t="s">
        <v>251</v>
      </c>
      <c r="AZ20" s="1"/>
      <c r="BA20" s="58">
        <v>12</v>
      </c>
      <c r="BB20" s="59">
        <v>95.555555555555557</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1269215</v>
      </c>
      <c r="EB20" s="39">
        <v>106</v>
      </c>
      <c r="EC20" s="39">
        <v>33</v>
      </c>
      <c r="ED20" s="1"/>
      <c r="EE20" s="1"/>
      <c r="EF20" s="1"/>
      <c r="EG20" s="1"/>
      <c r="EH20" s="1"/>
      <c r="EI20" s="1"/>
      <c r="EJ20" s="1"/>
      <c r="EK20" s="55" t="s">
        <v>251</v>
      </c>
      <c r="EL20" s="1"/>
      <c r="EM20" s="56" t="s">
        <v>251</v>
      </c>
      <c r="EN20" s="1"/>
      <c r="EO20" s="1"/>
      <c r="EP20" s="2">
        <v>0</v>
      </c>
      <c r="EQ20" s="55">
        <v>100</v>
      </c>
      <c r="ER20" s="1"/>
      <c r="ES20" s="1"/>
      <c r="ET20" s="1"/>
      <c r="EU20" s="1"/>
      <c r="EV20" s="1"/>
      <c r="EW20" s="1"/>
      <c r="EX20" s="55" t="s">
        <v>251</v>
      </c>
      <c r="EY20" s="1"/>
      <c r="EZ20" s="56" t="s">
        <v>251</v>
      </c>
      <c r="FA20" s="1"/>
      <c r="FB20" s="1"/>
      <c r="FC20" s="2">
        <v>0</v>
      </c>
      <c r="FD20" s="55">
        <v>100</v>
      </c>
      <c r="FE20" s="55" t="s">
        <v>251</v>
      </c>
      <c r="FF20" s="55" t="s">
        <v>251</v>
      </c>
      <c r="FG20" s="56" t="s">
        <v>251</v>
      </c>
      <c r="FH20" s="57" t="s">
        <v>251</v>
      </c>
      <c r="FI20" s="55" t="s">
        <v>251</v>
      </c>
      <c r="FJ20" s="1"/>
      <c r="FK20" s="58">
        <v>0</v>
      </c>
      <c r="FL20" s="59">
        <v>100</v>
      </c>
      <c r="FM20" s="4">
        <v>1072743</v>
      </c>
      <c r="FN20" s="39">
        <v>110</v>
      </c>
      <c r="FO20" s="39">
        <v>168</v>
      </c>
      <c r="FP20" s="1"/>
      <c r="FQ20" s="1"/>
      <c r="FR20" s="1"/>
      <c r="FS20" s="1"/>
      <c r="FT20" s="1"/>
      <c r="FU20" s="1"/>
      <c r="FV20" s="1"/>
      <c r="FW20" s="55" t="s">
        <v>251</v>
      </c>
      <c r="FX20" s="1"/>
      <c r="FY20" s="56" t="s">
        <v>251</v>
      </c>
      <c r="FZ20" s="1"/>
      <c r="GA20" s="1"/>
      <c r="GB20" s="2">
        <v>4</v>
      </c>
      <c r="GC20" s="55">
        <v>95.238095238095241</v>
      </c>
      <c r="GD20" s="1"/>
      <c r="GE20" s="1"/>
      <c r="GF20" s="1"/>
      <c r="GG20" s="1"/>
      <c r="GH20" s="1"/>
      <c r="GI20" s="1"/>
      <c r="GJ20" s="55" t="s">
        <v>251</v>
      </c>
      <c r="GK20" s="1"/>
      <c r="GL20" s="56" t="s">
        <v>251</v>
      </c>
      <c r="GM20" s="1"/>
      <c r="GN20" s="1"/>
      <c r="GO20" s="2">
        <v>0</v>
      </c>
      <c r="GP20" s="55">
        <v>100</v>
      </c>
      <c r="GQ20" s="55" t="s">
        <v>251</v>
      </c>
      <c r="GR20" s="55" t="s">
        <v>251</v>
      </c>
      <c r="GS20" s="56" t="s">
        <v>251</v>
      </c>
      <c r="GT20" s="57" t="s">
        <v>251</v>
      </c>
      <c r="GU20" s="55" t="s">
        <v>251</v>
      </c>
      <c r="GV20" s="1"/>
      <c r="GW20" s="58">
        <v>4</v>
      </c>
      <c r="GX20" s="59">
        <v>97.61904761904762</v>
      </c>
      <c r="GY20" s="4">
        <v>1199044</v>
      </c>
      <c r="GZ20" s="39">
        <v>114</v>
      </c>
      <c r="HA20" s="39">
        <v>33</v>
      </c>
      <c r="HB20" s="1"/>
      <c r="HC20" s="1"/>
      <c r="HD20" s="1"/>
      <c r="HE20" s="1"/>
      <c r="HF20" s="1"/>
      <c r="HG20" s="1"/>
      <c r="HH20" s="1"/>
      <c r="HI20" s="55" t="s">
        <v>251</v>
      </c>
      <c r="HJ20" s="1"/>
      <c r="HK20" s="56" t="s">
        <v>251</v>
      </c>
      <c r="HL20" s="1"/>
      <c r="HM20" s="1"/>
      <c r="HN20" s="2">
        <v>0</v>
      </c>
      <c r="HO20" s="55">
        <v>100</v>
      </c>
      <c r="HP20" s="1"/>
      <c r="HQ20" s="1"/>
      <c r="HR20" s="1"/>
      <c r="HS20" s="1"/>
      <c r="HT20" s="1"/>
      <c r="HU20" s="1"/>
      <c r="HV20" s="55" t="s">
        <v>251</v>
      </c>
      <c r="HW20" s="1"/>
      <c r="HX20" s="56" t="s">
        <v>251</v>
      </c>
      <c r="HY20" s="1"/>
      <c r="HZ20" s="1"/>
      <c r="IA20" s="2">
        <v>0</v>
      </c>
      <c r="IB20" s="55">
        <v>100</v>
      </c>
      <c r="IC20" s="55" t="s">
        <v>251</v>
      </c>
      <c r="ID20" s="55" t="s">
        <v>251</v>
      </c>
      <c r="IE20" s="56" t="s">
        <v>251</v>
      </c>
      <c r="IF20" s="57" t="s">
        <v>251</v>
      </c>
      <c r="IG20" s="55" t="s">
        <v>251</v>
      </c>
      <c r="IH20" s="1"/>
      <c r="II20" s="58">
        <v>0</v>
      </c>
      <c r="IJ20" s="59">
        <v>100</v>
      </c>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1072743</v>
      </c>
      <c r="PT20" s="39">
        <v>128</v>
      </c>
      <c r="PU20" s="39">
        <v>33</v>
      </c>
      <c r="PV20" s="1"/>
      <c r="PW20" s="1"/>
      <c r="PX20" s="1"/>
      <c r="PY20" s="1"/>
      <c r="PZ20" s="1"/>
      <c r="QA20" s="1"/>
      <c r="QB20" s="1"/>
      <c r="QC20" s="55" t="s">
        <v>251</v>
      </c>
      <c r="QD20" s="1"/>
      <c r="QE20" s="56" t="s">
        <v>251</v>
      </c>
      <c r="QF20" s="1"/>
      <c r="QG20" s="1"/>
      <c r="QH20" s="2">
        <v>1</v>
      </c>
      <c r="QI20" s="55">
        <v>93.939393939393938</v>
      </c>
      <c r="QJ20" s="1"/>
      <c r="QK20" s="1"/>
      <c r="QL20" s="1"/>
      <c r="QM20" s="1"/>
      <c r="QN20" s="1"/>
      <c r="QO20" s="1"/>
      <c r="QP20" s="55" t="s">
        <v>251</v>
      </c>
      <c r="QQ20" s="1"/>
      <c r="QR20" s="56" t="s">
        <v>251</v>
      </c>
      <c r="QS20" s="1"/>
      <c r="QT20" s="1"/>
      <c r="QU20" s="2">
        <v>0</v>
      </c>
      <c r="QV20" s="55">
        <v>100</v>
      </c>
      <c r="QW20" s="55" t="s">
        <v>251</v>
      </c>
      <c r="QX20" s="55" t="s">
        <v>251</v>
      </c>
      <c r="QY20" s="56" t="s">
        <v>251</v>
      </c>
      <c r="QZ20" s="57" t="s">
        <v>251</v>
      </c>
      <c r="RA20" s="55" t="s">
        <v>251</v>
      </c>
      <c r="RB20" s="1"/>
      <c r="RC20" s="58">
        <v>1</v>
      </c>
      <c r="RD20" s="59">
        <v>96.969696969696969</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1072743</v>
      </c>
      <c r="UD20" s="39">
        <v>131</v>
      </c>
      <c r="UE20" s="39">
        <v>69</v>
      </c>
      <c r="UF20" s="1"/>
      <c r="UG20" s="1"/>
      <c r="UH20" s="1"/>
      <c r="UI20" s="1"/>
      <c r="UJ20" s="1"/>
      <c r="UK20" s="1"/>
      <c r="UL20" s="1"/>
      <c r="UM20" s="55" t="s">
        <v>251</v>
      </c>
      <c r="UN20" s="1"/>
      <c r="UO20" s="56" t="s">
        <v>251</v>
      </c>
      <c r="UP20" s="1"/>
      <c r="UQ20" s="1"/>
      <c r="UR20" s="2">
        <v>2</v>
      </c>
      <c r="US20" s="55">
        <v>94.20289855072464</v>
      </c>
      <c r="UT20" s="1"/>
      <c r="UU20" s="1"/>
      <c r="UV20" s="1"/>
      <c r="UW20" s="1"/>
      <c r="UX20" s="1"/>
      <c r="UY20" s="1"/>
      <c r="UZ20" s="55" t="s">
        <v>251</v>
      </c>
      <c r="VA20" s="1"/>
      <c r="VB20" s="56" t="s">
        <v>251</v>
      </c>
      <c r="VC20" s="1"/>
      <c r="VD20" s="1">
        <v>0</v>
      </c>
      <c r="VE20" s="2"/>
      <c r="VF20" s="55" t="s">
        <v>251</v>
      </c>
      <c r="VG20" s="55" t="s">
        <v>251</v>
      </c>
      <c r="VH20" s="55" t="s">
        <v>251</v>
      </c>
      <c r="VI20" s="56" t="s">
        <v>251</v>
      </c>
      <c r="VJ20" s="57" t="s">
        <v>251</v>
      </c>
      <c r="VK20" s="55">
        <v>0</v>
      </c>
      <c r="VL20" s="1"/>
      <c r="VM20" s="58">
        <v>2</v>
      </c>
      <c r="VN20" s="59">
        <v>97.101449275362313</v>
      </c>
      <c r="VO20" s="4">
        <v>1072743</v>
      </c>
      <c r="VP20" s="39">
        <v>132</v>
      </c>
      <c r="VQ20" s="39">
        <v>34</v>
      </c>
      <c r="VR20" s="1"/>
      <c r="VS20" s="1"/>
      <c r="VT20" s="1"/>
      <c r="VU20" s="1"/>
      <c r="VV20" s="1"/>
      <c r="VW20" s="1"/>
      <c r="VX20" s="1"/>
      <c r="VY20" s="55" t="s">
        <v>251</v>
      </c>
      <c r="VZ20" s="1"/>
      <c r="WA20" s="56" t="s">
        <v>251</v>
      </c>
      <c r="WB20" s="1"/>
      <c r="WC20" s="1"/>
      <c r="WD20" s="2">
        <v>1</v>
      </c>
      <c r="WE20" s="55">
        <v>94.117647058823536</v>
      </c>
      <c r="WF20" s="1"/>
      <c r="WG20" s="1"/>
      <c r="WH20" s="1"/>
      <c r="WI20" s="1"/>
      <c r="WJ20" s="1"/>
      <c r="WK20" s="1"/>
      <c r="WL20" s="55" t="s">
        <v>251</v>
      </c>
      <c r="WM20" s="1"/>
      <c r="WN20" s="56" t="s">
        <v>251</v>
      </c>
      <c r="WO20" s="1"/>
      <c r="WP20" s="1"/>
      <c r="WQ20" s="2">
        <v>0</v>
      </c>
      <c r="WR20" s="55">
        <v>100</v>
      </c>
      <c r="WS20" s="55" t="s">
        <v>251</v>
      </c>
      <c r="WT20" s="55" t="s">
        <v>251</v>
      </c>
      <c r="WU20" s="56" t="s">
        <v>251</v>
      </c>
      <c r="WV20" s="57" t="s">
        <v>251</v>
      </c>
      <c r="WW20" s="55" t="s">
        <v>251</v>
      </c>
      <c r="WX20" s="1"/>
      <c r="WY20" s="58">
        <v>1</v>
      </c>
      <c r="WZ20" s="59">
        <v>97.058823529411768</v>
      </c>
      <c r="XA20" s="4">
        <v>1072748</v>
      </c>
      <c r="XB20" s="39">
        <v>133</v>
      </c>
      <c r="XC20" s="39">
        <v>34</v>
      </c>
      <c r="XD20" s="1"/>
      <c r="XE20" s="1"/>
      <c r="XF20" s="1"/>
      <c r="XG20" s="1"/>
      <c r="XH20" s="1"/>
      <c r="XI20" s="1"/>
      <c r="XJ20" s="1"/>
      <c r="XK20" s="55" t="s">
        <v>251</v>
      </c>
      <c r="XL20" s="1"/>
      <c r="XM20" s="56" t="s">
        <v>251</v>
      </c>
      <c r="XN20" s="1"/>
      <c r="XO20" s="1"/>
      <c r="XP20" s="2">
        <v>0</v>
      </c>
      <c r="XQ20" s="55">
        <v>100</v>
      </c>
      <c r="XR20" s="1"/>
      <c r="XS20" s="1"/>
      <c r="XT20" s="1"/>
      <c r="XU20" s="1"/>
      <c r="XV20" s="1"/>
      <c r="XW20" s="1"/>
      <c r="XX20" s="55" t="s">
        <v>251</v>
      </c>
      <c r="XY20" s="1"/>
      <c r="XZ20" s="56" t="s">
        <v>251</v>
      </c>
      <c r="YA20" s="1"/>
      <c r="YB20" s="1"/>
      <c r="YC20" s="2">
        <v>0</v>
      </c>
      <c r="YD20" s="55">
        <v>100</v>
      </c>
      <c r="YE20" s="55" t="s">
        <v>251</v>
      </c>
      <c r="YF20" s="55" t="s">
        <v>251</v>
      </c>
      <c r="YG20" s="56" t="s">
        <v>251</v>
      </c>
      <c r="YH20" s="57" t="s">
        <v>251</v>
      </c>
      <c r="YI20" s="55" t="s">
        <v>251</v>
      </c>
      <c r="YJ20" s="1"/>
      <c r="YK20" s="58">
        <v>0</v>
      </c>
      <c r="YL20" s="59">
        <v>100</v>
      </c>
      <c r="YM20" s="4">
        <v>1072743</v>
      </c>
      <c r="YN20" s="39">
        <v>135</v>
      </c>
      <c r="YO20" s="39">
        <v>33</v>
      </c>
      <c r="YP20" s="1"/>
      <c r="YQ20" s="1"/>
      <c r="YR20" s="1"/>
      <c r="YS20" s="1"/>
      <c r="YT20" s="1"/>
      <c r="YU20" s="1"/>
      <c r="YV20" s="1"/>
      <c r="YW20" s="55" t="s">
        <v>251</v>
      </c>
      <c r="YX20" s="1"/>
      <c r="YY20" s="56" t="s">
        <v>251</v>
      </c>
      <c r="YZ20" s="1"/>
      <c r="ZA20" s="1"/>
      <c r="ZB20" s="2">
        <v>0</v>
      </c>
      <c r="ZC20" s="55">
        <v>100</v>
      </c>
      <c r="ZD20" s="1"/>
      <c r="ZE20" s="1"/>
      <c r="ZF20" s="1"/>
      <c r="ZG20" s="1"/>
      <c r="ZH20" s="1"/>
      <c r="ZI20" s="1"/>
      <c r="ZJ20" s="55" t="s">
        <v>251</v>
      </c>
      <c r="ZK20" s="1"/>
      <c r="ZL20" s="56" t="s">
        <v>251</v>
      </c>
      <c r="ZM20" s="1"/>
      <c r="ZN20" s="1"/>
      <c r="ZO20" s="2">
        <v>0</v>
      </c>
      <c r="ZP20" s="55">
        <v>100</v>
      </c>
      <c r="ZQ20" s="55" t="s">
        <v>251</v>
      </c>
      <c r="ZR20" s="55" t="s">
        <v>251</v>
      </c>
      <c r="ZS20" s="56" t="s">
        <v>251</v>
      </c>
      <c r="ZT20" s="57" t="s">
        <v>251</v>
      </c>
      <c r="ZU20" s="55" t="s">
        <v>251</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4238421</v>
      </c>
      <c r="F21" s="89">
        <f t="shared" si="401"/>
        <v>1</v>
      </c>
      <c r="G21" s="89" t="str">
        <f t="shared" si="402"/>
        <v>B</v>
      </c>
      <c r="H21" s="37" t="s">
        <v>179</v>
      </c>
      <c r="I21" s="37" t="s">
        <v>180</v>
      </c>
      <c r="J21" s="41" t="s">
        <v>181</v>
      </c>
      <c r="K21" s="90" t="str">
        <f t="shared" si="403"/>
        <v>A</v>
      </c>
      <c r="L21" s="41" t="s">
        <v>119</v>
      </c>
      <c r="M21" s="93">
        <v>42730</v>
      </c>
      <c r="N21" s="41"/>
      <c r="O21" s="43" t="s">
        <v>236</v>
      </c>
      <c r="P21" s="91" t="str">
        <f t="shared" si="404"/>
        <v>Məmmədova Ramilə Xasay</v>
      </c>
      <c r="Q21" s="4">
        <v>1072743</v>
      </c>
      <c r="R21" s="39">
        <v>101</v>
      </c>
      <c r="S21" s="39">
        <v>270</v>
      </c>
      <c r="T21" s="1"/>
      <c r="U21" s="1"/>
      <c r="V21" s="1"/>
      <c r="W21" s="1"/>
      <c r="X21" s="1"/>
      <c r="Y21" s="1"/>
      <c r="Z21" s="1"/>
      <c r="AA21" s="55" t="s">
        <v>251</v>
      </c>
      <c r="AB21" s="1"/>
      <c r="AC21" s="56" t="s">
        <v>251</v>
      </c>
      <c r="AD21" s="1"/>
      <c r="AE21" s="1"/>
      <c r="AF21" s="2">
        <v>18</v>
      </c>
      <c r="AG21" s="55">
        <v>86.666666666666671</v>
      </c>
      <c r="AH21" s="1"/>
      <c r="AI21" s="1"/>
      <c r="AJ21" s="1"/>
      <c r="AK21" s="1"/>
      <c r="AL21" s="1"/>
      <c r="AM21" s="1"/>
      <c r="AN21" s="55" t="s">
        <v>251</v>
      </c>
      <c r="AO21" s="1"/>
      <c r="AP21" s="56" t="s">
        <v>251</v>
      </c>
      <c r="AQ21" s="1"/>
      <c r="AR21" s="1"/>
      <c r="AS21" s="2">
        <v>14</v>
      </c>
      <c r="AT21" s="55">
        <v>89.629629629629633</v>
      </c>
      <c r="AU21" s="55" t="s">
        <v>251</v>
      </c>
      <c r="AV21" s="55" t="s">
        <v>251</v>
      </c>
      <c r="AW21" s="56" t="s">
        <v>251</v>
      </c>
      <c r="AX21" s="57" t="s">
        <v>251</v>
      </c>
      <c r="AY21" s="55" t="s">
        <v>251</v>
      </c>
      <c r="AZ21" s="1"/>
      <c r="BA21" s="58">
        <v>32</v>
      </c>
      <c r="BB21" s="59">
        <v>88.148148148148152</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1269215</v>
      </c>
      <c r="EB21" s="39">
        <v>106</v>
      </c>
      <c r="EC21" s="39">
        <v>33</v>
      </c>
      <c r="ED21" s="1"/>
      <c r="EE21" s="1"/>
      <c r="EF21" s="1"/>
      <c r="EG21" s="1"/>
      <c r="EH21" s="1"/>
      <c r="EI21" s="1"/>
      <c r="EJ21" s="1"/>
      <c r="EK21" s="55" t="s">
        <v>251</v>
      </c>
      <c r="EL21" s="1"/>
      <c r="EM21" s="56" t="s">
        <v>251</v>
      </c>
      <c r="EN21" s="1"/>
      <c r="EO21" s="1"/>
      <c r="EP21" s="2">
        <v>1</v>
      </c>
      <c r="EQ21" s="55">
        <v>93.939393939393938</v>
      </c>
      <c r="ER21" s="1"/>
      <c r="ES21" s="1"/>
      <c r="ET21" s="1"/>
      <c r="EU21" s="1"/>
      <c r="EV21" s="1"/>
      <c r="EW21" s="1"/>
      <c r="EX21" s="55" t="s">
        <v>251</v>
      </c>
      <c r="EY21" s="1"/>
      <c r="EZ21" s="56" t="s">
        <v>251</v>
      </c>
      <c r="FA21" s="1"/>
      <c r="FB21" s="1"/>
      <c r="FC21" s="2">
        <v>0</v>
      </c>
      <c r="FD21" s="55">
        <v>100</v>
      </c>
      <c r="FE21" s="55" t="s">
        <v>251</v>
      </c>
      <c r="FF21" s="55" t="s">
        <v>251</v>
      </c>
      <c r="FG21" s="56" t="s">
        <v>251</v>
      </c>
      <c r="FH21" s="57" t="s">
        <v>251</v>
      </c>
      <c r="FI21" s="55" t="s">
        <v>251</v>
      </c>
      <c r="FJ21" s="1"/>
      <c r="FK21" s="58">
        <v>1</v>
      </c>
      <c r="FL21" s="59">
        <v>96.969696969696969</v>
      </c>
      <c r="FM21" s="4">
        <v>1072743</v>
      </c>
      <c r="FN21" s="39">
        <v>110</v>
      </c>
      <c r="FO21" s="39">
        <v>168</v>
      </c>
      <c r="FP21" s="1"/>
      <c r="FQ21" s="1"/>
      <c r="FR21" s="1"/>
      <c r="FS21" s="1"/>
      <c r="FT21" s="1"/>
      <c r="FU21" s="1"/>
      <c r="FV21" s="1"/>
      <c r="FW21" s="55" t="s">
        <v>251</v>
      </c>
      <c r="FX21" s="1"/>
      <c r="FY21" s="56" t="s">
        <v>251</v>
      </c>
      <c r="FZ21" s="1"/>
      <c r="GA21" s="1"/>
      <c r="GB21" s="2">
        <v>13</v>
      </c>
      <c r="GC21" s="55">
        <v>84.523809523809518</v>
      </c>
      <c r="GD21" s="1"/>
      <c r="GE21" s="1"/>
      <c r="GF21" s="1"/>
      <c r="GG21" s="1"/>
      <c r="GH21" s="1"/>
      <c r="GI21" s="1"/>
      <c r="GJ21" s="55" t="s">
        <v>251</v>
      </c>
      <c r="GK21" s="1"/>
      <c r="GL21" s="56" t="s">
        <v>251</v>
      </c>
      <c r="GM21" s="1"/>
      <c r="GN21" s="1"/>
      <c r="GO21" s="2">
        <v>9</v>
      </c>
      <c r="GP21" s="55">
        <v>89.285714285714292</v>
      </c>
      <c r="GQ21" s="55" t="s">
        <v>251</v>
      </c>
      <c r="GR21" s="55" t="s">
        <v>251</v>
      </c>
      <c r="GS21" s="56" t="s">
        <v>251</v>
      </c>
      <c r="GT21" s="57" t="s">
        <v>251</v>
      </c>
      <c r="GU21" s="55" t="s">
        <v>251</v>
      </c>
      <c r="GV21" s="1"/>
      <c r="GW21" s="58">
        <v>22</v>
      </c>
      <c r="GX21" s="59">
        <v>86.904761904761898</v>
      </c>
      <c r="GY21" s="4">
        <v>1199044</v>
      </c>
      <c r="GZ21" s="39">
        <v>114</v>
      </c>
      <c r="HA21" s="39">
        <v>33</v>
      </c>
      <c r="HB21" s="1"/>
      <c r="HC21" s="1"/>
      <c r="HD21" s="1"/>
      <c r="HE21" s="1"/>
      <c r="HF21" s="1"/>
      <c r="HG21" s="1"/>
      <c r="HH21" s="1"/>
      <c r="HI21" s="55" t="s">
        <v>251</v>
      </c>
      <c r="HJ21" s="1"/>
      <c r="HK21" s="56" t="s">
        <v>251</v>
      </c>
      <c r="HL21" s="1"/>
      <c r="HM21" s="1"/>
      <c r="HN21" s="2">
        <v>0</v>
      </c>
      <c r="HO21" s="55">
        <v>100</v>
      </c>
      <c r="HP21" s="1"/>
      <c r="HQ21" s="1"/>
      <c r="HR21" s="1"/>
      <c r="HS21" s="1"/>
      <c r="HT21" s="1"/>
      <c r="HU21" s="1"/>
      <c r="HV21" s="55" t="s">
        <v>251</v>
      </c>
      <c r="HW21" s="1"/>
      <c r="HX21" s="56" t="s">
        <v>251</v>
      </c>
      <c r="HY21" s="1"/>
      <c r="HZ21" s="1"/>
      <c r="IA21" s="2">
        <v>0</v>
      </c>
      <c r="IB21" s="55">
        <v>100</v>
      </c>
      <c r="IC21" s="55" t="s">
        <v>251</v>
      </c>
      <c r="ID21" s="55" t="s">
        <v>251</v>
      </c>
      <c r="IE21" s="56" t="s">
        <v>251</v>
      </c>
      <c r="IF21" s="57" t="s">
        <v>251</v>
      </c>
      <c r="IG21" s="55" t="s">
        <v>251</v>
      </c>
      <c r="IH21" s="1"/>
      <c r="II21" s="58">
        <v>0</v>
      </c>
      <c r="IJ21" s="59">
        <v>100</v>
      </c>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1072743</v>
      </c>
      <c r="PT21" s="39">
        <v>128</v>
      </c>
      <c r="PU21" s="39">
        <v>33</v>
      </c>
      <c r="PV21" s="1"/>
      <c r="PW21" s="1"/>
      <c r="PX21" s="1"/>
      <c r="PY21" s="1"/>
      <c r="PZ21" s="1"/>
      <c r="QA21" s="1"/>
      <c r="QB21" s="1"/>
      <c r="QC21" s="55" t="s">
        <v>251</v>
      </c>
      <c r="QD21" s="1"/>
      <c r="QE21" s="56" t="s">
        <v>251</v>
      </c>
      <c r="QF21" s="1"/>
      <c r="QG21" s="1"/>
      <c r="QH21" s="2">
        <v>2</v>
      </c>
      <c r="QI21" s="55">
        <v>87.878787878787875</v>
      </c>
      <c r="QJ21" s="1"/>
      <c r="QK21" s="1"/>
      <c r="QL21" s="1"/>
      <c r="QM21" s="1"/>
      <c r="QN21" s="1"/>
      <c r="QO21" s="1"/>
      <c r="QP21" s="55" t="s">
        <v>251</v>
      </c>
      <c r="QQ21" s="1"/>
      <c r="QR21" s="56" t="s">
        <v>251</v>
      </c>
      <c r="QS21" s="1"/>
      <c r="QT21" s="1"/>
      <c r="QU21" s="2">
        <v>1</v>
      </c>
      <c r="QV21" s="55">
        <v>93.939393939393938</v>
      </c>
      <c r="QW21" s="55" t="s">
        <v>251</v>
      </c>
      <c r="QX21" s="55" t="s">
        <v>251</v>
      </c>
      <c r="QY21" s="56" t="s">
        <v>251</v>
      </c>
      <c r="QZ21" s="57" t="s">
        <v>251</v>
      </c>
      <c r="RA21" s="55" t="s">
        <v>251</v>
      </c>
      <c r="RB21" s="1"/>
      <c r="RC21" s="58">
        <v>3</v>
      </c>
      <c r="RD21" s="59">
        <v>90.909090909090907</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1072743</v>
      </c>
      <c r="UD21" s="39">
        <v>131</v>
      </c>
      <c r="UE21" s="39">
        <v>69</v>
      </c>
      <c r="UF21" s="1"/>
      <c r="UG21" s="1"/>
      <c r="UH21" s="1"/>
      <c r="UI21" s="1"/>
      <c r="UJ21" s="1"/>
      <c r="UK21" s="1"/>
      <c r="UL21" s="1"/>
      <c r="UM21" s="55" t="s">
        <v>251</v>
      </c>
      <c r="UN21" s="1"/>
      <c r="UO21" s="56" t="s">
        <v>251</v>
      </c>
      <c r="UP21" s="1"/>
      <c r="UQ21" s="1"/>
      <c r="UR21" s="2">
        <v>3</v>
      </c>
      <c r="US21" s="55">
        <v>91.304347826086953</v>
      </c>
      <c r="UT21" s="1"/>
      <c r="UU21" s="1"/>
      <c r="UV21" s="1"/>
      <c r="UW21" s="1"/>
      <c r="UX21" s="1"/>
      <c r="UY21" s="1"/>
      <c r="UZ21" s="55" t="s">
        <v>251</v>
      </c>
      <c r="VA21" s="1"/>
      <c r="VB21" s="56" t="s">
        <v>251</v>
      </c>
      <c r="VC21" s="1"/>
      <c r="VD21" s="1">
        <v>2</v>
      </c>
      <c r="VE21" s="2"/>
      <c r="VF21" s="55" t="s">
        <v>251</v>
      </c>
      <c r="VG21" s="55" t="s">
        <v>251</v>
      </c>
      <c r="VH21" s="55" t="s">
        <v>251</v>
      </c>
      <c r="VI21" s="56" t="s">
        <v>251</v>
      </c>
      <c r="VJ21" s="57" t="s">
        <v>251</v>
      </c>
      <c r="VK21" s="55">
        <v>2</v>
      </c>
      <c r="VL21" s="1"/>
      <c r="VM21" s="58">
        <v>3</v>
      </c>
      <c r="VN21" s="59">
        <v>95.652173913043484</v>
      </c>
      <c r="VO21" s="4">
        <v>1072743</v>
      </c>
      <c r="VP21" s="39">
        <v>132</v>
      </c>
      <c r="VQ21" s="39">
        <v>34</v>
      </c>
      <c r="VR21" s="1"/>
      <c r="VS21" s="1"/>
      <c r="VT21" s="1"/>
      <c r="VU21" s="1"/>
      <c r="VV21" s="1"/>
      <c r="VW21" s="1"/>
      <c r="VX21" s="1"/>
      <c r="VY21" s="55" t="s">
        <v>251</v>
      </c>
      <c r="VZ21" s="1"/>
      <c r="WA21" s="56" t="s">
        <v>251</v>
      </c>
      <c r="WB21" s="1"/>
      <c r="WC21" s="1"/>
      <c r="WD21" s="2">
        <v>3</v>
      </c>
      <c r="WE21" s="55">
        <v>82.352941176470594</v>
      </c>
      <c r="WF21" s="1"/>
      <c r="WG21" s="1"/>
      <c r="WH21" s="1"/>
      <c r="WI21" s="1"/>
      <c r="WJ21" s="1"/>
      <c r="WK21" s="1"/>
      <c r="WL21" s="55" t="s">
        <v>251</v>
      </c>
      <c r="WM21" s="1"/>
      <c r="WN21" s="56" t="s">
        <v>251</v>
      </c>
      <c r="WO21" s="1"/>
      <c r="WP21" s="1"/>
      <c r="WQ21" s="2">
        <v>1</v>
      </c>
      <c r="WR21" s="55">
        <v>94.117647058823536</v>
      </c>
      <c r="WS21" s="55" t="s">
        <v>251</v>
      </c>
      <c r="WT21" s="55" t="s">
        <v>251</v>
      </c>
      <c r="WU21" s="56" t="s">
        <v>251</v>
      </c>
      <c r="WV21" s="57" t="s">
        <v>251</v>
      </c>
      <c r="WW21" s="55" t="s">
        <v>251</v>
      </c>
      <c r="WX21" s="1"/>
      <c r="WY21" s="58">
        <v>4</v>
      </c>
      <c r="WZ21" s="59">
        <v>88.235294117647058</v>
      </c>
      <c r="XA21" s="4">
        <v>1072748</v>
      </c>
      <c r="XB21" s="39">
        <v>133</v>
      </c>
      <c r="XC21" s="39">
        <v>34</v>
      </c>
      <c r="XD21" s="1"/>
      <c r="XE21" s="1"/>
      <c r="XF21" s="1"/>
      <c r="XG21" s="1"/>
      <c r="XH21" s="1"/>
      <c r="XI21" s="1"/>
      <c r="XJ21" s="1"/>
      <c r="XK21" s="55" t="s">
        <v>251</v>
      </c>
      <c r="XL21" s="1"/>
      <c r="XM21" s="56" t="s">
        <v>251</v>
      </c>
      <c r="XN21" s="1"/>
      <c r="XO21" s="1"/>
      <c r="XP21" s="2">
        <v>1</v>
      </c>
      <c r="XQ21" s="55">
        <v>94.117647058823536</v>
      </c>
      <c r="XR21" s="1"/>
      <c r="XS21" s="1"/>
      <c r="XT21" s="1"/>
      <c r="XU21" s="1"/>
      <c r="XV21" s="1"/>
      <c r="XW21" s="1"/>
      <c r="XX21" s="55" t="s">
        <v>251</v>
      </c>
      <c r="XY21" s="1"/>
      <c r="XZ21" s="56" t="s">
        <v>251</v>
      </c>
      <c r="YA21" s="1"/>
      <c r="YB21" s="1"/>
      <c r="YC21" s="2">
        <v>1</v>
      </c>
      <c r="YD21" s="55">
        <v>94.117647058823536</v>
      </c>
      <c r="YE21" s="55" t="s">
        <v>251</v>
      </c>
      <c r="YF21" s="55" t="s">
        <v>251</v>
      </c>
      <c r="YG21" s="56" t="s">
        <v>251</v>
      </c>
      <c r="YH21" s="57" t="s">
        <v>251</v>
      </c>
      <c r="YI21" s="55" t="s">
        <v>251</v>
      </c>
      <c r="YJ21" s="1"/>
      <c r="YK21" s="58">
        <v>2</v>
      </c>
      <c r="YL21" s="59">
        <v>94.117647058823536</v>
      </c>
      <c r="YM21" s="4">
        <v>1072743</v>
      </c>
      <c r="YN21" s="39">
        <v>135</v>
      </c>
      <c r="YO21" s="39">
        <v>33</v>
      </c>
      <c r="YP21" s="1"/>
      <c r="YQ21" s="1"/>
      <c r="YR21" s="1"/>
      <c r="YS21" s="1"/>
      <c r="YT21" s="1"/>
      <c r="YU21" s="1"/>
      <c r="YV21" s="1"/>
      <c r="YW21" s="55" t="s">
        <v>251</v>
      </c>
      <c r="YX21" s="1"/>
      <c r="YY21" s="56" t="s">
        <v>251</v>
      </c>
      <c r="YZ21" s="1"/>
      <c r="ZA21" s="1"/>
      <c r="ZB21" s="2">
        <v>1</v>
      </c>
      <c r="ZC21" s="55">
        <v>93.939393939393938</v>
      </c>
      <c r="ZD21" s="1"/>
      <c r="ZE21" s="1"/>
      <c r="ZF21" s="1"/>
      <c r="ZG21" s="1"/>
      <c r="ZH21" s="1"/>
      <c r="ZI21" s="1"/>
      <c r="ZJ21" s="55" t="s">
        <v>251</v>
      </c>
      <c r="ZK21" s="1"/>
      <c r="ZL21" s="56" t="s">
        <v>251</v>
      </c>
      <c r="ZM21" s="1"/>
      <c r="ZN21" s="1"/>
      <c r="ZO21" s="2">
        <v>1</v>
      </c>
      <c r="ZP21" s="55">
        <v>93.939393939393938</v>
      </c>
      <c r="ZQ21" s="55" t="s">
        <v>251</v>
      </c>
      <c r="ZR21" s="55" t="s">
        <v>251</v>
      </c>
      <c r="ZS21" s="56" t="s">
        <v>251</v>
      </c>
      <c r="ZT21" s="57" t="s">
        <v>251</v>
      </c>
      <c r="ZU21" s="55" t="s">
        <v>251</v>
      </c>
      <c r="ZV21" s="1"/>
      <c r="ZW21" s="58">
        <v>2</v>
      </c>
      <c r="ZX21" s="59">
        <v>93.939393939393938</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3984644</v>
      </c>
      <c r="F22" s="89">
        <f t="shared" si="401"/>
        <v>1</v>
      </c>
      <c r="G22" s="89" t="str">
        <f t="shared" si="402"/>
        <v>B</v>
      </c>
      <c r="H22" s="37" t="s">
        <v>182</v>
      </c>
      <c r="I22" s="37" t="s">
        <v>183</v>
      </c>
      <c r="J22" s="41" t="s">
        <v>184</v>
      </c>
      <c r="K22" s="90" t="str">
        <f t="shared" si="403"/>
        <v>A</v>
      </c>
      <c r="L22" s="41" t="s">
        <v>117</v>
      </c>
      <c r="M22" s="93">
        <v>42709</v>
      </c>
      <c r="N22" s="41"/>
      <c r="O22" s="43" t="s">
        <v>237</v>
      </c>
      <c r="P22" s="91" t="str">
        <f t="shared" si="404"/>
        <v>Məmmədova Ramilə Xasay</v>
      </c>
      <c r="Q22" s="4">
        <v>1072743</v>
      </c>
      <c r="R22" s="39">
        <v>101</v>
      </c>
      <c r="S22" s="39">
        <v>270</v>
      </c>
      <c r="T22" s="1"/>
      <c r="U22" s="1"/>
      <c r="V22" s="1"/>
      <c r="W22" s="1"/>
      <c r="X22" s="1"/>
      <c r="Y22" s="1"/>
      <c r="Z22" s="1"/>
      <c r="AA22" s="55" t="s">
        <v>251</v>
      </c>
      <c r="AB22" s="1"/>
      <c r="AC22" s="56" t="s">
        <v>251</v>
      </c>
      <c r="AD22" s="1"/>
      <c r="AE22" s="1"/>
      <c r="AF22" s="2">
        <v>4</v>
      </c>
      <c r="AG22" s="55">
        <v>97.037037037037038</v>
      </c>
      <c r="AH22" s="1"/>
      <c r="AI22" s="1"/>
      <c r="AJ22" s="1"/>
      <c r="AK22" s="1"/>
      <c r="AL22" s="1"/>
      <c r="AM22" s="1"/>
      <c r="AN22" s="55" t="s">
        <v>251</v>
      </c>
      <c r="AO22" s="1"/>
      <c r="AP22" s="56" t="s">
        <v>251</v>
      </c>
      <c r="AQ22" s="1"/>
      <c r="AR22" s="1"/>
      <c r="AS22" s="2">
        <v>0</v>
      </c>
      <c r="AT22" s="55">
        <v>100</v>
      </c>
      <c r="AU22" s="55" t="s">
        <v>251</v>
      </c>
      <c r="AV22" s="55" t="s">
        <v>251</v>
      </c>
      <c r="AW22" s="56" t="s">
        <v>251</v>
      </c>
      <c r="AX22" s="57" t="s">
        <v>251</v>
      </c>
      <c r="AY22" s="55" t="s">
        <v>251</v>
      </c>
      <c r="AZ22" s="1"/>
      <c r="BA22" s="58">
        <v>4</v>
      </c>
      <c r="BB22" s="59">
        <v>98.518518518518519</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1269215</v>
      </c>
      <c r="EB22" s="39">
        <v>106</v>
      </c>
      <c r="EC22" s="39">
        <v>33</v>
      </c>
      <c r="ED22" s="1"/>
      <c r="EE22" s="1"/>
      <c r="EF22" s="1"/>
      <c r="EG22" s="1"/>
      <c r="EH22" s="1"/>
      <c r="EI22" s="1"/>
      <c r="EJ22" s="1"/>
      <c r="EK22" s="55" t="s">
        <v>251</v>
      </c>
      <c r="EL22" s="1"/>
      <c r="EM22" s="56" t="s">
        <v>251</v>
      </c>
      <c r="EN22" s="1"/>
      <c r="EO22" s="1"/>
      <c r="EP22" s="2">
        <v>0</v>
      </c>
      <c r="EQ22" s="55">
        <v>100</v>
      </c>
      <c r="ER22" s="1"/>
      <c r="ES22" s="1"/>
      <c r="ET22" s="1"/>
      <c r="EU22" s="1"/>
      <c r="EV22" s="1"/>
      <c r="EW22" s="1"/>
      <c r="EX22" s="55" t="s">
        <v>251</v>
      </c>
      <c r="EY22" s="1"/>
      <c r="EZ22" s="56" t="s">
        <v>251</v>
      </c>
      <c r="FA22" s="1"/>
      <c r="FB22" s="1"/>
      <c r="FC22" s="2">
        <v>0</v>
      </c>
      <c r="FD22" s="55">
        <v>100</v>
      </c>
      <c r="FE22" s="55" t="s">
        <v>251</v>
      </c>
      <c r="FF22" s="55" t="s">
        <v>251</v>
      </c>
      <c r="FG22" s="56" t="s">
        <v>251</v>
      </c>
      <c r="FH22" s="57" t="s">
        <v>251</v>
      </c>
      <c r="FI22" s="55" t="s">
        <v>251</v>
      </c>
      <c r="FJ22" s="1"/>
      <c r="FK22" s="58">
        <v>0</v>
      </c>
      <c r="FL22" s="59">
        <v>100</v>
      </c>
      <c r="FM22" s="4">
        <v>1072743</v>
      </c>
      <c r="FN22" s="39">
        <v>110</v>
      </c>
      <c r="FO22" s="39">
        <v>168</v>
      </c>
      <c r="FP22" s="1"/>
      <c r="FQ22" s="1"/>
      <c r="FR22" s="1"/>
      <c r="FS22" s="1"/>
      <c r="FT22" s="1"/>
      <c r="FU22" s="1"/>
      <c r="FV22" s="1"/>
      <c r="FW22" s="55" t="s">
        <v>251</v>
      </c>
      <c r="FX22" s="1"/>
      <c r="FY22" s="56" t="s">
        <v>251</v>
      </c>
      <c r="FZ22" s="1"/>
      <c r="GA22" s="1"/>
      <c r="GB22" s="2">
        <v>2</v>
      </c>
      <c r="GC22" s="55">
        <v>97.61904761904762</v>
      </c>
      <c r="GD22" s="1"/>
      <c r="GE22" s="1"/>
      <c r="GF22" s="1"/>
      <c r="GG22" s="1"/>
      <c r="GH22" s="1"/>
      <c r="GI22" s="1"/>
      <c r="GJ22" s="55" t="s">
        <v>251</v>
      </c>
      <c r="GK22" s="1"/>
      <c r="GL22" s="56" t="s">
        <v>251</v>
      </c>
      <c r="GM22" s="1"/>
      <c r="GN22" s="1"/>
      <c r="GO22" s="2">
        <v>1</v>
      </c>
      <c r="GP22" s="55">
        <v>98.80952380952381</v>
      </c>
      <c r="GQ22" s="55" t="s">
        <v>251</v>
      </c>
      <c r="GR22" s="55" t="s">
        <v>251</v>
      </c>
      <c r="GS22" s="56" t="s">
        <v>251</v>
      </c>
      <c r="GT22" s="57" t="s">
        <v>251</v>
      </c>
      <c r="GU22" s="55" t="s">
        <v>251</v>
      </c>
      <c r="GV22" s="1"/>
      <c r="GW22" s="58">
        <v>3</v>
      </c>
      <c r="GX22" s="59">
        <v>98.214285714285708</v>
      </c>
      <c r="GY22" s="4">
        <v>1199044</v>
      </c>
      <c r="GZ22" s="39">
        <v>114</v>
      </c>
      <c r="HA22" s="39">
        <v>33</v>
      </c>
      <c r="HB22" s="1"/>
      <c r="HC22" s="1"/>
      <c r="HD22" s="1"/>
      <c r="HE22" s="1"/>
      <c r="HF22" s="1"/>
      <c r="HG22" s="1"/>
      <c r="HH22" s="1"/>
      <c r="HI22" s="55" t="s">
        <v>251</v>
      </c>
      <c r="HJ22" s="1"/>
      <c r="HK22" s="56" t="s">
        <v>251</v>
      </c>
      <c r="HL22" s="1"/>
      <c r="HM22" s="1"/>
      <c r="HN22" s="2">
        <v>0</v>
      </c>
      <c r="HO22" s="55">
        <v>100</v>
      </c>
      <c r="HP22" s="1"/>
      <c r="HQ22" s="1"/>
      <c r="HR22" s="1"/>
      <c r="HS22" s="1"/>
      <c r="HT22" s="1"/>
      <c r="HU22" s="1"/>
      <c r="HV22" s="55" t="s">
        <v>251</v>
      </c>
      <c r="HW22" s="1"/>
      <c r="HX22" s="56" t="s">
        <v>251</v>
      </c>
      <c r="HY22" s="1"/>
      <c r="HZ22" s="1"/>
      <c r="IA22" s="2">
        <v>0</v>
      </c>
      <c r="IB22" s="55">
        <v>100</v>
      </c>
      <c r="IC22" s="55" t="s">
        <v>251</v>
      </c>
      <c r="ID22" s="55" t="s">
        <v>251</v>
      </c>
      <c r="IE22" s="56" t="s">
        <v>251</v>
      </c>
      <c r="IF22" s="57" t="s">
        <v>251</v>
      </c>
      <c r="IG22" s="55" t="s">
        <v>251</v>
      </c>
      <c r="IH22" s="1"/>
      <c r="II22" s="58">
        <v>0</v>
      </c>
      <c r="IJ22" s="59">
        <v>100</v>
      </c>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1072743</v>
      </c>
      <c r="PT22" s="39">
        <v>128</v>
      </c>
      <c r="PU22" s="39">
        <v>33</v>
      </c>
      <c r="PV22" s="1"/>
      <c r="PW22" s="1"/>
      <c r="PX22" s="1"/>
      <c r="PY22" s="1"/>
      <c r="PZ22" s="1"/>
      <c r="QA22" s="1"/>
      <c r="QB22" s="1"/>
      <c r="QC22" s="55" t="s">
        <v>251</v>
      </c>
      <c r="QD22" s="1"/>
      <c r="QE22" s="56" t="s">
        <v>251</v>
      </c>
      <c r="QF22" s="1"/>
      <c r="QG22" s="1"/>
      <c r="QH22" s="2">
        <v>1</v>
      </c>
      <c r="QI22" s="55">
        <v>93.939393939393938</v>
      </c>
      <c r="QJ22" s="1"/>
      <c r="QK22" s="1"/>
      <c r="QL22" s="1"/>
      <c r="QM22" s="1"/>
      <c r="QN22" s="1"/>
      <c r="QO22" s="1"/>
      <c r="QP22" s="55" t="s">
        <v>251</v>
      </c>
      <c r="QQ22" s="1"/>
      <c r="QR22" s="56" t="s">
        <v>251</v>
      </c>
      <c r="QS22" s="1"/>
      <c r="QT22" s="1"/>
      <c r="QU22" s="2">
        <v>1</v>
      </c>
      <c r="QV22" s="55">
        <v>93.939393939393938</v>
      </c>
      <c r="QW22" s="55" t="s">
        <v>251</v>
      </c>
      <c r="QX22" s="55" t="s">
        <v>251</v>
      </c>
      <c r="QY22" s="56" t="s">
        <v>251</v>
      </c>
      <c r="QZ22" s="57" t="s">
        <v>251</v>
      </c>
      <c r="RA22" s="55" t="s">
        <v>251</v>
      </c>
      <c r="RB22" s="1"/>
      <c r="RC22" s="58">
        <v>2</v>
      </c>
      <c r="RD22" s="59">
        <v>93.939393939393938</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1072743</v>
      </c>
      <c r="UD22" s="39">
        <v>131</v>
      </c>
      <c r="UE22" s="39">
        <v>69</v>
      </c>
      <c r="UF22" s="1"/>
      <c r="UG22" s="1"/>
      <c r="UH22" s="1"/>
      <c r="UI22" s="1"/>
      <c r="UJ22" s="1"/>
      <c r="UK22" s="1"/>
      <c r="UL22" s="1"/>
      <c r="UM22" s="55" t="s">
        <v>251</v>
      </c>
      <c r="UN22" s="1"/>
      <c r="UO22" s="56" t="s">
        <v>251</v>
      </c>
      <c r="UP22" s="1"/>
      <c r="UQ22" s="1"/>
      <c r="UR22" s="2">
        <v>0</v>
      </c>
      <c r="US22" s="55">
        <v>100</v>
      </c>
      <c r="UT22" s="1"/>
      <c r="UU22" s="1"/>
      <c r="UV22" s="1"/>
      <c r="UW22" s="1"/>
      <c r="UX22" s="1"/>
      <c r="UY22" s="1"/>
      <c r="UZ22" s="55" t="s">
        <v>251</v>
      </c>
      <c r="VA22" s="1"/>
      <c r="VB22" s="56" t="s">
        <v>251</v>
      </c>
      <c r="VC22" s="1"/>
      <c r="VD22" s="1">
        <v>1</v>
      </c>
      <c r="VE22" s="2"/>
      <c r="VF22" s="55" t="s">
        <v>251</v>
      </c>
      <c r="VG22" s="55" t="s">
        <v>251</v>
      </c>
      <c r="VH22" s="55" t="s">
        <v>251</v>
      </c>
      <c r="VI22" s="56" t="s">
        <v>251</v>
      </c>
      <c r="VJ22" s="57" t="s">
        <v>251</v>
      </c>
      <c r="VK22" s="55">
        <v>1</v>
      </c>
      <c r="VL22" s="1"/>
      <c r="VM22" s="58">
        <v>0</v>
      </c>
      <c r="VN22" s="59">
        <v>100</v>
      </c>
      <c r="VO22" s="4">
        <v>1072743</v>
      </c>
      <c r="VP22" s="39">
        <v>132</v>
      </c>
      <c r="VQ22" s="39">
        <v>34</v>
      </c>
      <c r="VR22" s="1"/>
      <c r="VS22" s="1"/>
      <c r="VT22" s="1"/>
      <c r="VU22" s="1"/>
      <c r="VV22" s="1"/>
      <c r="VW22" s="1"/>
      <c r="VX22" s="1"/>
      <c r="VY22" s="55" t="s">
        <v>251</v>
      </c>
      <c r="VZ22" s="1"/>
      <c r="WA22" s="56" t="s">
        <v>251</v>
      </c>
      <c r="WB22" s="1"/>
      <c r="WC22" s="1"/>
      <c r="WD22" s="2">
        <v>3</v>
      </c>
      <c r="WE22" s="55">
        <v>82.352941176470594</v>
      </c>
      <c r="WF22" s="1"/>
      <c r="WG22" s="1"/>
      <c r="WH22" s="1"/>
      <c r="WI22" s="1"/>
      <c r="WJ22" s="1"/>
      <c r="WK22" s="1"/>
      <c r="WL22" s="55" t="s">
        <v>251</v>
      </c>
      <c r="WM22" s="1"/>
      <c r="WN22" s="56" t="s">
        <v>251</v>
      </c>
      <c r="WO22" s="1"/>
      <c r="WP22" s="1"/>
      <c r="WQ22" s="2">
        <v>0</v>
      </c>
      <c r="WR22" s="55">
        <v>100</v>
      </c>
      <c r="WS22" s="55" t="s">
        <v>251</v>
      </c>
      <c r="WT22" s="55" t="s">
        <v>251</v>
      </c>
      <c r="WU22" s="56" t="s">
        <v>251</v>
      </c>
      <c r="WV22" s="57" t="s">
        <v>251</v>
      </c>
      <c r="WW22" s="55" t="s">
        <v>251</v>
      </c>
      <c r="WX22" s="1"/>
      <c r="WY22" s="58">
        <v>3</v>
      </c>
      <c r="WZ22" s="59">
        <v>91.17647058823529</v>
      </c>
      <c r="XA22" s="4">
        <v>1072748</v>
      </c>
      <c r="XB22" s="39">
        <v>133</v>
      </c>
      <c r="XC22" s="39">
        <v>34</v>
      </c>
      <c r="XD22" s="1"/>
      <c r="XE22" s="1"/>
      <c r="XF22" s="1"/>
      <c r="XG22" s="1"/>
      <c r="XH22" s="1"/>
      <c r="XI22" s="1"/>
      <c r="XJ22" s="1"/>
      <c r="XK22" s="55" t="s">
        <v>251</v>
      </c>
      <c r="XL22" s="1"/>
      <c r="XM22" s="56" t="s">
        <v>251</v>
      </c>
      <c r="XN22" s="1"/>
      <c r="XO22" s="1"/>
      <c r="XP22" s="2">
        <v>0</v>
      </c>
      <c r="XQ22" s="55">
        <v>100</v>
      </c>
      <c r="XR22" s="1"/>
      <c r="XS22" s="1"/>
      <c r="XT22" s="1"/>
      <c r="XU22" s="1"/>
      <c r="XV22" s="1"/>
      <c r="XW22" s="1"/>
      <c r="XX22" s="55" t="s">
        <v>251</v>
      </c>
      <c r="XY22" s="1"/>
      <c r="XZ22" s="56" t="s">
        <v>251</v>
      </c>
      <c r="YA22" s="1"/>
      <c r="YB22" s="1"/>
      <c r="YC22" s="2">
        <v>0</v>
      </c>
      <c r="YD22" s="55">
        <v>100</v>
      </c>
      <c r="YE22" s="55" t="s">
        <v>251</v>
      </c>
      <c r="YF22" s="55" t="s">
        <v>251</v>
      </c>
      <c r="YG22" s="56" t="s">
        <v>251</v>
      </c>
      <c r="YH22" s="57" t="s">
        <v>251</v>
      </c>
      <c r="YI22" s="55" t="s">
        <v>251</v>
      </c>
      <c r="YJ22" s="1"/>
      <c r="YK22" s="58">
        <v>0</v>
      </c>
      <c r="YL22" s="59">
        <v>100</v>
      </c>
      <c r="YM22" s="4">
        <v>1072743</v>
      </c>
      <c r="YN22" s="39">
        <v>135</v>
      </c>
      <c r="YO22" s="39">
        <v>33</v>
      </c>
      <c r="YP22" s="1"/>
      <c r="YQ22" s="1"/>
      <c r="YR22" s="1"/>
      <c r="YS22" s="1"/>
      <c r="YT22" s="1"/>
      <c r="YU22" s="1"/>
      <c r="YV22" s="1"/>
      <c r="YW22" s="55" t="s">
        <v>251</v>
      </c>
      <c r="YX22" s="1"/>
      <c r="YY22" s="56" t="s">
        <v>251</v>
      </c>
      <c r="YZ22" s="1"/>
      <c r="ZA22" s="1"/>
      <c r="ZB22" s="2">
        <v>0</v>
      </c>
      <c r="ZC22" s="55">
        <v>100</v>
      </c>
      <c r="ZD22" s="1"/>
      <c r="ZE22" s="1"/>
      <c r="ZF22" s="1"/>
      <c r="ZG22" s="1"/>
      <c r="ZH22" s="1"/>
      <c r="ZI22" s="1"/>
      <c r="ZJ22" s="55" t="s">
        <v>251</v>
      </c>
      <c r="ZK22" s="1"/>
      <c r="ZL22" s="56" t="s">
        <v>251</v>
      </c>
      <c r="ZM22" s="1"/>
      <c r="ZN22" s="1"/>
      <c r="ZO22" s="2">
        <v>0</v>
      </c>
      <c r="ZP22" s="55">
        <v>100</v>
      </c>
      <c r="ZQ22" s="55" t="s">
        <v>251</v>
      </c>
      <c r="ZR22" s="55" t="s">
        <v>251</v>
      </c>
      <c r="ZS22" s="56" t="s">
        <v>251</v>
      </c>
      <c r="ZT22" s="57" t="s">
        <v>251</v>
      </c>
      <c r="ZU22" s="55" t="s">
        <v>251</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3984656</v>
      </c>
      <c r="F23" s="89">
        <f t="shared" si="401"/>
        <v>1</v>
      </c>
      <c r="G23" s="89" t="str">
        <f t="shared" si="402"/>
        <v>B</v>
      </c>
      <c r="H23" s="37" t="s">
        <v>182</v>
      </c>
      <c r="I23" s="37" t="s">
        <v>185</v>
      </c>
      <c r="J23" s="41" t="s">
        <v>186</v>
      </c>
      <c r="K23" s="90" t="str">
        <f t="shared" si="403"/>
        <v>A</v>
      </c>
      <c r="L23" s="41" t="s">
        <v>119</v>
      </c>
      <c r="M23" s="93">
        <v>42599</v>
      </c>
      <c r="N23" s="41"/>
      <c r="O23" s="43" t="s">
        <v>238</v>
      </c>
      <c r="P23" s="91" t="str">
        <f t="shared" si="404"/>
        <v>Məmmədova Ramilə Xasay</v>
      </c>
      <c r="Q23" s="4">
        <v>1072743</v>
      </c>
      <c r="R23" s="39">
        <v>101</v>
      </c>
      <c r="S23" s="39">
        <v>270</v>
      </c>
      <c r="T23" s="1"/>
      <c r="U23" s="1"/>
      <c r="V23" s="1"/>
      <c r="W23" s="1"/>
      <c r="X23" s="1"/>
      <c r="Y23" s="1"/>
      <c r="Z23" s="1"/>
      <c r="AA23" s="55" t="s">
        <v>251</v>
      </c>
      <c r="AB23" s="1"/>
      <c r="AC23" s="56" t="s">
        <v>251</v>
      </c>
      <c r="AD23" s="1"/>
      <c r="AE23" s="1"/>
      <c r="AF23" s="2">
        <v>0</v>
      </c>
      <c r="AG23" s="55">
        <v>100</v>
      </c>
      <c r="AH23" s="1"/>
      <c r="AI23" s="1"/>
      <c r="AJ23" s="1"/>
      <c r="AK23" s="1"/>
      <c r="AL23" s="1"/>
      <c r="AM23" s="1"/>
      <c r="AN23" s="55" t="s">
        <v>251</v>
      </c>
      <c r="AO23" s="1"/>
      <c r="AP23" s="56" t="s">
        <v>251</v>
      </c>
      <c r="AQ23" s="1"/>
      <c r="AR23" s="1"/>
      <c r="AS23" s="2">
        <v>4</v>
      </c>
      <c r="AT23" s="55">
        <v>97.037037037037038</v>
      </c>
      <c r="AU23" s="55" t="s">
        <v>251</v>
      </c>
      <c r="AV23" s="55" t="s">
        <v>251</v>
      </c>
      <c r="AW23" s="56" t="s">
        <v>251</v>
      </c>
      <c r="AX23" s="57" t="s">
        <v>251</v>
      </c>
      <c r="AY23" s="55" t="s">
        <v>251</v>
      </c>
      <c r="AZ23" s="1"/>
      <c r="BA23" s="58">
        <v>4</v>
      </c>
      <c r="BB23" s="59">
        <v>98.518518518518519</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1273950</v>
      </c>
      <c r="EB23" s="39">
        <v>106</v>
      </c>
      <c r="EC23" s="39">
        <v>33</v>
      </c>
      <c r="ED23" s="1"/>
      <c r="EE23" s="1"/>
      <c r="EF23" s="1"/>
      <c r="EG23" s="1"/>
      <c r="EH23" s="1"/>
      <c r="EI23" s="1"/>
      <c r="EJ23" s="1"/>
      <c r="EK23" s="55" t="s">
        <v>251</v>
      </c>
      <c r="EL23" s="1"/>
      <c r="EM23" s="56" t="s">
        <v>251</v>
      </c>
      <c r="EN23" s="1"/>
      <c r="EO23" s="1"/>
      <c r="EP23" s="2">
        <v>0</v>
      </c>
      <c r="EQ23" s="55">
        <v>100</v>
      </c>
      <c r="ER23" s="1"/>
      <c r="ES23" s="1"/>
      <c r="ET23" s="1"/>
      <c r="EU23" s="1"/>
      <c r="EV23" s="1"/>
      <c r="EW23" s="1"/>
      <c r="EX23" s="55" t="s">
        <v>251</v>
      </c>
      <c r="EY23" s="1"/>
      <c r="EZ23" s="56" t="s">
        <v>251</v>
      </c>
      <c r="FA23" s="1"/>
      <c r="FB23" s="1"/>
      <c r="FC23" s="2">
        <v>0</v>
      </c>
      <c r="FD23" s="55">
        <v>100</v>
      </c>
      <c r="FE23" s="55" t="s">
        <v>251</v>
      </c>
      <c r="FF23" s="55" t="s">
        <v>251</v>
      </c>
      <c r="FG23" s="56" t="s">
        <v>251</v>
      </c>
      <c r="FH23" s="57" t="s">
        <v>251</v>
      </c>
      <c r="FI23" s="55" t="s">
        <v>251</v>
      </c>
      <c r="FJ23" s="1"/>
      <c r="FK23" s="58">
        <v>0</v>
      </c>
      <c r="FL23" s="59">
        <v>100</v>
      </c>
      <c r="FM23" s="4">
        <v>1072743</v>
      </c>
      <c r="FN23" s="39">
        <v>110</v>
      </c>
      <c r="FO23" s="39">
        <v>168</v>
      </c>
      <c r="FP23" s="1"/>
      <c r="FQ23" s="1"/>
      <c r="FR23" s="1"/>
      <c r="FS23" s="1"/>
      <c r="FT23" s="1"/>
      <c r="FU23" s="1"/>
      <c r="FV23" s="1"/>
      <c r="FW23" s="55" t="s">
        <v>251</v>
      </c>
      <c r="FX23" s="1"/>
      <c r="FY23" s="56" t="s">
        <v>251</v>
      </c>
      <c r="FZ23" s="1"/>
      <c r="GA23" s="1"/>
      <c r="GB23" s="2">
        <v>0</v>
      </c>
      <c r="GC23" s="55">
        <v>100</v>
      </c>
      <c r="GD23" s="1"/>
      <c r="GE23" s="1"/>
      <c r="GF23" s="1"/>
      <c r="GG23" s="1"/>
      <c r="GH23" s="1"/>
      <c r="GI23" s="1"/>
      <c r="GJ23" s="55" t="s">
        <v>251</v>
      </c>
      <c r="GK23" s="1"/>
      <c r="GL23" s="56" t="s">
        <v>251</v>
      </c>
      <c r="GM23" s="1"/>
      <c r="GN23" s="1"/>
      <c r="GO23" s="2">
        <v>3</v>
      </c>
      <c r="GP23" s="55">
        <v>96.428571428571431</v>
      </c>
      <c r="GQ23" s="55" t="s">
        <v>251</v>
      </c>
      <c r="GR23" s="55" t="s">
        <v>251</v>
      </c>
      <c r="GS23" s="56" t="s">
        <v>251</v>
      </c>
      <c r="GT23" s="57" t="s">
        <v>251</v>
      </c>
      <c r="GU23" s="55" t="s">
        <v>251</v>
      </c>
      <c r="GV23" s="1"/>
      <c r="GW23" s="58">
        <v>3</v>
      </c>
      <c r="GX23" s="59">
        <v>98.214285714285708</v>
      </c>
      <c r="GY23" s="4">
        <v>1199044</v>
      </c>
      <c r="GZ23" s="39">
        <v>114</v>
      </c>
      <c r="HA23" s="39">
        <v>33</v>
      </c>
      <c r="HB23" s="1"/>
      <c r="HC23" s="1"/>
      <c r="HD23" s="1"/>
      <c r="HE23" s="1"/>
      <c r="HF23" s="1"/>
      <c r="HG23" s="1"/>
      <c r="HH23" s="1"/>
      <c r="HI23" s="55" t="s">
        <v>251</v>
      </c>
      <c r="HJ23" s="1"/>
      <c r="HK23" s="56" t="s">
        <v>251</v>
      </c>
      <c r="HL23" s="1"/>
      <c r="HM23" s="1"/>
      <c r="HN23" s="2">
        <v>0</v>
      </c>
      <c r="HO23" s="55">
        <v>100</v>
      </c>
      <c r="HP23" s="1"/>
      <c r="HQ23" s="1"/>
      <c r="HR23" s="1"/>
      <c r="HS23" s="1"/>
      <c r="HT23" s="1"/>
      <c r="HU23" s="1"/>
      <c r="HV23" s="55" t="s">
        <v>251</v>
      </c>
      <c r="HW23" s="1"/>
      <c r="HX23" s="56" t="s">
        <v>251</v>
      </c>
      <c r="HY23" s="1"/>
      <c r="HZ23" s="1"/>
      <c r="IA23" s="2">
        <v>0</v>
      </c>
      <c r="IB23" s="55">
        <v>100</v>
      </c>
      <c r="IC23" s="55" t="s">
        <v>251</v>
      </c>
      <c r="ID23" s="55" t="s">
        <v>251</v>
      </c>
      <c r="IE23" s="56" t="s">
        <v>251</v>
      </c>
      <c r="IF23" s="57" t="s">
        <v>251</v>
      </c>
      <c r="IG23" s="55" t="s">
        <v>251</v>
      </c>
      <c r="IH23" s="1"/>
      <c r="II23" s="58">
        <v>0</v>
      </c>
      <c r="IJ23" s="59">
        <v>100</v>
      </c>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1072743</v>
      </c>
      <c r="PT23" s="39">
        <v>128</v>
      </c>
      <c r="PU23" s="39">
        <v>33</v>
      </c>
      <c r="PV23" s="1"/>
      <c r="PW23" s="1"/>
      <c r="PX23" s="1"/>
      <c r="PY23" s="1"/>
      <c r="PZ23" s="1"/>
      <c r="QA23" s="1"/>
      <c r="QB23" s="1"/>
      <c r="QC23" s="55" t="s">
        <v>251</v>
      </c>
      <c r="QD23" s="1"/>
      <c r="QE23" s="56" t="s">
        <v>251</v>
      </c>
      <c r="QF23" s="1"/>
      <c r="QG23" s="1"/>
      <c r="QH23" s="2">
        <v>0</v>
      </c>
      <c r="QI23" s="55">
        <v>100</v>
      </c>
      <c r="QJ23" s="1"/>
      <c r="QK23" s="1"/>
      <c r="QL23" s="1"/>
      <c r="QM23" s="1"/>
      <c r="QN23" s="1"/>
      <c r="QO23" s="1"/>
      <c r="QP23" s="55" t="s">
        <v>251</v>
      </c>
      <c r="QQ23" s="1"/>
      <c r="QR23" s="56" t="s">
        <v>251</v>
      </c>
      <c r="QS23" s="1"/>
      <c r="QT23" s="1"/>
      <c r="QU23" s="2">
        <v>0</v>
      </c>
      <c r="QV23" s="55">
        <v>100</v>
      </c>
      <c r="QW23" s="55" t="s">
        <v>251</v>
      </c>
      <c r="QX23" s="55" t="s">
        <v>251</v>
      </c>
      <c r="QY23" s="56" t="s">
        <v>251</v>
      </c>
      <c r="QZ23" s="57" t="s">
        <v>251</v>
      </c>
      <c r="RA23" s="55" t="s">
        <v>251</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1072743</v>
      </c>
      <c r="UD23" s="39">
        <v>131</v>
      </c>
      <c r="UE23" s="39">
        <v>69</v>
      </c>
      <c r="UF23" s="1"/>
      <c r="UG23" s="1"/>
      <c r="UH23" s="1"/>
      <c r="UI23" s="1"/>
      <c r="UJ23" s="1"/>
      <c r="UK23" s="1"/>
      <c r="UL23" s="1"/>
      <c r="UM23" s="55" t="s">
        <v>251</v>
      </c>
      <c r="UN23" s="1"/>
      <c r="UO23" s="56" t="s">
        <v>251</v>
      </c>
      <c r="UP23" s="1"/>
      <c r="UQ23" s="1"/>
      <c r="UR23" s="2">
        <v>0</v>
      </c>
      <c r="US23" s="55">
        <v>100</v>
      </c>
      <c r="UT23" s="1"/>
      <c r="UU23" s="1"/>
      <c r="UV23" s="1"/>
      <c r="UW23" s="1"/>
      <c r="UX23" s="1"/>
      <c r="UY23" s="1"/>
      <c r="UZ23" s="55" t="s">
        <v>251</v>
      </c>
      <c r="VA23" s="1"/>
      <c r="VB23" s="56" t="s">
        <v>251</v>
      </c>
      <c r="VC23" s="1"/>
      <c r="VD23" s="1">
        <v>1</v>
      </c>
      <c r="VE23" s="2"/>
      <c r="VF23" s="55" t="s">
        <v>251</v>
      </c>
      <c r="VG23" s="55" t="s">
        <v>251</v>
      </c>
      <c r="VH23" s="55" t="s">
        <v>251</v>
      </c>
      <c r="VI23" s="56" t="s">
        <v>251</v>
      </c>
      <c r="VJ23" s="57" t="s">
        <v>251</v>
      </c>
      <c r="VK23" s="55">
        <v>1</v>
      </c>
      <c r="VL23" s="1"/>
      <c r="VM23" s="58">
        <v>0</v>
      </c>
      <c r="VN23" s="59">
        <v>100</v>
      </c>
      <c r="VO23" s="4">
        <v>1072743</v>
      </c>
      <c r="VP23" s="39">
        <v>132</v>
      </c>
      <c r="VQ23" s="39">
        <v>34</v>
      </c>
      <c r="VR23" s="1"/>
      <c r="VS23" s="1"/>
      <c r="VT23" s="1"/>
      <c r="VU23" s="1"/>
      <c r="VV23" s="1"/>
      <c r="VW23" s="1"/>
      <c r="VX23" s="1"/>
      <c r="VY23" s="55" t="s">
        <v>251</v>
      </c>
      <c r="VZ23" s="1"/>
      <c r="WA23" s="56" t="s">
        <v>251</v>
      </c>
      <c r="WB23" s="1"/>
      <c r="WC23" s="1"/>
      <c r="WD23" s="2">
        <v>0</v>
      </c>
      <c r="WE23" s="55">
        <v>100</v>
      </c>
      <c r="WF23" s="1"/>
      <c r="WG23" s="1"/>
      <c r="WH23" s="1"/>
      <c r="WI23" s="1"/>
      <c r="WJ23" s="1"/>
      <c r="WK23" s="1"/>
      <c r="WL23" s="55" t="s">
        <v>251</v>
      </c>
      <c r="WM23" s="1"/>
      <c r="WN23" s="56" t="s">
        <v>251</v>
      </c>
      <c r="WO23" s="1"/>
      <c r="WP23" s="1"/>
      <c r="WQ23" s="2">
        <v>0</v>
      </c>
      <c r="WR23" s="55">
        <v>100</v>
      </c>
      <c r="WS23" s="55" t="s">
        <v>251</v>
      </c>
      <c r="WT23" s="55" t="s">
        <v>251</v>
      </c>
      <c r="WU23" s="56" t="s">
        <v>251</v>
      </c>
      <c r="WV23" s="57" t="s">
        <v>251</v>
      </c>
      <c r="WW23" s="55" t="s">
        <v>251</v>
      </c>
      <c r="WX23" s="1"/>
      <c r="WY23" s="58">
        <v>0</v>
      </c>
      <c r="WZ23" s="59">
        <v>100</v>
      </c>
      <c r="XA23" s="4">
        <v>1072748</v>
      </c>
      <c r="XB23" s="39">
        <v>133</v>
      </c>
      <c r="XC23" s="39">
        <v>34</v>
      </c>
      <c r="XD23" s="1"/>
      <c r="XE23" s="1"/>
      <c r="XF23" s="1"/>
      <c r="XG23" s="1"/>
      <c r="XH23" s="1"/>
      <c r="XI23" s="1"/>
      <c r="XJ23" s="1"/>
      <c r="XK23" s="55" t="s">
        <v>251</v>
      </c>
      <c r="XL23" s="1"/>
      <c r="XM23" s="56" t="s">
        <v>251</v>
      </c>
      <c r="XN23" s="1"/>
      <c r="XO23" s="1"/>
      <c r="XP23" s="2">
        <v>0</v>
      </c>
      <c r="XQ23" s="55">
        <v>100</v>
      </c>
      <c r="XR23" s="1"/>
      <c r="XS23" s="1"/>
      <c r="XT23" s="1"/>
      <c r="XU23" s="1"/>
      <c r="XV23" s="1"/>
      <c r="XW23" s="1"/>
      <c r="XX23" s="55" t="s">
        <v>251</v>
      </c>
      <c r="XY23" s="1"/>
      <c r="XZ23" s="56" t="s">
        <v>251</v>
      </c>
      <c r="YA23" s="1"/>
      <c r="YB23" s="1"/>
      <c r="YC23" s="2">
        <v>0</v>
      </c>
      <c r="YD23" s="55">
        <v>100</v>
      </c>
      <c r="YE23" s="55" t="s">
        <v>251</v>
      </c>
      <c r="YF23" s="55" t="s">
        <v>251</v>
      </c>
      <c r="YG23" s="56" t="s">
        <v>251</v>
      </c>
      <c r="YH23" s="57" t="s">
        <v>251</v>
      </c>
      <c r="YI23" s="55" t="s">
        <v>251</v>
      </c>
      <c r="YJ23" s="1"/>
      <c r="YK23" s="58">
        <v>0</v>
      </c>
      <c r="YL23" s="59">
        <v>100</v>
      </c>
      <c r="YM23" s="4">
        <v>1072743</v>
      </c>
      <c r="YN23" s="39">
        <v>135</v>
      </c>
      <c r="YO23" s="39">
        <v>33</v>
      </c>
      <c r="YP23" s="1"/>
      <c r="YQ23" s="1"/>
      <c r="YR23" s="1"/>
      <c r="YS23" s="1"/>
      <c r="YT23" s="1"/>
      <c r="YU23" s="1"/>
      <c r="YV23" s="1"/>
      <c r="YW23" s="55" t="s">
        <v>251</v>
      </c>
      <c r="YX23" s="1"/>
      <c r="YY23" s="56" t="s">
        <v>251</v>
      </c>
      <c r="YZ23" s="1"/>
      <c r="ZA23" s="1"/>
      <c r="ZB23" s="2">
        <v>0</v>
      </c>
      <c r="ZC23" s="55">
        <v>100</v>
      </c>
      <c r="ZD23" s="1"/>
      <c r="ZE23" s="1"/>
      <c r="ZF23" s="1"/>
      <c r="ZG23" s="1"/>
      <c r="ZH23" s="1"/>
      <c r="ZI23" s="1"/>
      <c r="ZJ23" s="55" t="s">
        <v>251</v>
      </c>
      <c r="ZK23" s="1"/>
      <c r="ZL23" s="56" t="s">
        <v>251</v>
      </c>
      <c r="ZM23" s="1"/>
      <c r="ZN23" s="1"/>
      <c r="ZO23" s="2">
        <v>1</v>
      </c>
      <c r="ZP23" s="55">
        <v>93.939393939393938</v>
      </c>
      <c r="ZQ23" s="55" t="s">
        <v>251</v>
      </c>
      <c r="ZR23" s="55" t="s">
        <v>251</v>
      </c>
      <c r="ZS23" s="56" t="s">
        <v>251</v>
      </c>
      <c r="ZT23" s="57" t="s">
        <v>251</v>
      </c>
      <c r="ZU23" s="55" t="s">
        <v>251</v>
      </c>
      <c r="ZV23" s="1"/>
      <c r="ZW23" s="58">
        <v>1</v>
      </c>
      <c r="ZX23" s="59">
        <v>96.969696969696969</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4239943</v>
      </c>
      <c r="F24" s="89">
        <f t="shared" si="401"/>
        <v>1</v>
      </c>
      <c r="G24" s="89" t="str">
        <f t="shared" si="402"/>
        <v>B</v>
      </c>
      <c r="H24" s="37" t="s">
        <v>187</v>
      </c>
      <c r="I24" s="37" t="s">
        <v>188</v>
      </c>
      <c r="J24" s="41" t="s">
        <v>189</v>
      </c>
      <c r="K24" s="90" t="str">
        <f t="shared" si="403"/>
        <v>A</v>
      </c>
      <c r="L24" s="41" t="s">
        <v>117</v>
      </c>
      <c r="M24" s="93">
        <v>42657</v>
      </c>
      <c r="N24" s="41"/>
      <c r="O24" s="43" t="s">
        <v>239</v>
      </c>
      <c r="P24" s="91" t="str">
        <f t="shared" si="404"/>
        <v>Məmmədova Ramilə Xasay</v>
      </c>
      <c r="Q24" s="4">
        <v>1072743</v>
      </c>
      <c r="R24" s="39">
        <v>101</v>
      </c>
      <c r="S24" s="39">
        <v>270</v>
      </c>
      <c r="T24" s="1"/>
      <c r="U24" s="1"/>
      <c r="V24" s="1"/>
      <c r="W24" s="1"/>
      <c r="X24" s="1"/>
      <c r="Y24" s="1"/>
      <c r="Z24" s="1"/>
      <c r="AA24" s="55" t="s">
        <v>251</v>
      </c>
      <c r="AB24" s="1"/>
      <c r="AC24" s="56" t="s">
        <v>251</v>
      </c>
      <c r="AD24" s="1"/>
      <c r="AE24" s="1"/>
      <c r="AF24" s="2">
        <v>26</v>
      </c>
      <c r="AG24" s="55">
        <v>80.740740740740748</v>
      </c>
      <c r="AH24" s="1"/>
      <c r="AI24" s="1"/>
      <c r="AJ24" s="1"/>
      <c r="AK24" s="1"/>
      <c r="AL24" s="1"/>
      <c r="AM24" s="1"/>
      <c r="AN24" s="55" t="s">
        <v>251</v>
      </c>
      <c r="AO24" s="1"/>
      <c r="AP24" s="56" t="s">
        <v>251</v>
      </c>
      <c r="AQ24" s="1"/>
      <c r="AR24" s="1"/>
      <c r="AS24" s="2">
        <v>11</v>
      </c>
      <c r="AT24" s="55">
        <v>91.851851851851848</v>
      </c>
      <c r="AU24" s="55" t="s">
        <v>251</v>
      </c>
      <c r="AV24" s="55" t="s">
        <v>251</v>
      </c>
      <c r="AW24" s="56" t="s">
        <v>251</v>
      </c>
      <c r="AX24" s="57" t="s">
        <v>251</v>
      </c>
      <c r="AY24" s="55" t="s">
        <v>251</v>
      </c>
      <c r="AZ24" s="1"/>
      <c r="BA24" s="58">
        <v>37</v>
      </c>
      <c r="BB24" s="59">
        <v>86.296296296296291</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1273950</v>
      </c>
      <c r="EB24" s="39">
        <v>106</v>
      </c>
      <c r="EC24" s="39">
        <v>33</v>
      </c>
      <c r="ED24" s="1"/>
      <c r="EE24" s="1"/>
      <c r="EF24" s="1"/>
      <c r="EG24" s="1"/>
      <c r="EH24" s="1"/>
      <c r="EI24" s="1"/>
      <c r="EJ24" s="1"/>
      <c r="EK24" s="55" t="s">
        <v>251</v>
      </c>
      <c r="EL24" s="1"/>
      <c r="EM24" s="56" t="s">
        <v>251</v>
      </c>
      <c r="EN24" s="1"/>
      <c r="EO24" s="1"/>
      <c r="EP24" s="2">
        <v>0</v>
      </c>
      <c r="EQ24" s="55">
        <v>100</v>
      </c>
      <c r="ER24" s="1"/>
      <c r="ES24" s="1"/>
      <c r="ET24" s="1"/>
      <c r="EU24" s="1"/>
      <c r="EV24" s="1"/>
      <c r="EW24" s="1"/>
      <c r="EX24" s="55" t="s">
        <v>251</v>
      </c>
      <c r="EY24" s="1"/>
      <c r="EZ24" s="56" t="s">
        <v>251</v>
      </c>
      <c r="FA24" s="1"/>
      <c r="FB24" s="1"/>
      <c r="FC24" s="2">
        <v>0</v>
      </c>
      <c r="FD24" s="55">
        <v>100</v>
      </c>
      <c r="FE24" s="55" t="s">
        <v>251</v>
      </c>
      <c r="FF24" s="55" t="s">
        <v>251</v>
      </c>
      <c r="FG24" s="56" t="s">
        <v>251</v>
      </c>
      <c r="FH24" s="57" t="s">
        <v>251</v>
      </c>
      <c r="FI24" s="55" t="s">
        <v>251</v>
      </c>
      <c r="FJ24" s="1"/>
      <c r="FK24" s="58">
        <v>0</v>
      </c>
      <c r="FL24" s="59">
        <v>100</v>
      </c>
      <c r="FM24" s="4">
        <v>1072743</v>
      </c>
      <c r="FN24" s="39">
        <v>110</v>
      </c>
      <c r="FO24" s="39">
        <v>168</v>
      </c>
      <c r="FP24" s="1"/>
      <c r="FQ24" s="1"/>
      <c r="FR24" s="1"/>
      <c r="FS24" s="1"/>
      <c r="FT24" s="1"/>
      <c r="FU24" s="1"/>
      <c r="FV24" s="1"/>
      <c r="FW24" s="55" t="s">
        <v>251</v>
      </c>
      <c r="FX24" s="1"/>
      <c r="FY24" s="56" t="s">
        <v>251</v>
      </c>
      <c r="FZ24" s="1"/>
      <c r="GA24" s="1"/>
      <c r="GB24" s="2">
        <v>15</v>
      </c>
      <c r="GC24" s="55">
        <v>82.142857142857139</v>
      </c>
      <c r="GD24" s="1"/>
      <c r="GE24" s="1"/>
      <c r="GF24" s="1"/>
      <c r="GG24" s="1"/>
      <c r="GH24" s="1"/>
      <c r="GI24" s="1"/>
      <c r="GJ24" s="55" t="s">
        <v>251</v>
      </c>
      <c r="GK24" s="1"/>
      <c r="GL24" s="56" t="s">
        <v>251</v>
      </c>
      <c r="GM24" s="1"/>
      <c r="GN24" s="1"/>
      <c r="GO24" s="2">
        <v>7</v>
      </c>
      <c r="GP24" s="55">
        <v>91.666666666666671</v>
      </c>
      <c r="GQ24" s="55" t="s">
        <v>251</v>
      </c>
      <c r="GR24" s="55" t="s">
        <v>251</v>
      </c>
      <c r="GS24" s="56" t="s">
        <v>251</v>
      </c>
      <c r="GT24" s="57" t="s">
        <v>251</v>
      </c>
      <c r="GU24" s="55" t="s">
        <v>251</v>
      </c>
      <c r="GV24" s="1"/>
      <c r="GW24" s="58">
        <v>22</v>
      </c>
      <c r="GX24" s="59">
        <v>86.904761904761898</v>
      </c>
      <c r="GY24" s="4">
        <v>1199044</v>
      </c>
      <c r="GZ24" s="39">
        <v>114</v>
      </c>
      <c r="HA24" s="39">
        <v>33</v>
      </c>
      <c r="HB24" s="1"/>
      <c r="HC24" s="1"/>
      <c r="HD24" s="1"/>
      <c r="HE24" s="1"/>
      <c r="HF24" s="1"/>
      <c r="HG24" s="1"/>
      <c r="HH24" s="1"/>
      <c r="HI24" s="55" t="s">
        <v>251</v>
      </c>
      <c r="HJ24" s="1"/>
      <c r="HK24" s="56" t="s">
        <v>251</v>
      </c>
      <c r="HL24" s="1"/>
      <c r="HM24" s="1"/>
      <c r="HN24" s="2">
        <v>0</v>
      </c>
      <c r="HO24" s="55">
        <v>100</v>
      </c>
      <c r="HP24" s="1"/>
      <c r="HQ24" s="1"/>
      <c r="HR24" s="1"/>
      <c r="HS24" s="1"/>
      <c r="HT24" s="1"/>
      <c r="HU24" s="1"/>
      <c r="HV24" s="55" t="s">
        <v>251</v>
      </c>
      <c r="HW24" s="1"/>
      <c r="HX24" s="56" t="s">
        <v>251</v>
      </c>
      <c r="HY24" s="1"/>
      <c r="HZ24" s="1"/>
      <c r="IA24" s="2">
        <v>0</v>
      </c>
      <c r="IB24" s="55">
        <v>100</v>
      </c>
      <c r="IC24" s="55" t="s">
        <v>251</v>
      </c>
      <c r="ID24" s="55" t="s">
        <v>251</v>
      </c>
      <c r="IE24" s="56" t="s">
        <v>251</v>
      </c>
      <c r="IF24" s="57" t="s">
        <v>251</v>
      </c>
      <c r="IG24" s="55" t="s">
        <v>251</v>
      </c>
      <c r="IH24" s="1"/>
      <c r="II24" s="58">
        <v>0</v>
      </c>
      <c r="IJ24" s="59">
        <v>100</v>
      </c>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1072743</v>
      </c>
      <c r="PT24" s="39">
        <v>128</v>
      </c>
      <c r="PU24" s="39">
        <v>33</v>
      </c>
      <c r="PV24" s="1"/>
      <c r="PW24" s="1"/>
      <c r="PX24" s="1"/>
      <c r="PY24" s="1"/>
      <c r="PZ24" s="1"/>
      <c r="QA24" s="1"/>
      <c r="QB24" s="1"/>
      <c r="QC24" s="55" t="s">
        <v>251</v>
      </c>
      <c r="QD24" s="1"/>
      <c r="QE24" s="56" t="s">
        <v>251</v>
      </c>
      <c r="QF24" s="1"/>
      <c r="QG24" s="1"/>
      <c r="QH24" s="2">
        <v>2</v>
      </c>
      <c r="QI24" s="55">
        <v>87.878787878787875</v>
      </c>
      <c r="QJ24" s="1"/>
      <c r="QK24" s="1"/>
      <c r="QL24" s="1"/>
      <c r="QM24" s="1"/>
      <c r="QN24" s="1"/>
      <c r="QO24" s="1"/>
      <c r="QP24" s="55" t="s">
        <v>251</v>
      </c>
      <c r="QQ24" s="1"/>
      <c r="QR24" s="56" t="s">
        <v>251</v>
      </c>
      <c r="QS24" s="1"/>
      <c r="QT24" s="1"/>
      <c r="QU24" s="2">
        <v>1</v>
      </c>
      <c r="QV24" s="55">
        <v>93.939393939393938</v>
      </c>
      <c r="QW24" s="55" t="s">
        <v>251</v>
      </c>
      <c r="QX24" s="55" t="s">
        <v>251</v>
      </c>
      <c r="QY24" s="56" t="s">
        <v>251</v>
      </c>
      <c r="QZ24" s="57" t="s">
        <v>251</v>
      </c>
      <c r="RA24" s="55" t="s">
        <v>251</v>
      </c>
      <c r="RB24" s="1"/>
      <c r="RC24" s="58">
        <v>3</v>
      </c>
      <c r="RD24" s="59">
        <v>90.909090909090907</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1072743</v>
      </c>
      <c r="UD24" s="39">
        <v>131</v>
      </c>
      <c r="UE24" s="39">
        <v>69</v>
      </c>
      <c r="UF24" s="1"/>
      <c r="UG24" s="1"/>
      <c r="UH24" s="1"/>
      <c r="UI24" s="1"/>
      <c r="UJ24" s="1"/>
      <c r="UK24" s="1"/>
      <c r="UL24" s="1"/>
      <c r="UM24" s="55" t="s">
        <v>251</v>
      </c>
      <c r="UN24" s="1"/>
      <c r="UO24" s="56" t="s">
        <v>251</v>
      </c>
      <c r="UP24" s="1"/>
      <c r="UQ24" s="1"/>
      <c r="UR24" s="2">
        <v>6</v>
      </c>
      <c r="US24" s="55">
        <v>82.608695652173907</v>
      </c>
      <c r="UT24" s="1"/>
      <c r="UU24" s="1"/>
      <c r="UV24" s="1"/>
      <c r="UW24" s="1"/>
      <c r="UX24" s="1"/>
      <c r="UY24" s="1"/>
      <c r="UZ24" s="55" t="s">
        <v>251</v>
      </c>
      <c r="VA24" s="1"/>
      <c r="VB24" s="56" t="s">
        <v>251</v>
      </c>
      <c r="VC24" s="1"/>
      <c r="VD24" s="1">
        <v>1</v>
      </c>
      <c r="VE24" s="2"/>
      <c r="VF24" s="55" t="s">
        <v>251</v>
      </c>
      <c r="VG24" s="55" t="s">
        <v>251</v>
      </c>
      <c r="VH24" s="55" t="s">
        <v>251</v>
      </c>
      <c r="VI24" s="56" t="s">
        <v>251</v>
      </c>
      <c r="VJ24" s="57" t="s">
        <v>251</v>
      </c>
      <c r="VK24" s="55">
        <v>1</v>
      </c>
      <c r="VL24" s="1"/>
      <c r="VM24" s="58">
        <v>6</v>
      </c>
      <c r="VN24" s="59">
        <v>91.304347826086953</v>
      </c>
      <c r="VO24" s="4">
        <v>1072743</v>
      </c>
      <c r="VP24" s="39">
        <v>132</v>
      </c>
      <c r="VQ24" s="39">
        <v>34</v>
      </c>
      <c r="VR24" s="1"/>
      <c r="VS24" s="1"/>
      <c r="VT24" s="1"/>
      <c r="VU24" s="1"/>
      <c r="VV24" s="1"/>
      <c r="VW24" s="1"/>
      <c r="VX24" s="1"/>
      <c r="VY24" s="55" t="s">
        <v>251</v>
      </c>
      <c r="VZ24" s="1"/>
      <c r="WA24" s="56" t="s">
        <v>251</v>
      </c>
      <c r="WB24" s="1"/>
      <c r="WC24" s="1"/>
      <c r="WD24" s="2">
        <v>3</v>
      </c>
      <c r="WE24" s="55">
        <v>82.352941176470594</v>
      </c>
      <c r="WF24" s="1"/>
      <c r="WG24" s="1"/>
      <c r="WH24" s="1"/>
      <c r="WI24" s="1"/>
      <c r="WJ24" s="1"/>
      <c r="WK24" s="1"/>
      <c r="WL24" s="55" t="s">
        <v>251</v>
      </c>
      <c r="WM24" s="1"/>
      <c r="WN24" s="56" t="s">
        <v>251</v>
      </c>
      <c r="WO24" s="1"/>
      <c r="WP24" s="1"/>
      <c r="WQ24" s="2">
        <v>2</v>
      </c>
      <c r="WR24" s="55">
        <v>88.235294117647058</v>
      </c>
      <c r="WS24" s="55" t="s">
        <v>251</v>
      </c>
      <c r="WT24" s="55" t="s">
        <v>251</v>
      </c>
      <c r="WU24" s="56" t="s">
        <v>251</v>
      </c>
      <c r="WV24" s="57" t="s">
        <v>251</v>
      </c>
      <c r="WW24" s="55" t="s">
        <v>251</v>
      </c>
      <c r="WX24" s="1"/>
      <c r="WY24" s="58">
        <v>5</v>
      </c>
      <c r="WZ24" s="59">
        <v>85.294117647058826</v>
      </c>
      <c r="XA24" s="4">
        <v>1072748</v>
      </c>
      <c r="XB24" s="39">
        <v>133</v>
      </c>
      <c r="XC24" s="39">
        <v>34</v>
      </c>
      <c r="XD24" s="1"/>
      <c r="XE24" s="1"/>
      <c r="XF24" s="1"/>
      <c r="XG24" s="1"/>
      <c r="XH24" s="1"/>
      <c r="XI24" s="1"/>
      <c r="XJ24" s="1"/>
      <c r="XK24" s="55" t="s">
        <v>251</v>
      </c>
      <c r="XL24" s="1"/>
      <c r="XM24" s="56" t="s">
        <v>251</v>
      </c>
      <c r="XN24" s="1"/>
      <c r="XO24" s="1"/>
      <c r="XP24" s="2">
        <v>3</v>
      </c>
      <c r="XQ24" s="55">
        <v>82.352941176470594</v>
      </c>
      <c r="XR24" s="1"/>
      <c r="XS24" s="1"/>
      <c r="XT24" s="1"/>
      <c r="XU24" s="1"/>
      <c r="XV24" s="1"/>
      <c r="XW24" s="1"/>
      <c r="XX24" s="55" t="s">
        <v>251</v>
      </c>
      <c r="XY24" s="1"/>
      <c r="XZ24" s="56" t="s">
        <v>251</v>
      </c>
      <c r="YA24" s="1"/>
      <c r="YB24" s="1"/>
      <c r="YC24" s="2">
        <v>2</v>
      </c>
      <c r="YD24" s="55">
        <v>88.235294117647058</v>
      </c>
      <c r="YE24" s="55" t="s">
        <v>251</v>
      </c>
      <c r="YF24" s="55" t="s">
        <v>251</v>
      </c>
      <c r="YG24" s="56" t="s">
        <v>251</v>
      </c>
      <c r="YH24" s="57" t="s">
        <v>251</v>
      </c>
      <c r="YI24" s="55" t="s">
        <v>251</v>
      </c>
      <c r="YJ24" s="1"/>
      <c r="YK24" s="58">
        <v>5</v>
      </c>
      <c r="YL24" s="59">
        <v>85.294117647058826</v>
      </c>
      <c r="YM24" s="4">
        <v>1072743</v>
      </c>
      <c r="YN24" s="39">
        <v>135</v>
      </c>
      <c r="YO24" s="39">
        <v>33</v>
      </c>
      <c r="YP24" s="1"/>
      <c r="YQ24" s="1"/>
      <c r="YR24" s="1"/>
      <c r="YS24" s="1"/>
      <c r="YT24" s="1"/>
      <c r="YU24" s="1"/>
      <c r="YV24" s="1"/>
      <c r="YW24" s="55" t="s">
        <v>251</v>
      </c>
      <c r="YX24" s="1"/>
      <c r="YY24" s="56" t="s">
        <v>251</v>
      </c>
      <c r="YZ24" s="1"/>
      <c r="ZA24" s="1"/>
      <c r="ZB24" s="2">
        <v>5</v>
      </c>
      <c r="ZC24" s="55">
        <v>69.696969696969703</v>
      </c>
      <c r="ZD24" s="1"/>
      <c r="ZE24" s="1"/>
      <c r="ZF24" s="1"/>
      <c r="ZG24" s="1"/>
      <c r="ZH24" s="1"/>
      <c r="ZI24" s="1"/>
      <c r="ZJ24" s="55" t="s">
        <v>251</v>
      </c>
      <c r="ZK24" s="1"/>
      <c r="ZL24" s="56" t="s">
        <v>251</v>
      </c>
      <c r="ZM24" s="1"/>
      <c r="ZN24" s="1"/>
      <c r="ZO24" s="2">
        <v>2</v>
      </c>
      <c r="ZP24" s="55">
        <v>87.878787878787875</v>
      </c>
      <c r="ZQ24" s="55" t="s">
        <v>251</v>
      </c>
      <c r="ZR24" s="55" t="s">
        <v>251</v>
      </c>
      <c r="ZS24" s="56" t="s">
        <v>251</v>
      </c>
      <c r="ZT24" s="57" t="s">
        <v>251</v>
      </c>
      <c r="ZU24" s="55" t="s">
        <v>251</v>
      </c>
      <c r="ZV24" s="1"/>
      <c r="ZW24" s="58">
        <v>7</v>
      </c>
      <c r="ZX24" s="59">
        <v>78.787878787878782</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4238309</v>
      </c>
      <c r="F25" s="89">
        <f t="shared" si="401"/>
        <v>1</v>
      </c>
      <c r="G25" s="89" t="str">
        <f t="shared" si="402"/>
        <v>B</v>
      </c>
      <c r="H25" s="37" t="s">
        <v>190</v>
      </c>
      <c r="I25" s="37" t="s">
        <v>191</v>
      </c>
      <c r="J25" s="41" t="s">
        <v>192</v>
      </c>
      <c r="K25" s="90" t="str">
        <f t="shared" si="403"/>
        <v>A</v>
      </c>
      <c r="L25" s="41" t="s">
        <v>117</v>
      </c>
      <c r="M25" s="93">
        <v>42304</v>
      </c>
      <c r="N25" s="41"/>
      <c r="O25" s="43" t="s">
        <v>240</v>
      </c>
      <c r="P25" s="91" t="str">
        <f t="shared" si="404"/>
        <v>Məmmədova Ramilə Xasay</v>
      </c>
      <c r="Q25" s="4">
        <v>1072743</v>
      </c>
      <c r="R25" s="39">
        <v>101</v>
      </c>
      <c r="S25" s="39">
        <v>270</v>
      </c>
      <c r="T25" s="1"/>
      <c r="U25" s="1"/>
      <c r="V25" s="1"/>
      <c r="W25" s="1"/>
      <c r="X25" s="1"/>
      <c r="Y25" s="1"/>
      <c r="Z25" s="1"/>
      <c r="AA25" s="55" t="s">
        <v>251</v>
      </c>
      <c r="AB25" s="1"/>
      <c r="AC25" s="56" t="s">
        <v>251</v>
      </c>
      <c r="AD25" s="1"/>
      <c r="AE25" s="1"/>
      <c r="AF25" s="2">
        <v>18</v>
      </c>
      <c r="AG25" s="55">
        <v>86.666666666666671</v>
      </c>
      <c r="AH25" s="1"/>
      <c r="AI25" s="1"/>
      <c r="AJ25" s="1"/>
      <c r="AK25" s="1"/>
      <c r="AL25" s="1"/>
      <c r="AM25" s="1"/>
      <c r="AN25" s="55" t="s">
        <v>251</v>
      </c>
      <c r="AO25" s="1"/>
      <c r="AP25" s="56" t="s">
        <v>251</v>
      </c>
      <c r="AQ25" s="1"/>
      <c r="AR25" s="1"/>
      <c r="AS25" s="2">
        <v>0</v>
      </c>
      <c r="AT25" s="55">
        <v>100</v>
      </c>
      <c r="AU25" s="55" t="s">
        <v>251</v>
      </c>
      <c r="AV25" s="55" t="s">
        <v>251</v>
      </c>
      <c r="AW25" s="56" t="s">
        <v>251</v>
      </c>
      <c r="AX25" s="57" t="s">
        <v>251</v>
      </c>
      <c r="AY25" s="55" t="s">
        <v>251</v>
      </c>
      <c r="AZ25" s="1"/>
      <c r="BA25" s="58">
        <v>18</v>
      </c>
      <c r="BB25" s="59">
        <v>93.333333333333329</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1273950</v>
      </c>
      <c r="EB25" s="39">
        <v>106</v>
      </c>
      <c r="EC25" s="39">
        <v>33</v>
      </c>
      <c r="ED25" s="1"/>
      <c r="EE25" s="1"/>
      <c r="EF25" s="1"/>
      <c r="EG25" s="1"/>
      <c r="EH25" s="1"/>
      <c r="EI25" s="1"/>
      <c r="EJ25" s="1"/>
      <c r="EK25" s="55" t="s">
        <v>251</v>
      </c>
      <c r="EL25" s="1"/>
      <c r="EM25" s="56" t="s">
        <v>251</v>
      </c>
      <c r="EN25" s="1"/>
      <c r="EO25" s="1"/>
      <c r="EP25" s="2">
        <v>0</v>
      </c>
      <c r="EQ25" s="55">
        <v>100</v>
      </c>
      <c r="ER25" s="1"/>
      <c r="ES25" s="1"/>
      <c r="ET25" s="1"/>
      <c r="EU25" s="1"/>
      <c r="EV25" s="1"/>
      <c r="EW25" s="1"/>
      <c r="EX25" s="55" t="s">
        <v>251</v>
      </c>
      <c r="EY25" s="1"/>
      <c r="EZ25" s="56" t="s">
        <v>251</v>
      </c>
      <c r="FA25" s="1"/>
      <c r="FB25" s="1"/>
      <c r="FC25" s="2">
        <v>0</v>
      </c>
      <c r="FD25" s="55">
        <v>100</v>
      </c>
      <c r="FE25" s="55" t="s">
        <v>251</v>
      </c>
      <c r="FF25" s="55" t="s">
        <v>251</v>
      </c>
      <c r="FG25" s="56" t="s">
        <v>251</v>
      </c>
      <c r="FH25" s="57" t="s">
        <v>251</v>
      </c>
      <c r="FI25" s="55" t="s">
        <v>251</v>
      </c>
      <c r="FJ25" s="1"/>
      <c r="FK25" s="58">
        <v>0</v>
      </c>
      <c r="FL25" s="59">
        <v>100</v>
      </c>
      <c r="FM25" s="4">
        <v>1072743</v>
      </c>
      <c r="FN25" s="39">
        <v>110</v>
      </c>
      <c r="FO25" s="39">
        <v>168</v>
      </c>
      <c r="FP25" s="1"/>
      <c r="FQ25" s="1"/>
      <c r="FR25" s="1"/>
      <c r="FS25" s="1"/>
      <c r="FT25" s="1"/>
      <c r="FU25" s="1"/>
      <c r="FV25" s="1"/>
      <c r="FW25" s="55" t="s">
        <v>251</v>
      </c>
      <c r="FX25" s="1"/>
      <c r="FY25" s="56" t="s">
        <v>251</v>
      </c>
      <c r="FZ25" s="1"/>
      <c r="GA25" s="1"/>
      <c r="GB25" s="2">
        <v>12</v>
      </c>
      <c r="GC25" s="55">
        <v>85.714285714285708</v>
      </c>
      <c r="GD25" s="1"/>
      <c r="GE25" s="1"/>
      <c r="GF25" s="1"/>
      <c r="GG25" s="1"/>
      <c r="GH25" s="1"/>
      <c r="GI25" s="1"/>
      <c r="GJ25" s="55" t="s">
        <v>251</v>
      </c>
      <c r="GK25" s="1"/>
      <c r="GL25" s="56" t="s">
        <v>251</v>
      </c>
      <c r="GM25" s="1"/>
      <c r="GN25" s="1"/>
      <c r="GO25" s="2">
        <v>0</v>
      </c>
      <c r="GP25" s="55">
        <v>100</v>
      </c>
      <c r="GQ25" s="55" t="s">
        <v>251</v>
      </c>
      <c r="GR25" s="55" t="s">
        <v>251</v>
      </c>
      <c r="GS25" s="56" t="s">
        <v>251</v>
      </c>
      <c r="GT25" s="57" t="s">
        <v>251</v>
      </c>
      <c r="GU25" s="55" t="s">
        <v>251</v>
      </c>
      <c r="GV25" s="1"/>
      <c r="GW25" s="58">
        <v>12</v>
      </c>
      <c r="GX25" s="59">
        <v>92.857142857142861</v>
      </c>
      <c r="GY25" s="4">
        <v>1199044</v>
      </c>
      <c r="GZ25" s="39">
        <v>114</v>
      </c>
      <c r="HA25" s="39">
        <v>33</v>
      </c>
      <c r="HB25" s="1"/>
      <c r="HC25" s="1"/>
      <c r="HD25" s="1"/>
      <c r="HE25" s="1"/>
      <c r="HF25" s="1"/>
      <c r="HG25" s="1"/>
      <c r="HH25" s="1"/>
      <c r="HI25" s="55" t="s">
        <v>251</v>
      </c>
      <c r="HJ25" s="1"/>
      <c r="HK25" s="56" t="s">
        <v>251</v>
      </c>
      <c r="HL25" s="1"/>
      <c r="HM25" s="1"/>
      <c r="HN25" s="2">
        <v>0</v>
      </c>
      <c r="HO25" s="55">
        <v>100</v>
      </c>
      <c r="HP25" s="1"/>
      <c r="HQ25" s="1"/>
      <c r="HR25" s="1"/>
      <c r="HS25" s="1"/>
      <c r="HT25" s="1"/>
      <c r="HU25" s="1"/>
      <c r="HV25" s="55" t="s">
        <v>251</v>
      </c>
      <c r="HW25" s="1"/>
      <c r="HX25" s="56" t="s">
        <v>251</v>
      </c>
      <c r="HY25" s="1"/>
      <c r="HZ25" s="1"/>
      <c r="IA25" s="2">
        <v>0</v>
      </c>
      <c r="IB25" s="55">
        <v>100</v>
      </c>
      <c r="IC25" s="55" t="s">
        <v>251</v>
      </c>
      <c r="ID25" s="55" t="s">
        <v>251</v>
      </c>
      <c r="IE25" s="56" t="s">
        <v>251</v>
      </c>
      <c r="IF25" s="57" t="s">
        <v>251</v>
      </c>
      <c r="IG25" s="55" t="s">
        <v>251</v>
      </c>
      <c r="IH25" s="1"/>
      <c r="II25" s="58">
        <v>0</v>
      </c>
      <c r="IJ25" s="59">
        <v>100</v>
      </c>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1072743</v>
      </c>
      <c r="PT25" s="39">
        <v>128</v>
      </c>
      <c r="PU25" s="39">
        <v>33</v>
      </c>
      <c r="PV25" s="1"/>
      <c r="PW25" s="1"/>
      <c r="PX25" s="1"/>
      <c r="PY25" s="1"/>
      <c r="PZ25" s="1"/>
      <c r="QA25" s="1"/>
      <c r="QB25" s="1"/>
      <c r="QC25" s="55" t="s">
        <v>251</v>
      </c>
      <c r="QD25" s="1"/>
      <c r="QE25" s="56" t="s">
        <v>251</v>
      </c>
      <c r="QF25" s="1"/>
      <c r="QG25" s="1"/>
      <c r="QH25" s="2">
        <v>1</v>
      </c>
      <c r="QI25" s="55">
        <v>93.939393939393938</v>
      </c>
      <c r="QJ25" s="1"/>
      <c r="QK25" s="1"/>
      <c r="QL25" s="1"/>
      <c r="QM25" s="1"/>
      <c r="QN25" s="1"/>
      <c r="QO25" s="1"/>
      <c r="QP25" s="55" t="s">
        <v>251</v>
      </c>
      <c r="QQ25" s="1"/>
      <c r="QR25" s="56" t="s">
        <v>251</v>
      </c>
      <c r="QS25" s="1"/>
      <c r="QT25" s="1"/>
      <c r="QU25" s="2">
        <v>0</v>
      </c>
      <c r="QV25" s="55">
        <v>100</v>
      </c>
      <c r="QW25" s="55" t="s">
        <v>251</v>
      </c>
      <c r="QX25" s="55" t="s">
        <v>251</v>
      </c>
      <c r="QY25" s="56" t="s">
        <v>251</v>
      </c>
      <c r="QZ25" s="57" t="s">
        <v>251</v>
      </c>
      <c r="RA25" s="55" t="s">
        <v>251</v>
      </c>
      <c r="RB25" s="1"/>
      <c r="RC25" s="58">
        <v>1</v>
      </c>
      <c r="RD25" s="59">
        <v>96.969696969696969</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1072743</v>
      </c>
      <c r="UD25" s="39">
        <v>131</v>
      </c>
      <c r="UE25" s="39">
        <v>69</v>
      </c>
      <c r="UF25" s="1"/>
      <c r="UG25" s="1"/>
      <c r="UH25" s="1"/>
      <c r="UI25" s="1"/>
      <c r="UJ25" s="1"/>
      <c r="UK25" s="1"/>
      <c r="UL25" s="1"/>
      <c r="UM25" s="55" t="s">
        <v>251</v>
      </c>
      <c r="UN25" s="1"/>
      <c r="UO25" s="56" t="s">
        <v>251</v>
      </c>
      <c r="UP25" s="1"/>
      <c r="UQ25" s="1"/>
      <c r="UR25" s="2">
        <v>4</v>
      </c>
      <c r="US25" s="55">
        <v>88.405797101449281</v>
      </c>
      <c r="UT25" s="1"/>
      <c r="UU25" s="1"/>
      <c r="UV25" s="1"/>
      <c r="UW25" s="1"/>
      <c r="UX25" s="1"/>
      <c r="UY25" s="1"/>
      <c r="UZ25" s="55" t="s">
        <v>251</v>
      </c>
      <c r="VA25" s="1"/>
      <c r="VB25" s="56" t="s">
        <v>251</v>
      </c>
      <c r="VC25" s="1"/>
      <c r="VD25" s="1">
        <v>0</v>
      </c>
      <c r="VE25" s="2"/>
      <c r="VF25" s="55" t="s">
        <v>251</v>
      </c>
      <c r="VG25" s="55" t="s">
        <v>251</v>
      </c>
      <c r="VH25" s="55" t="s">
        <v>251</v>
      </c>
      <c r="VI25" s="56" t="s">
        <v>251</v>
      </c>
      <c r="VJ25" s="57" t="s">
        <v>251</v>
      </c>
      <c r="VK25" s="55">
        <v>0</v>
      </c>
      <c r="VL25" s="1"/>
      <c r="VM25" s="58">
        <v>4</v>
      </c>
      <c r="VN25" s="59">
        <v>94.20289855072464</v>
      </c>
      <c r="VO25" s="4">
        <v>1072743</v>
      </c>
      <c r="VP25" s="39">
        <v>132</v>
      </c>
      <c r="VQ25" s="39">
        <v>34</v>
      </c>
      <c r="VR25" s="1"/>
      <c r="VS25" s="1"/>
      <c r="VT25" s="1"/>
      <c r="VU25" s="1"/>
      <c r="VV25" s="1"/>
      <c r="VW25" s="1"/>
      <c r="VX25" s="1"/>
      <c r="VY25" s="55" t="s">
        <v>251</v>
      </c>
      <c r="VZ25" s="1"/>
      <c r="WA25" s="56" t="s">
        <v>251</v>
      </c>
      <c r="WB25" s="1"/>
      <c r="WC25" s="1"/>
      <c r="WD25" s="2">
        <v>3</v>
      </c>
      <c r="WE25" s="55">
        <v>82.352941176470594</v>
      </c>
      <c r="WF25" s="1"/>
      <c r="WG25" s="1"/>
      <c r="WH25" s="1"/>
      <c r="WI25" s="1"/>
      <c r="WJ25" s="1"/>
      <c r="WK25" s="1"/>
      <c r="WL25" s="55" t="s">
        <v>251</v>
      </c>
      <c r="WM25" s="1"/>
      <c r="WN25" s="56" t="s">
        <v>251</v>
      </c>
      <c r="WO25" s="1"/>
      <c r="WP25" s="1"/>
      <c r="WQ25" s="2">
        <v>0</v>
      </c>
      <c r="WR25" s="55">
        <v>100</v>
      </c>
      <c r="WS25" s="55" t="s">
        <v>251</v>
      </c>
      <c r="WT25" s="55" t="s">
        <v>251</v>
      </c>
      <c r="WU25" s="56" t="s">
        <v>251</v>
      </c>
      <c r="WV25" s="57" t="s">
        <v>251</v>
      </c>
      <c r="WW25" s="55" t="s">
        <v>251</v>
      </c>
      <c r="WX25" s="1"/>
      <c r="WY25" s="58">
        <v>3</v>
      </c>
      <c r="WZ25" s="59">
        <v>91.17647058823529</v>
      </c>
      <c r="XA25" s="4">
        <v>1072748</v>
      </c>
      <c r="XB25" s="39">
        <v>133</v>
      </c>
      <c r="XC25" s="39">
        <v>34</v>
      </c>
      <c r="XD25" s="1"/>
      <c r="XE25" s="1"/>
      <c r="XF25" s="1"/>
      <c r="XG25" s="1"/>
      <c r="XH25" s="1"/>
      <c r="XI25" s="1"/>
      <c r="XJ25" s="1"/>
      <c r="XK25" s="55" t="s">
        <v>251</v>
      </c>
      <c r="XL25" s="1"/>
      <c r="XM25" s="56" t="s">
        <v>251</v>
      </c>
      <c r="XN25" s="1"/>
      <c r="XO25" s="1"/>
      <c r="XP25" s="2">
        <v>1</v>
      </c>
      <c r="XQ25" s="55">
        <v>94.117647058823536</v>
      </c>
      <c r="XR25" s="1"/>
      <c r="XS25" s="1"/>
      <c r="XT25" s="1"/>
      <c r="XU25" s="1"/>
      <c r="XV25" s="1"/>
      <c r="XW25" s="1"/>
      <c r="XX25" s="55" t="s">
        <v>251</v>
      </c>
      <c r="XY25" s="1"/>
      <c r="XZ25" s="56" t="s">
        <v>251</v>
      </c>
      <c r="YA25" s="1"/>
      <c r="YB25" s="1"/>
      <c r="YC25" s="2">
        <v>0</v>
      </c>
      <c r="YD25" s="55">
        <v>100</v>
      </c>
      <c r="YE25" s="55" t="s">
        <v>251</v>
      </c>
      <c r="YF25" s="55" t="s">
        <v>251</v>
      </c>
      <c r="YG25" s="56" t="s">
        <v>251</v>
      </c>
      <c r="YH25" s="57" t="s">
        <v>251</v>
      </c>
      <c r="YI25" s="55" t="s">
        <v>251</v>
      </c>
      <c r="YJ25" s="1"/>
      <c r="YK25" s="58">
        <v>1</v>
      </c>
      <c r="YL25" s="59">
        <v>97.058823529411768</v>
      </c>
      <c r="YM25" s="4">
        <v>1072743</v>
      </c>
      <c r="YN25" s="39">
        <v>135</v>
      </c>
      <c r="YO25" s="39">
        <v>33</v>
      </c>
      <c r="YP25" s="1"/>
      <c r="YQ25" s="1"/>
      <c r="YR25" s="1"/>
      <c r="YS25" s="1"/>
      <c r="YT25" s="1"/>
      <c r="YU25" s="1"/>
      <c r="YV25" s="1"/>
      <c r="YW25" s="55" t="s">
        <v>251</v>
      </c>
      <c r="YX25" s="1"/>
      <c r="YY25" s="56" t="s">
        <v>251</v>
      </c>
      <c r="YZ25" s="1"/>
      <c r="ZA25" s="1"/>
      <c r="ZB25" s="2">
        <v>3</v>
      </c>
      <c r="ZC25" s="55">
        <v>81.818181818181813</v>
      </c>
      <c r="ZD25" s="1"/>
      <c r="ZE25" s="1"/>
      <c r="ZF25" s="1"/>
      <c r="ZG25" s="1"/>
      <c r="ZH25" s="1"/>
      <c r="ZI25" s="1"/>
      <c r="ZJ25" s="55" t="s">
        <v>251</v>
      </c>
      <c r="ZK25" s="1"/>
      <c r="ZL25" s="56" t="s">
        <v>251</v>
      </c>
      <c r="ZM25" s="1"/>
      <c r="ZN25" s="1"/>
      <c r="ZO25" s="2">
        <v>0</v>
      </c>
      <c r="ZP25" s="55">
        <v>100</v>
      </c>
      <c r="ZQ25" s="55" t="s">
        <v>251</v>
      </c>
      <c r="ZR25" s="55" t="s">
        <v>251</v>
      </c>
      <c r="ZS25" s="56" t="s">
        <v>251</v>
      </c>
      <c r="ZT25" s="57" t="s">
        <v>251</v>
      </c>
      <c r="ZU25" s="55" t="s">
        <v>251</v>
      </c>
      <c r="ZV25" s="1"/>
      <c r="ZW25" s="58">
        <v>3</v>
      </c>
      <c r="ZX25" s="59">
        <v>90.909090909090907</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4238324</v>
      </c>
      <c r="F26" s="89">
        <f t="shared" si="401"/>
        <v>1</v>
      </c>
      <c r="G26" s="89" t="str">
        <f t="shared" si="402"/>
        <v>B</v>
      </c>
      <c r="H26" s="37" t="s">
        <v>193</v>
      </c>
      <c r="I26" s="37" t="s">
        <v>194</v>
      </c>
      <c r="J26" s="41" t="s">
        <v>195</v>
      </c>
      <c r="K26" s="90" t="str">
        <f t="shared" si="403"/>
        <v>A</v>
      </c>
      <c r="L26" s="41" t="s">
        <v>117</v>
      </c>
      <c r="M26" s="93">
        <v>42313</v>
      </c>
      <c r="N26" s="41"/>
      <c r="O26" s="43" t="s">
        <v>241</v>
      </c>
      <c r="P26" s="91" t="str">
        <f t="shared" si="404"/>
        <v>Məmmədova Ramilə Xasay</v>
      </c>
      <c r="Q26" s="4">
        <v>1072743</v>
      </c>
      <c r="R26" s="39">
        <v>101</v>
      </c>
      <c r="S26" s="39">
        <v>270</v>
      </c>
      <c r="T26" s="1"/>
      <c r="U26" s="1"/>
      <c r="V26" s="1"/>
      <c r="W26" s="1"/>
      <c r="X26" s="1"/>
      <c r="Y26" s="1"/>
      <c r="Z26" s="1"/>
      <c r="AA26" s="55" t="s">
        <v>251</v>
      </c>
      <c r="AB26" s="1"/>
      <c r="AC26" s="56" t="s">
        <v>251</v>
      </c>
      <c r="AD26" s="1"/>
      <c r="AE26" s="1"/>
      <c r="AF26" s="2">
        <v>28</v>
      </c>
      <c r="AG26" s="55">
        <v>79.259259259259252</v>
      </c>
      <c r="AH26" s="1"/>
      <c r="AI26" s="1"/>
      <c r="AJ26" s="1"/>
      <c r="AK26" s="1"/>
      <c r="AL26" s="1"/>
      <c r="AM26" s="1"/>
      <c r="AN26" s="55" t="s">
        <v>251</v>
      </c>
      <c r="AO26" s="1"/>
      <c r="AP26" s="56" t="s">
        <v>251</v>
      </c>
      <c r="AQ26" s="1"/>
      <c r="AR26" s="1"/>
      <c r="AS26" s="2">
        <v>6</v>
      </c>
      <c r="AT26" s="55">
        <v>95.555555555555557</v>
      </c>
      <c r="AU26" s="55" t="s">
        <v>251</v>
      </c>
      <c r="AV26" s="55" t="s">
        <v>251</v>
      </c>
      <c r="AW26" s="56" t="s">
        <v>251</v>
      </c>
      <c r="AX26" s="57" t="s">
        <v>251</v>
      </c>
      <c r="AY26" s="55" t="s">
        <v>251</v>
      </c>
      <c r="AZ26" s="1"/>
      <c r="BA26" s="58">
        <v>34</v>
      </c>
      <c r="BB26" s="59">
        <v>87.407407407407405</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1273950</v>
      </c>
      <c r="EB26" s="39">
        <v>106</v>
      </c>
      <c r="EC26" s="39">
        <v>33</v>
      </c>
      <c r="ED26" s="1"/>
      <c r="EE26" s="1"/>
      <c r="EF26" s="1"/>
      <c r="EG26" s="1"/>
      <c r="EH26" s="1"/>
      <c r="EI26" s="1"/>
      <c r="EJ26" s="1"/>
      <c r="EK26" s="55" t="s">
        <v>251</v>
      </c>
      <c r="EL26" s="1"/>
      <c r="EM26" s="56" t="s">
        <v>251</v>
      </c>
      <c r="EN26" s="1"/>
      <c r="EO26" s="1"/>
      <c r="EP26" s="2">
        <v>0</v>
      </c>
      <c r="EQ26" s="55">
        <v>100</v>
      </c>
      <c r="ER26" s="1"/>
      <c r="ES26" s="1"/>
      <c r="ET26" s="1"/>
      <c r="EU26" s="1"/>
      <c r="EV26" s="1"/>
      <c r="EW26" s="1"/>
      <c r="EX26" s="55" t="s">
        <v>251</v>
      </c>
      <c r="EY26" s="1"/>
      <c r="EZ26" s="56" t="s">
        <v>251</v>
      </c>
      <c r="FA26" s="1"/>
      <c r="FB26" s="1"/>
      <c r="FC26" s="2">
        <v>0</v>
      </c>
      <c r="FD26" s="55">
        <v>100</v>
      </c>
      <c r="FE26" s="55" t="s">
        <v>251</v>
      </c>
      <c r="FF26" s="55" t="s">
        <v>251</v>
      </c>
      <c r="FG26" s="56" t="s">
        <v>251</v>
      </c>
      <c r="FH26" s="57" t="s">
        <v>251</v>
      </c>
      <c r="FI26" s="55" t="s">
        <v>251</v>
      </c>
      <c r="FJ26" s="1"/>
      <c r="FK26" s="58">
        <v>0</v>
      </c>
      <c r="FL26" s="59">
        <v>100</v>
      </c>
      <c r="FM26" s="4">
        <v>1072743</v>
      </c>
      <c r="FN26" s="39">
        <v>110</v>
      </c>
      <c r="FO26" s="39">
        <v>168</v>
      </c>
      <c r="FP26" s="1"/>
      <c r="FQ26" s="1"/>
      <c r="FR26" s="1"/>
      <c r="FS26" s="1"/>
      <c r="FT26" s="1"/>
      <c r="FU26" s="1"/>
      <c r="FV26" s="1"/>
      <c r="FW26" s="55" t="s">
        <v>251</v>
      </c>
      <c r="FX26" s="1"/>
      <c r="FY26" s="56" t="s">
        <v>251</v>
      </c>
      <c r="FZ26" s="1"/>
      <c r="GA26" s="1"/>
      <c r="GB26" s="2">
        <v>14</v>
      </c>
      <c r="GC26" s="55">
        <v>83.333333333333329</v>
      </c>
      <c r="GD26" s="1"/>
      <c r="GE26" s="1"/>
      <c r="GF26" s="1"/>
      <c r="GG26" s="1"/>
      <c r="GH26" s="1"/>
      <c r="GI26" s="1"/>
      <c r="GJ26" s="55" t="s">
        <v>251</v>
      </c>
      <c r="GK26" s="1"/>
      <c r="GL26" s="56" t="s">
        <v>251</v>
      </c>
      <c r="GM26" s="1"/>
      <c r="GN26" s="1"/>
      <c r="GO26" s="2">
        <v>2</v>
      </c>
      <c r="GP26" s="55">
        <v>97.61904761904762</v>
      </c>
      <c r="GQ26" s="55" t="s">
        <v>251</v>
      </c>
      <c r="GR26" s="55" t="s">
        <v>251</v>
      </c>
      <c r="GS26" s="56" t="s">
        <v>251</v>
      </c>
      <c r="GT26" s="57" t="s">
        <v>251</v>
      </c>
      <c r="GU26" s="55" t="s">
        <v>251</v>
      </c>
      <c r="GV26" s="1"/>
      <c r="GW26" s="58">
        <v>16</v>
      </c>
      <c r="GX26" s="59">
        <v>90.476190476190482</v>
      </c>
      <c r="GY26" s="4">
        <v>1199044</v>
      </c>
      <c r="GZ26" s="39">
        <v>114</v>
      </c>
      <c r="HA26" s="39">
        <v>33</v>
      </c>
      <c r="HB26" s="1"/>
      <c r="HC26" s="1"/>
      <c r="HD26" s="1"/>
      <c r="HE26" s="1"/>
      <c r="HF26" s="1"/>
      <c r="HG26" s="1"/>
      <c r="HH26" s="1"/>
      <c r="HI26" s="55" t="s">
        <v>251</v>
      </c>
      <c r="HJ26" s="1"/>
      <c r="HK26" s="56" t="s">
        <v>251</v>
      </c>
      <c r="HL26" s="1"/>
      <c r="HM26" s="1"/>
      <c r="HN26" s="2">
        <v>0</v>
      </c>
      <c r="HO26" s="55">
        <v>100</v>
      </c>
      <c r="HP26" s="1"/>
      <c r="HQ26" s="1"/>
      <c r="HR26" s="1"/>
      <c r="HS26" s="1"/>
      <c r="HT26" s="1"/>
      <c r="HU26" s="1"/>
      <c r="HV26" s="55" t="s">
        <v>251</v>
      </c>
      <c r="HW26" s="1"/>
      <c r="HX26" s="56" t="s">
        <v>251</v>
      </c>
      <c r="HY26" s="1"/>
      <c r="HZ26" s="1"/>
      <c r="IA26" s="2">
        <v>0</v>
      </c>
      <c r="IB26" s="55">
        <v>100</v>
      </c>
      <c r="IC26" s="55" t="s">
        <v>251</v>
      </c>
      <c r="ID26" s="55" t="s">
        <v>251</v>
      </c>
      <c r="IE26" s="56" t="s">
        <v>251</v>
      </c>
      <c r="IF26" s="57" t="s">
        <v>251</v>
      </c>
      <c r="IG26" s="55" t="s">
        <v>251</v>
      </c>
      <c r="IH26" s="1"/>
      <c r="II26" s="58">
        <v>0</v>
      </c>
      <c r="IJ26" s="59">
        <v>100</v>
      </c>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1072743</v>
      </c>
      <c r="PT26" s="39">
        <v>128</v>
      </c>
      <c r="PU26" s="39">
        <v>33</v>
      </c>
      <c r="PV26" s="1"/>
      <c r="PW26" s="1"/>
      <c r="PX26" s="1"/>
      <c r="PY26" s="1"/>
      <c r="PZ26" s="1"/>
      <c r="QA26" s="1"/>
      <c r="QB26" s="1"/>
      <c r="QC26" s="55" t="s">
        <v>251</v>
      </c>
      <c r="QD26" s="1"/>
      <c r="QE26" s="56" t="s">
        <v>251</v>
      </c>
      <c r="QF26" s="1"/>
      <c r="QG26" s="1"/>
      <c r="QH26" s="2">
        <v>1</v>
      </c>
      <c r="QI26" s="55">
        <v>93.939393939393938</v>
      </c>
      <c r="QJ26" s="1"/>
      <c r="QK26" s="1"/>
      <c r="QL26" s="1"/>
      <c r="QM26" s="1"/>
      <c r="QN26" s="1"/>
      <c r="QO26" s="1"/>
      <c r="QP26" s="55" t="s">
        <v>251</v>
      </c>
      <c r="QQ26" s="1"/>
      <c r="QR26" s="56" t="s">
        <v>251</v>
      </c>
      <c r="QS26" s="1"/>
      <c r="QT26" s="1"/>
      <c r="QU26" s="2">
        <v>1</v>
      </c>
      <c r="QV26" s="55">
        <v>93.939393939393938</v>
      </c>
      <c r="QW26" s="55" t="s">
        <v>251</v>
      </c>
      <c r="QX26" s="55" t="s">
        <v>251</v>
      </c>
      <c r="QY26" s="56" t="s">
        <v>251</v>
      </c>
      <c r="QZ26" s="57" t="s">
        <v>251</v>
      </c>
      <c r="RA26" s="55" t="s">
        <v>251</v>
      </c>
      <c r="RB26" s="1"/>
      <c r="RC26" s="58">
        <v>2</v>
      </c>
      <c r="RD26" s="59">
        <v>93.939393939393938</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1072743</v>
      </c>
      <c r="UD26" s="39">
        <v>131</v>
      </c>
      <c r="UE26" s="39">
        <v>69</v>
      </c>
      <c r="UF26" s="1"/>
      <c r="UG26" s="1"/>
      <c r="UH26" s="1"/>
      <c r="UI26" s="1"/>
      <c r="UJ26" s="1"/>
      <c r="UK26" s="1"/>
      <c r="UL26" s="1"/>
      <c r="UM26" s="55" t="s">
        <v>251</v>
      </c>
      <c r="UN26" s="1"/>
      <c r="UO26" s="56" t="s">
        <v>251</v>
      </c>
      <c r="UP26" s="1"/>
      <c r="UQ26" s="1"/>
      <c r="UR26" s="2">
        <v>5</v>
      </c>
      <c r="US26" s="55">
        <v>85.507246376811594</v>
      </c>
      <c r="UT26" s="1"/>
      <c r="UU26" s="1"/>
      <c r="UV26" s="1"/>
      <c r="UW26" s="1"/>
      <c r="UX26" s="1"/>
      <c r="UY26" s="1"/>
      <c r="UZ26" s="55" t="s">
        <v>251</v>
      </c>
      <c r="VA26" s="1"/>
      <c r="VB26" s="56" t="s">
        <v>251</v>
      </c>
      <c r="VC26" s="1"/>
      <c r="VD26" s="1">
        <v>2</v>
      </c>
      <c r="VE26" s="2"/>
      <c r="VF26" s="55" t="s">
        <v>251</v>
      </c>
      <c r="VG26" s="55" t="s">
        <v>251</v>
      </c>
      <c r="VH26" s="55" t="s">
        <v>251</v>
      </c>
      <c r="VI26" s="56" t="s">
        <v>251</v>
      </c>
      <c r="VJ26" s="57" t="s">
        <v>251</v>
      </c>
      <c r="VK26" s="55">
        <v>2</v>
      </c>
      <c r="VL26" s="1"/>
      <c r="VM26" s="58">
        <v>5</v>
      </c>
      <c r="VN26" s="59">
        <v>92.753623188405797</v>
      </c>
      <c r="VO26" s="4">
        <v>1072743</v>
      </c>
      <c r="VP26" s="39">
        <v>132</v>
      </c>
      <c r="VQ26" s="39">
        <v>34</v>
      </c>
      <c r="VR26" s="1"/>
      <c r="VS26" s="1"/>
      <c r="VT26" s="1"/>
      <c r="VU26" s="1"/>
      <c r="VV26" s="1"/>
      <c r="VW26" s="1"/>
      <c r="VX26" s="1"/>
      <c r="VY26" s="55" t="s">
        <v>251</v>
      </c>
      <c r="VZ26" s="1"/>
      <c r="WA26" s="56" t="s">
        <v>251</v>
      </c>
      <c r="WB26" s="1"/>
      <c r="WC26" s="1"/>
      <c r="WD26" s="2">
        <v>3</v>
      </c>
      <c r="WE26" s="55">
        <v>82.352941176470594</v>
      </c>
      <c r="WF26" s="1"/>
      <c r="WG26" s="1"/>
      <c r="WH26" s="1"/>
      <c r="WI26" s="1"/>
      <c r="WJ26" s="1"/>
      <c r="WK26" s="1"/>
      <c r="WL26" s="55" t="s">
        <v>251</v>
      </c>
      <c r="WM26" s="1"/>
      <c r="WN26" s="56" t="s">
        <v>251</v>
      </c>
      <c r="WO26" s="1"/>
      <c r="WP26" s="1"/>
      <c r="WQ26" s="2">
        <v>0</v>
      </c>
      <c r="WR26" s="55">
        <v>100</v>
      </c>
      <c r="WS26" s="55" t="s">
        <v>251</v>
      </c>
      <c r="WT26" s="55" t="s">
        <v>251</v>
      </c>
      <c r="WU26" s="56" t="s">
        <v>251</v>
      </c>
      <c r="WV26" s="57" t="s">
        <v>251</v>
      </c>
      <c r="WW26" s="55" t="s">
        <v>251</v>
      </c>
      <c r="WX26" s="1"/>
      <c r="WY26" s="58">
        <v>3</v>
      </c>
      <c r="WZ26" s="59">
        <v>91.17647058823529</v>
      </c>
      <c r="XA26" s="4">
        <v>1072748</v>
      </c>
      <c r="XB26" s="39">
        <v>133</v>
      </c>
      <c r="XC26" s="39">
        <v>34</v>
      </c>
      <c r="XD26" s="1"/>
      <c r="XE26" s="1"/>
      <c r="XF26" s="1"/>
      <c r="XG26" s="1"/>
      <c r="XH26" s="1"/>
      <c r="XI26" s="1"/>
      <c r="XJ26" s="1"/>
      <c r="XK26" s="55" t="s">
        <v>251</v>
      </c>
      <c r="XL26" s="1"/>
      <c r="XM26" s="56" t="s">
        <v>251</v>
      </c>
      <c r="XN26" s="1"/>
      <c r="XO26" s="1"/>
      <c r="XP26" s="2">
        <v>3</v>
      </c>
      <c r="XQ26" s="55">
        <v>82.352941176470594</v>
      </c>
      <c r="XR26" s="1"/>
      <c r="XS26" s="1"/>
      <c r="XT26" s="1"/>
      <c r="XU26" s="1"/>
      <c r="XV26" s="1"/>
      <c r="XW26" s="1"/>
      <c r="XX26" s="55" t="s">
        <v>251</v>
      </c>
      <c r="XY26" s="1"/>
      <c r="XZ26" s="56" t="s">
        <v>251</v>
      </c>
      <c r="YA26" s="1"/>
      <c r="YB26" s="1"/>
      <c r="YC26" s="2">
        <v>0</v>
      </c>
      <c r="YD26" s="55">
        <v>100</v>
      </c>
      <c r="YE26" s="55" t="s">
        <v>251</v>
      </c>
      <c r="YF26" s="55" t="s">
        <v>251</v>
      </c>
      <c r="YG26" s="56" t="s">
        <v>251</v>
      </c>
      <c r="YH26" s="57" t="s">
        <v>251</v>
      </c>
      <c r="YI26" s="55" t="s">
        <v>251</v>
      </c>
      <c r="YJ26" s="1"/>
      <c r="YK26" s="58">
        <v>3</v>
      </c>
      <c r="YL26" s="59">
        <v>91.17647058823529</v>
      </c>
      <c r="YM26" s="4">
        <v>1072743</v>
      </c>
      <c r="YN26" s="39">
        <v>135</v>
      </c>
      <c r="YO26" s="39">
        <v>33</v>
      </c>
      <c r="YP26" s="1"/>
      <c r="YQ26" s="1"/>
      <c r="YR26" s="1"/>
      <c r="YS26" s="1"/>
      <c r="YT26" s="1"/>
      <c r="YU26" s="1"/>
      <c r="YV26" s="1"/>
      <c r="YW26" s="55" t="s">
        <v>251</v>
      </c>
      <c r="YX26" s="1"/>
      <c r="YY26" s="56" t="s">
        <v>251</v>
      </c>
      <c r="YZ26" s="1"/>
      <c r="ZA26" s="1"/>
      <c r="ZB26" s="2">
        <v>4</v>
      </c>
      <c r="ZC26" s="55">
        <v>75.757575757575751</v>
      </c>
      <c r="ZD26" s="1"/>
      <c r="ZE26" s="1"/>
      <c r="ZF26" s="1"/>
      <c r="ZG26" s="1"/>
      <c r="ZH26" s="1"/>
      <c r="ZI26" s="1"/>
      <c r="ZJ26" s="55" t="s">
        <v>251</v>
      </c>
      <c r="ZK26" s="1"/>
      <c r="ZL26" s="56" t="s">
        <v>251</v>
      </c>
      <c r="ZM26" s="1"/>
      <c r="ZN26" s="1"/>
      <c r="ZO26" s="2">
        <v>1</v>
      </c>
      <c r="ZP26" s="55">
        <v>93.939393939393938</v>
      </c>
      <c r="ZQ26" s="55" t="s">
        <v>251</v>
      </c>
      <c r="ZR26" s="55" t="s">
        <v>251</v>
      </c>
      <c r="ZS26" s="56" t="s">
        <v>251</v>
      </c>
      <c r="ZT26" s="57" t="s">
        <v>251</v>
      </c>
      <c r="ZU26" s="55" t="s">
        <v>251</v>
      </c>
      <c r="ZV26" s="1"/>
      <c r="ZW26" s="58">
        <v>5</v>
      </c>
      <c r="ZX26" s="59">
        <v>84.848484848484844</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3984841</v>
      </c>
      <c r="F27" s="89">
        <f t="shared" si="401"/>
        <v>1</v>
      </c>
      <c r="G27" s="89" t="str">
        <f t="shared" si="402"/>
        <v>B</v>
      </c>
      <c r="H27" s="37" t="s">
        <v>196</v>
      </c>
      <c r="I27" s="37" t="s">
        <v>197</v>
      </c>
      <c r="J27" s="41" t="s">
        <v>198</v>
      </c>
      <c r="K27" s="90" t="str">
        <f t="shared" si="403"/>
        <v>A</v>
      </c>
      <c r="L27" s="41" t="s">
        <v>119</v>
      </c>
      <c r="M27" s="93">
        <v>42570</v>
      </c>
      <c r="N27" s="41"/>
      <c r="O27" s="43" t="s">
        <v>242</v>
      </c>
      <c r="P27" s="91" t="str">
        <f t="shared" si="404"/>
        <v>Məmmədova Ramilə Xasay</v>
      </c>
      <c r="Q27" s="4">
        <v>1072743</v>
      </c>
      <c r="R27" s="39">
        <v>101</v>
      </c>
      <c r="S27" s="39">
        <v>270</v>
      </c>
      <c r="T27" s="1"/>
      <c r="U27" s="1"/>
      <c r="V27" s="1"/>
      <c r="W27" s="1"/>
      <c r="X27" s="1"/>
      <c r="Y27" s="1"/>
      <c r="Z27" s="1"/>
      <c r="AA27" s="55" t="s">
        <v>251</v>
      </c>
      <c r="AB27" s="1"/>
      <c r="AC27" s="56" t="s">
        <v>251</v>
      </c>
      <c r="AD27" s="1"/>
      <c r="AE27" s="1"/>
      <c r="AF27" s="2">
        <v>24</v>
      </c>
      <c r="AG27" s="55">
        <v>82.222222222222229</v>
      </c>
      <c r="AH27" s="1"/>
      <c r="AI27" s="1"/>
      <c r="AJ27" s="1"/>
      <c r="AK27" s="1"/>
      <c r="AL27" s="1"/>
      <c r="AM27" s="1"/>
      <c r="AN27" s="55" t="s">
        <v>251</v>
      </c>
      <c r="AO27" s="1"/>
      <c r="AP27" s="56" t="s">
        <v>251</v>
      </c>
      <c r="AQ27" s="1"/>
      <c r="AR27" s="1"/>
      <c r="AS27" s="2">
        <v>0</v>
      </c>
      <c r="AT27" s="55">
        <v>100</v>
      </c>
      <c r="AU27" s="55" t="s">
        <v>251</v>
      </c>
      <c r="AV27" s="55" t="s">
        <v>251</v>
      </c>
      <c r="AW27" s="56" t="s">
        <v>251</v>
      </c>
      <c r="AX27" s="57" t="s">
        <v>251</v>
      </c>
      <c r="AY27" s="55" t="s">
        <v>251</v>
      </c>
      <c r="AZ27" s="1"/>
      <c r="BA27" s="58">
        <v>24</v>
      </c>
      <c r="BB27" s="59">
        <v>91.111111111111114</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1273950</v>
      </c>
      <c r="EB27" s="39">
        <v>106</v>
      </c>
      <c r="EC27" s="39">
        <v>33</v>
      </c>
      <c r="ED27" s="1"/>
      <c r="EE27" s="1"/>
      <c r="EF27" s="1"/>
      <c r="EG27" s="1"/>
      <c r="EH27" s="1"/>
      <c r="EI27" s="1"/>
      <c r="EJ27" s="1"/>
      <c r="EK27" s="55" t="s">
        <v>251</v>
      </c>
      <c r="EL27" s="1"/>
      <c r="EM27" s="56" t="s">
        <v>251</v>
      </c>
      <c r="EN27" s="1"/>
      <c r="EO27" s="1"/>
      <c r="EP27" s="2">
        <v>0</v>
      </c>
      <c r="EQ27" s="55">
        <v>100</v>
      </c>
      <c r="ER27" s="1"/>
      <c r="ES27" s="1"/>
      <c r="ET27" s="1"/>
      <c r="EU27" s="1"/>
      <c r="EV27" s="1"/>
      <c r="EW27" s="1"/>
      <c r="EX27" s="55" t="s">
        <v>251</v>
      </c>
      <c r="EY27" s="1"/>
      <c r="EZ27" s="56" t="s">
        <v>251</v>
      </c>
      <c r="FA27" s="1"/>
      <c r="FB27" s="1"/>
      <c r="FC27" s="2">
        <v>0</v>
      </c>
      <c r="FD27" s="55">
        <v>100</v>
      </c>
      <c r="FE27" s="55" t="s">
        <v>251</v>
      </c>
      <c r="FF27" s="55" t="s">
        <v>251</v>
      </c>
      <c r="FG27" s="56" t="s">
        <v>251</v>
      </c>
      <c r="FH27" s="57" t="s">
        <v>251</v>
      </c>
      <c r="FI27" s="55" t="s">
        <v>251</v>
      </c>
      <c r="FJ27" s="1"/>
      <c r="FK27" s="58">
        <v>0</v>
      </c>
      <c r="FL27" s="59">
        <v>100</v>
      </c>
      <c r="FM27" s="4">
        <v>1072743</v>
      </c>
      <c r="FN27" s="39">
        <v>110</v>
      </c>
      <c r="FO27" s="39">
        <v>168</v>
      </c>
      <c r="FP27" s="1"/>
      <c r="FQ27" s="1"/>
      <c r="FR27" s="1"/>
      <c r="FS27" s="1"/>
      <c r="FT27" s="1"/>
      <c r="FU27" s="1"/>
      <c r="FV27" s="1"/>
      <c r="FW27" s="55" t="s">
        <v>251</v>
      </c>
      <c r="FX27" s="1"/>
      <c r="FY27" s="56" t="s">
        <v>251</v>
      </c>
      <c r="FZ27" s="1"/>
      <c r="GA27" s="1"/>
      <c r="GB27" s="2">
        <v>13</v>
      </c>
      <c r="GC27" s="55">
        <v>84.523809523809518</v>
      </c>
      <c r="GD27" s="1"/>
      <c r="GE27" s="1"/>
      <c r="GF27" s="1"/>
      <c r="GG27" s="1"/>
      <c r="GH27" s="1"/>
      <c r="GI27" s="1"/>
      <c r="GJ27" s="55" t="s">
        <v>251</v>
      </c>
      <c r="GK27" s="1"/>
      <c r="GL27" s="56" t="s">
        <v>251</v>
      </c>
      <c r="GM27" s="1"/>
      <c r="GN27" s="1"/>
      <c r="GO27" s="2">
        <v>0</v>
      </c>
      <c r="GP27" s="55">
        <v>100</v>
      </c>
      <c r="GQ27" s="55" t="s">
        <v>251</v>
      </c>
      <c r="GR27" s="55" t="s">
        <v>251</v>
      </c>
      <c r="GS27" s="56" t="s">
        <v>251</v>
      </c>
      <c r="GT27" s="57" t="s">
        <v>251</v>
      </c>
      <c r="GU27" s="55" t="s">
        <v>251</v>
      </c>
      <c r="GV27" s="1"/>
      <c r="GW27" s="58">
        <v>13</v>
      </c>
      <c r="GX27" s="59">
        <v>92.261904761904759</v>
      </c>
      <c r="GY27" s="4">
        <v>1199044</v>
      </c>
      <c r="GZ27" s="39">
        <v>114</v>
      </c>
      <c r="HA27" s="39">
        <v>33</v>
      </c>
      <c r="HB27" s="1"/>
      <c r="HC27" s="1"/>
      <c r="HD27" s="1"/>
      <c r="HE27" s="1"/>
      <c r="HF27" s="1"/>
      <c r="HG27" s="1"/>
      <c r="HH27" s="1"/>
      <c r="HI27" s="55" t="s">
        <v>251</v>
      </c>
      <c r="HJ27" s="1"/>
      <c r="HK27" s="56" t="s">
        <v>251</v>
      </c>
      <c r="HL27" s="1"/>
      <c r="HM27" s="1"/>
      <c r="HN27" s="2">
        <v>0</v>
      </c>
      <c r="HO27" s="55">
        <v>100</v>
      </c>
      <c r="HP27" s="1"/>
      <c r="HQ27" s="1"/>
      <c r="HR27" s="1"/>
      <c r="HS27" s="1"/>
      <c r="HT27" s="1"/>
      <c r="HU27" s="1"/>
      <c r="HV27" s="55" t="s">
        <v>251</v>
      </c>
      <c r="HW27" s="1"/>
      <c r="HX27" s="56" t="s">
        <v>251</v>
      </c>
      <c r="HY27" s="1"/>
      <c r="HZ27" s="1"/>
      <c r="IA27" s="2">
        <v>0</v>
      </c>
      <c r="IB27" s="55">
        <v>100</v>
      </c>
      <c r="IC27" s="55" t="s">
        <v>251</v>
      </c>
      <c r="ID27" s="55" t="s">
        <v>251</v>
      </c>
      <c r="IE27" s="56" t="s">
        <v>251</v>
      </c>
      <c r="IF27" s="57" t="s">
        <v>251</v>
      </c>
      <c r="IG27" s="55" t="s">
        <v>251</v>
      </c>
      <c r="IH27" s="1"/>
      <c r="II27" s="58">
        <v>0</v>
      </c>
      <c r="IJ27" s="59">
        <v>100</v>
      </c>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1072743</v>
      </c>
      <c r="PT27" s="39">
        <v>128</v>
      </c>
      <c r="PU27" s="39">
        <v>33</v>
      </c>
      <c r="PV27" s="1"/>
      <c r="PW27" s="1"/>
      <c r="PX27" s="1"/>
      <c r="PY27" s="1"/>
      <c r="PZ27" s="1"/>
      <c r="QA27" s="1"/>
      <c r="QB27" s="1"/>
      <c r="QC27" s="55" t="s">
        <v>251</v>
      </c>
      <c r="QD27" s="1"/>
      <c r="QE27" s="56" t="s">
        <v>251</v>
      </c>
      <c r="QF27" s="1"/>
      <c r="QG27" s="1"/>
      <c r="QH27" s="2">
        <v>1</v>
      </c>
      <c r="QI27" s="55">
        <v>93.939393939393938</v>
      </c>
      <c r="QJ27" s="1"/>
      <c r="QK27" s="1"/>
      <c r="QL27" s="1"/>
      <c r="QM27" s="1"/>
      <c r="QN27" s="1"/>
      <c r="QO27" s="1"/>
      <c r="QP27" s="55" t="s">
        <v>251</v>
      </c>
      <c r="QQ27" s="1"/>
      <c r="QR27" s="56" t="s">
        <v>251</v>
      </c>
      <c r="QS27" s="1"/>
      <c r="QT27" s="1"/>
      <c r="QU27" s="2">
        <v>0</v>
      </c>
      <c r="QV27" s="55">
        <v>100</v>
      </c>
      <c r="QW27" s="55" t="s">
        <v>251</v>
      </c>
      <c r="QX27" s="55" t="s">
        <v>251</v>
      </c>
      <c r="QY27" s="56" t="s">
        <v>251</v>
      </c>
      <c r="QZ27" s="57" t="s">
        <v>251</v>
      </c>
      <c r="RA27" s="55" t="s">
        <v>251</v>
      </c>
      <c r="RB27" s="1"/>
      <c r="RC27" s="58">
        <v>1</v>
      </c>
      <c r="RD27" s="59">
        <v>96.969696969696969</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1072743</v>
      </c>
      <c r="UD27" s="39">
        <v>131</v>
      </c>
      <c r="UE27" s="39">
        <v>69</v>
      </c>
      <c r="UF27" s="1"/>
      <c r="UG27" s="1"/>
      <c r="UH27" s="1"/>
      <c r="UI27" s="1"/>
      <c r="UJ27" s="1"/>
      <c r="UK27" s="1"/>
      <c r="UL27" s="1"/>
      <c r="UM27" s="55" t="s">
        <v>251</v>
      </c>
      <c r="UN27" s="1"/>
      <c r="UO27" s="56" t="s">
        <v>251</v>
      </c>
      <c r="UP27" s="1"/>
      <c r="UQ27" s="1"/>
      <c r="UR27" s="2">
        <v>6</v>
      </c>
      <c r="US27" s="55">
        <v>82.608695652173907</v>
      </c>
      <c r="UT27" s="1"/>
      <c r="UU27" s="1"/>
      <c r="UV27" s="1"/>
      <c r="UW27" s="1"/>
      <c r="UX27" s="1"/>
      <c r="UY27" s="1"/>
      <c r="UZ27" s="55" t="s">
        <v>251</v>
      </c>
      <c r="VA27" s="1"/>
      <c r="VB27" s="56" t="s">
        <v>251</v>
      </c>
      <c r="VC27" s="1"/>
      <c r="VD27" s="1">
        <v>0</v>
      </c>
      <c r="VE27" s="2"/>
      <c r="VF27" s="55" t="s">
        <v>251</v>
      </c>
      <c r="VG27" s="55" t="s">
        <v>251</v>
      </c>
      <c r="VH27" s="55" t="s">
        <v>251</v>
      </c>
      <c r="VI27" s="56" t="s">
        <v>251</v>
      </c>
      <c r="VJ27" s="57" t="s">
        <v>251</v>
      </c>
      <c r="VK27" s="55">
        <v>0</v>
      </c>
      <c r="VL27" s="1"/>
      <c r="VM27" s="58">
        <v>6</v>
      </c>
      <c r="VN27" s="59">
        <v>91.304347826086953</v>
      </c>
      <c r="VO27" s="4">
        <v>1072743</v>
      </c>
      <c r="VP27" s="39">
        <v>132</v>
      </c>
      <c r="VQ27" s="39">
        <v>34</v>
      </c>
      <c r="VR27" s="1"/>
      <c r="VS27" s="1"/>
      <c r="VT27" s="1"/>
      <c r="VU27" s="1"/>
      <c r="VV27" s="1"/>
      <c r="VW27" s="1"/>
      <c r="VX27" s="1"/>
      <c r="VY27" s="55" t="s">
        <v>251</v>
      </c>
      <c r="VZ27" s="1"/>
      <c r="WA27" s="56" t="s">
        <v>251</v>
      </c>
      <c r="WB27" s="1"/>
      <c r="WC27" s="1"/>
      <c r="WD27" s="2">
        <v>3</v>
      </c>
      <c r="WE27" s="55">
        <v>82.352941176470594</v>
      </c>
      <c r="WF27" s="1"/>
      <c r="WG27" s="1"/>
      <c r="WH27" s="1"/>
      <c r="WI27" s="1"/>
      <c r="WJ27" s="1"/>
      <c r="WK27" s="1"/>
      <c r="WL27" s="55" t="s">
        <v>251</v>
      </c>
      <c r="WM27" s="1"/>
      <c r="WN27" s="56" t="s">
        <v>251</v>
      </c>
      <c r="WO27" s="1"/>
      <c r="WP27" s="1"/>
      <c r="WQ27" s="2">
        <v>0</v>
      </c>
      <c r="WR27" s="55">
        <v>100</v>
      </c>
      <c r="WS27" s="55" t="s">
        <v>251</v>
      </c>
      <c r="WT27" s="55" t="s">
        <v>251</v>
      </c>
      <c r="WU27" s="56" t="s">
        <v>251</v>
      </c>
      <c r="WV27" s="57" t="s">
        <v>251</v>
      </c>
      <c r="WW27" s="55" t="s">
        <v>251</v>
      </c>
      <c r="WX27" s="1"/>
      <c r="WY27" s="58">
        <v>3</v>
      </c>
      <c r="WZ27" s="59">
        <v>91.17647058823529</v>
      </c>
      <c r="XA27" s="4">
        <v>1072748</v>
      </c>
      <c r="XB27" s="39">
        <v>133</v>
      </c>
      <c r="XC27" s="39">
        <v>34</v>
      </c>
      <c r="XD27" s="1"/>
      <c r="XE27" s="1"/>
      <c r="XF27" s="1"/>
      <c r="XG27" s="1"/>
      <c r="XH27" s="1"/>
      <c r="XI27" s="1"/>
      <c r="XJ27" s="1"/>
      <c r="XK27" s="55" t="s">
        <v>251</v>
      </c>
      <c r="XL27" s="1"/>
      <c r="XM27" s="56" t="s">
        <v>251</v>
      </c>
      <c r="XN27" s="1"/>
      <c r="XO27" s="1"/>
      <c r="XP27" s="2">
        <v>1</v>
      </c>
      <c r="XQ27" s="55">
        <v>94.117647058823536</v>
      </c>
      <c r="XR27" s="1"/>
      <c r="XS27" s="1"/>
      <c r="XT27" s="1"/>
      <c r="XU27" s="1"/>
      <c r="XV27" s="1"/>
      <c r="XW27" s="1"/>
      <c r="XX27" s="55" t="s">
        <v>251</v>
      </c>
      <c r="XY27" s="1"/>
      <c r="XZ27" s="56" t="s">
        <v>251</v>
      </c>
      <c r="YA27" s="1"/>
      <c r="YB27" s="1"/>
      <c r="YC27" s="2">
        <v>0</v>
      </c>
      <c r="YD27" s="55">
        <v>100</v>
      </c>
      <c r="YE27" s="55" t="s">
        <v>251</v>
      </c>
      <c r="YF27" s="55" t="s">
        <v>251</v>
      </c>
      <c r="YG27" s="56" t="s">
        <v>251</v>
      </c>
      <c r="YH27" s="57" t="s">
        <v>251</v>
      </c>
      <c r="YI27" s="55" t="s">
        <v>251</v>
      </c>
      <c r="YJ27" s="1"/>
      <c r="YK27" s="58">
        <v>1</v>
      </c>
      <c r="YL27" s="59">
        <v>97.058823529411768</v>
      </c>
      <c r="YM27" s="4">
        <v>1072743</v>
      </c>
      <c r="YN27" s="39">
        <v>135</v>
      </c>
      <c r="YO27" s="39">
        <v>33</v>
      </c>
      <c r="YP27" s="1"/>
      <c r="YQ27" s="1"/>
      <c r="YR27" s="1"/>
      <c r="YS27" s="1"/>
      <c r="YT27" s="1"/>
      <c r="YU27" s="1"/>
      <c r="YV27" s="1"/>
      <c r="YW27" s="55" t="s">
        <v>251</v>
      </c>
      <c r="YX27" s="1"/>
      <c r="YY27" s="56" t="s">
        <v>251</v>
      </c>
      <c r="YZ27" s="1"/>
      <c r="ZA27" s="1"/>
      <c r="ZB27" s="2">
        <v>3</v>
      </c>
      <c r="ZC27" s="55">
        <v>81.818181818181813</v>
      </c>
      <c r="ZD27" s="1"/>
      <c r="ZE27" s="1"/>
      <c r="ZF27" s="1"/>
      <c r="ZG27" s="1"/>
      <c r="ZH27" s="1"/>
      <c r="ZI27" s="1"/>
      <c r="ZJ27" s="55" t="s">
        <v>251</v>
      </c>
      <c r="ZK27" s="1"/>
      <c r="ZL27" s="56" t="s">
        <v>251</v>
      </c>
      <c r="ZM27" s="1"/>
      <c r="ZN27" s="1"/>
      <c r="ZO27" s="2">
        <v>0</v>
      </c>
      <c r="ZP27" s="55">
        <v>100</v>
      </c>
      <c r="ZQ27" s="55" t="s">
        <v>251</v>
      </c>
      <c r="ZR27" s="55" t="s">
        <v>251</v>
      </c>
      <c r="ZS27" s="56" t="s">
        <v>251</v>
      </c>
      <c r="ZT27" s="57" t="s">
        <v>251</v>
      </c>
      <c r="ZU27" s="55" t="s">
        <v>251</v>
      </c>
      <c r="ZV27" s="1"/>
      <c r="ZW27" s="58">
        <v>3</v>
      </c>
      <c r="ZX27" s="59">
        <v>90.909090909090907</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4238291</v>
      </c>
      <c r="F28" s="89">
        <f t="shared" si="401"/>
        <v>1</v>
      </c>
      <c r="G28" s="89" t="str">
        <f t="shared" si="402"/>
        <v>B</v>
      </c>
      <c r="H28" s="37" t="s">
        <v>199</v>
      </c>
      <c r="I28" s="37" t="s">
        <v>200</v>
      </c>
      <c r="J28" s="41" t="s">
        <v>201</v>
      </c>
      <c r="K28" s="90" t="str">
        <f t="shared" si="403"/>
        <v>A</v>
      </c>
      <c r="L28" s="41" t="s">
        <v>117</v>
      </c>
      <c r="M28" s="93">
        <v>42160</v>
      </c>
      <c r="N28" s="41"/>
      <c r="O28" s="43" t="s">
        <v>243</v>
      </c>
      <c r="P28" s="91" t="str">
        <f t="shared" si="404"/>
        <v>Məmmədova Ramilə Xasay</v>
      </c>
      <c r="Q28" s="4">
        <v>1072743</v>
      </c>
      <c r="R28" s="39">
        <v>101</v>
      </c>
      <c r="S28" s="39">
        <v>270</v>
      </c>
      <c r="T28" s="1"/>
      <c r="U28" s="1"/>
      <c r="V28" s="1"/>
      <c r="W28" s="1"/>
      <c r="X28" s="1"/>
      <c r="Y28" s="1"/>
      <c r="Z28" s="1"/>
      <c r="AA28" s="55" t="s">
        <v>251</v>
      </c>
      <c r="AB28" s="1"/>
      <c r="AC28" s="56" t="s">
        <v>251</v>
      </c>
      <c r="AD28" s="1"/>
      <c r="AE28" s="1"/>
      <c r="AF28" s="2">
        <v>36</v>
      </c>
      <c r="AG28" s="55">
        <v>73.333333333333329</v>
      </c>
      <c r="AH28" s="1"/>
      <c r="AI28" s="1"/>
      <c r="AJ28" s="1"/>
      <c r="AK28" s="1"/>
      <c r="AL28" s="1"/>
      <c r="AM28" s="1"/>
      <c r="AN28" s="55" t="s">
        <v>251</v>
      </c>
      <c r="AO28" s="1"/>
      <c r="AP28" s="56" t="s">
        <v>251</v>
      </c>
      <c r="AQ28" s="1"/>
      <c r="AR28" s="1"/>
      <c r="AS28" s="2">
        <v>8</v>
      </c>
      <c r="AT28" s="55">
        <v>94.074074074074076</v>
      </c>
      <c r="AU28" s="55" t="s">
        <v>251</v>
      </c>
      <c r="AV28" s="55" t="s">
        <v>251</v>
      </c>
      <c r="AW28" s="56" t="s">
        <v>251</v>
      </c>
      <c r="AX28" s="57" t="s">
        <v>251</v>
      </c>
      <c r="AY28" s="55" t="s">
        <v>251</v>
      </c>
      <c r="AZ28" s="1"/>
      <c r="BA28" s="58">
        <v>44</v>
      </c>
      <c r="BB28" s="59">
        <v>83.703703703703709</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1273950</v>
      </c>
      <c r="EB28" s="39">
        <v>106</v>
      </c>
      <c r="EC28" s="39">
        <v>33</v>
      </c>
      <c r="ED28" s="1"/>
      <c r="EE28" s="1"/>
      <c r="EF28" s="1"/>
      <c r="EG28" s="1"/>
      <c r="EH28" s="1"/>
      <c r="EI28" s="1"/>
      <c r="EJ28" s="1"/>
      <c r="EK28" s="55" t="s">
        <v>251</v>
      </c>
      <c r="EL28" s="1"/>
      <c r="EM28" s="56" t="s">
        <v>251</v>
      </c>
      <c r="EN28" s="1"/>
      <c r="EO28" s="1"/>
      <c r="EP28" s="2">
        <v>0</v>
      </c>
      <c r="EQ28" s="55">
        <v>100</v>
      </c>
      <c r="ER28" s="1"/>
      <c r="ES28" s="1"/>
      <c r="ET28" s="1"/>
      <c r="EU28" s="1"/>
      <c r="EV28" s="1"/>
      <c r="EW28" s="1"/>
      <c r="EX28" s="55" t="s">
        <v>251</v>
      </c>
      <c r="EY28" s="1"/>
      <c r="EZ28" s="56" t="s">
        <v>251</v>
      </c>
      <c r="FA28" s="1"/>
      <c r="FB28" s="1"/>
      <c r="FC28" s="2">
        <v>0</v>
      </c>
      <c r="FD28" s="55">
        <v>100</v>
      </c>
      <c r="FE28" s="55" t="s">
        <v>251</v>
      </c>
      <c r="FF28" s="55" t="s">
        <v>251</v>
      </c>
      <c r="FG28" s="56" t="s">
        <v>251</v>
      </c>
      <c r="FH28" s="57" t="s">
        <v>251</v>
      </c>
      <c r="FI28" s="55" t="s">
        <v>251</v>
      </c>
      <c r="FJ28" s="1"/>
      <c r="FK28" s="58">
        <v>0</v>
      </c>
      <c r="FL28" s="59">
        <v>100</v>
      </c>
      <c r="FM28" s="4">
        <v>1072743</v>
      </c>
      <c r="FN28" s="39">
        <v>110</v>
      </c>
      <c r="FO28" s="39">
        <v>168</v>
      </c>
      <c r="FP28" s="1"/>
      <c r="FQ28" s="1"/>
      <c r="FR28" s="1"/>
      <c r="FS28" s="1"/>
      <c r="FT28" s="1"/>
      <c r="FU28" s="1"/>
      <c r="FV28" s="1"/>
      <c r="FW28" s="55" t="s">
        <v>251</v>
      </c>
      <c r="FX28" s="1"/>
      <c r="FY28" s="56" t="s">
        <v>251</v>
      </c>
      <c r="FZ28" s="1"/>
      <c r="GA28" s="1"/>
      <c r="GB28" s="2">
        <v>22</v>
      </c>
      <c r="GC28" s="55">
        <v>73.80952380952381</v>
      </c>
      <c r="GD28" s="1"/>
      <c r="GE28" s="1"/>
      <c r="GF28" s="1"/>
      <c r="GG28" s="1"/>
      <c r="GH28" s="1"/>
      <c r="GI28" s="1"/>
      <c r="GJ28" s="55" t="s">
        <v>251</v>
      </c>
      <c r="GK28" s="1"/>
      <c r="GL28" s="56" t="s">
        <v>251</v>
      </c>
      <c r="GM28" s="1"/>
      <c r="GN28" s="1"/>
      <c r="GO28" s="2">
        <v>6</v>
      </c>
      <c r="GP28" s="55">
        <v>92.857142857142861</v>
      </c>
      <c r="GQ28" s="55" t="s">
        <v>251</v>
      </c>
      <c r="GR28" s="55" t="s">
        <v>251</v>
      </c>
      <c r="GS28" s="56" t="s">
        <v>251</v>
      </c>
      <c r="GT28" s="57" t="s">
        <v>251</v>
      </c>
      <c r="GU28" s="55" t="s">
        <v>251</v>
      </c>
      <c r="GV28" s="1"/>
      <c r="GW28" s="58">
        <v>28</v>
      </c>
      <c r="GX28" s="59">
        <v>83.333333333333329</v>
      </c>
      <c r="GY28" s="4">
        <v>1199044</v>
      </c>
      <c r="GZ28" s="39">
        <v>114</v>
      </c>
      <c r="HA28" s="39">
        <v>33</v>
      </c>
      <c r="HB28" s="1"/>
      <c r="HC28" s="1"/>
      <c r="HD28" s="1"/>
      <c r="HE28" s="1"/>
      <c r="HF28" s="1"/>
      <c r="HG28" s="1"/>
      <c r="HH28" s="1"/>
      <c r="HI28" s="55" t="s">
        <v>251</v>
      </c>
      <c r="HJ28" s="1"/>
      <c r="HK28" s="56" t="s">
        <v>251</v>
      </c>
      <c r="HL28" s="1"/>
      <c r="HM28" s="1"/>
      <c r="HN28" s="2">
        <v>0</v>
      </c>
      <c r="HO28" s="55">
        <v>100</v>
      </c>
      <c r="HP28" s="1"/>
      <c r="HQ28" s="1"/>
      <c r="HR28" s="1"/>
      <c r="HS28" s="1"/>
      <c r="HT28" s="1"/>
      <c r="HU28" s="1"/>
      <c r="HV28" s="55" t="s">
        <v>251</v>
      </c>
      <c r="HW28" s="1"/>
      <c r="HX28" s="56" t="s">
        <v>251</v>
      </c>
      <c r="HY28" s="1"/>
      <c r="HZ28" s="1"/>
      <c r="IA28" s="2">
        <v>0</v>
      </c>
      <c r="IB28" s="55">
        <v>100</v>
      </c>
      <c r="IC28" s="55" t="s">
        <v>251</v>
      </c>
      <c r="ID28" s="55" t="s">
        <v>251</v>
      </c>
      <c r="IE28" s="56" t="s">
        <v>251</v>
      </c>
      <c r="IF28" s="57" t="s">
        <v>251</v>
      </c>
      <c r="IG28" s="55" t="s">
        <v>251</v>
      </c>
      <c r="IH28" s="1"/>
      <c r="II28" s="58">
        <v>0</v>
      </c>
      <c r="IJ28" s="59">
        <v>100</v>
      </c>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1072743</v>
      </c>
      <c r="PT28" s="39">
        <v>128</v>
      </c>
      <c r="PU28" s="39">
        <v>33</v>
      </c>
      <c r="PV28" s="1"/>
      <c r="PW28" s="1"/>
      <c r="PX28" s="1"/>
      <c r="PY28" s="1"/>
      <c r="PZ28" s="1"/>
      <c r="QA28" s="1"/>
      <c r="QB28" s="1"/>
      <c r="QC28" s="55" t="s">
        <v>251</v>
      </c>
      <c r="QD28" s="1"/>
      <c r="QE28" s="56" t="s">
        <v>251</v>
      </c>
      <c r="QF28" s="1"/>
      <c r="QG28" s="1"/>
      <c r="QH28" s="2">
        <v>2</v>
      </c>
      <c r="QI28" s="55">
        <v>87.878787878787875</v>
      </c>
      <c r="QJ28" s="1"/>
      <c r="QK28" s="1"/>
      <c r="QL28" s="1"/>
      <c r="QM28" s="1"/>
      <c r="QN28" s="1"/>
      <c r="QO28" s="1"/>
      <c r="QP28" s="55" t="s">
        <v>251</v>
      </c>
      <c r="QQ28" s="1"/>
      <c r="QR28" s="56" t="s">
        <v>251</v>
      </c>
      <c r="QS28" s="1"/>
      <c r="QT28" s="1"/>
      <c r="QU28" s="2">
        <v>1</v>
      </c>
      <c r="QV28" s="55">
        <v>93.939393939393938</v>
      </c>
      <c r="QW28" s="55" t="s">
        <v>251</v>
      </c>
      <c r="QX28" s="55" t="s">
        <v>251</v>
      </c>
      <c r="QY28" s="56" t="s">
        <v>251</v>
      </c>
      <c r="QZ28" s="57" t="s">
        <v>251</v>
      </c>
      <c r="RA28" s="55" t="s">
        <v>251</v>
      </c>
      <c r="RB28" s="1"/>
      <c r="RC28" s="58">
        <v>3</v>
      </c>
      <c r="RD28" s="59">
        <v>90.909090909090907</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1072743</v>
      </c>
      <c r="UD28" s="39">
        <v>131</v>
      </c>
      <c r="UE28" s="39">
        <v>69</v>
      </c>
      <c r="UF28" s="1"/>
      <c r="UG28" s="1"/>
      <c r="UH28" s="1"/>
      <c r="UI28" s="1"/>
      <c r="UJ28" s="1"/>
      <c r="UK28" s="1"/>
      <c r="UL28" s="1"/>
      <c r="UM28" s="55" t="s">
        <v>251</v>
      </c>
      <c r="UN28" s="1"/>
      <c r="UO28" s="56" t="s">
        <v>251</v>
      </c>
      <c r="UP28" s="1"/>
      <c r="UQ28" s="1"/>
      <c r="UR28" s="2">
        <v>5</v>
      </c>
      <c r="US28" s="55">
        <v>85.507246376811594</v>
      </c>
      <c r="UT28" s="1"/>
      <c r="UU28" s="1"/>
      <c r="UV28" s="1"/>
      <c r="UW28" s="1"/>
      <c r="UX28" s="1"/>
      <c r="UY28" s="1"/>
      <c r="UZ28" s="55" t="s">
        <v>251</v>
      </c>
      <c r="VA28" s="1"/>
      <c r="VB28" s="56" t="s">
        <v>251</v>
      </c>
      <c r="VC28" s="1"/>
      <c r="VD28" s="1">
        <v>1</v>
      </c>
      <c r="VE28" s="2"/>
      <c r="VF28" s="55" t="s">
        <v>251</v>
      </c>
      <c r="VG28" s="55" t="s">
        <v>251</v>
      </c>
      <c r="VH28" s="55" t="s">
        <v>251</v>
      </c>
      <c r="VI28" s="56" t="s">
        <v>251</v>
      </c>
      <c r="VJ28" s="57" t="s">
        <v>251</v>
      </c>
      <c r="VK28" s="55">
        <v>1</v>
      </c>
      <c r="VL28" s="1"/>
      <c r="VM28" s="58">
        <v>5</v>
      </c>
      <c r="VN28" s="59">
        <v>92.753623188405797</v>
      </c>
      <c r="VO28" s="4">
        <v>1072743</v>
      </c>
      <c r="VP28" s="39">
        <v>132</v>
      </c>
      <c r="VQ28" s="39">
        <v>34</v>
      </c>
      <c r="VR28" s="1"/>
      <c r="VS28" s="1"/>
      <c r="VT28" s="1"/>
      <c r="VU28" s="1"/>
      <c r="VV28" s="1"/>
      <c r="VW28" s="1"/>
      <c r="VX28" s="1"/>
      <c r="VY28" s="55" t="s">
        <v>251</v>
      </c>
      <c r="VZ28" s="1"/>
      <c r="WA28" s="56" t="s">
        <v>251</v>
      </c>
      <c r="WB28" s="1"/>
      <c r="WC28" s="1"/>
      <c r="WD28" s="2">
        <v>5</v>
      </c>
      <c r="WE28" s="55">
        <v>70.588235294117652</v>
      </c>
      <c r="WF28" s="1"/>
      <c r="WG28" s="1"/>
      <c r="WH28" s="1"/>
      <c r="WI28" s="1"/>
      <c r="WJ28" s="1"/>
      <c r="WK28" s="1"/>
      <c r="WL28" s="55" t="s">
        <v>251</v>
      </c>
      <c r="WM28" s="1"/>
      <c r="WN28" s="56" t="s">
        <v>251</v>
      </c>
      <c r="WO28" s="1"/>
      <c r="WP28" s="1"/>
      <c r="WQ28" s="2">
        <v>1</v>
      </c>
      <c r="WR28" s="55">
        <v>94.117647058823536</v>
      </c>
      <c r="WS28" s="55" t="s">
        <v>251</v>
      </c>
      <c r="WT28" s="55" t="s">
        <v>251</v>
      </c>
      <c r="WU28" s="56" t="s">
        <v>251</v>
      </c>
      <c r="WV28" s="57" t="s">
        <v>251</v>
      </c>
      <c r="WW28" s="55" t="s">
        <v>251</v>
      </c>
      <c r="WX28" s="1"/>
      <c r="WY28" s="58">
        <v>6</v>
      </c>
      <c r="WZ28" s="59">
        <v>82.352941176470594</v>
      </c>
      <c r="XA28" s="4">
        <v>1072748</v>
      </c>
      <c r="XB28" s="39">
        <v>133</v>
      </c>
      <c r="XC28" s="39">
        <v>34</v>
      </c>
      <c r="XD28" s="1"/>
      <c r="XE28" s="1"/>
      <c r="XF28" s="1"/>
      <c r="XG28" s="1"/>
      <c r="XH28" s="1"/>
      <c r="XI28" s="1"/>
      <c r="XJ28" s="1"/>
      <c r="XK28" s="55" t="s">
        <v>251</v>
      </c>
      <c r="XL28" s="1"/>
      <c r="XM28" s="56" t="s">
        <v>251</v>
      </c>
      <c r="XN28" s="1"/>
      <c r="XO28" s="1"/>
      <c r="XP28" s="2">
        <v>2</v>
      </c>
      <c r="XQ28" s="55">
        <v>88.235294117647058</v>
      </c>
      <c r="XR28" s="1"/>
      <c r="XS28" s="1"/>
      <c r="XT28" s="1"/>
      <c r="XU28" s="1"/>
      <c r="XV28" s="1"/>
      <c r="XW28" s="1"/>
      <c r="XX28" s="55" t="s">
        <v>251</v>
      </c>
      <c r="XY28" s="1"/>
      <c r="XZ28" s="56" t="s">
        <v>251</v>
      </c>
      <c r="YA28" s="1"/>
      <c r="YB28" s="1"/>
      <c r="YC28" s="2">
        <v>1</v>
      </c>
      <c r="YD28" s="55">
        <v>94.117647058823536</v>
      </c>
      <c r="YE28" s="55" t="s">
        <v>251</v>
      </c>
      <c r="YF28" s="55" t="s">
        <v>251</v>
      </c>
      <c r="YG28" s="56" t="s">
        <v>251</v>
      </c>
      <c r="YH28" s="57" t="s">
        <v>251</v>
      </c>
      <c r="YI28" s="55" t="s">
        <v>251</v>
      </c>
      <c r="YJ28" s="1"/>
      <c r="YK28" s="58">
        <v>3</v>
      </c>
      <c r="YL28" s="59">
        <v>91.17647058823529</v>
      </c>
      <c r="YM28" s="4">
        <v>1072743</v>
      </c>
      <c r="YN28" s="39">
        <v>135</v>
      </c>
      <c r="YO28" s="39">
        <v>33</v>
      </c>
      <c r="YP28" s="1"/>
      <c r="YQ28" s="1"/>
      <c r="YR28" s="1"/>
      <c r="YS28" s="1"/>
      <c r="YT28" s="1"/>
      <c r="YU28" s="1"/>
      <c r="YV28" s="1"/>
      <c r="YW28" s="55" t="s">
        <v>251</v>
      </c>
      <c r="YX28" s="1"/>
      <c r="YY28" s="56" t="s">
        <v>251</v>
      </c>
      <c r="YZ28" s="1"/>
      <c r="ZA28" s="1"/>
      <c r="ZB28" s="2">
        <v>2</v>
      </c>
      <c r="ZC28" s="55">
        <v>87.878787878787875</v>
      </c>
      <c r="ZD28" s="1"/>
      <c r="ZE28" s="1"/>
      <c r="ZF28" s="1"/>
      <c r="ZG28" s="1"/>
      <c r="ZH28" s="1"/>
      <c r="ZI28" s="1"/>
      <c r="ZJ28" s="55" t="s">
        <v>251</v>
      </c>
      <c r="ZK28" s="1"/>
      <c r="ZL28" s="56" t="s">
        <v>251</v>
      </c>
      <c r="ZM28" s="1"/>
      <c r="ZN28" s="1"/>
      <c r="ZO28" s="2">
        <v>2</v>
      </c>
      <c r="ZP28" s="55">
        <v>87.878787878787875</v>
      </c>
      <c r="ZQ28" s="55" t="s">
        <v>251</v>
      </c>
      <c r="ZR28" s="55" t="s">
        <v>251</v>
      </c>
      <c r="ZS28" s="56" t="s">
        <v>251</v>
      </c>
      <c r="ZT28" s="57" t="s">
        <v>251</v>
      </c>
      <c r="ZU28" s="55" t="s">
        <v>251</v>
      </c>
      <c r="ZV28" s="1"/>
      <c r="ZW28" s="58">
        <v>4</v>
      </c>
      <c r="ZX28" s="59">
        <v>87.878787878787875</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4238540</v>
      </c>
      <c r="F29" s="89">
        <f t="shared" si="401"/>
        <v>1</v>
      </c>
      <c r="G29" s="89" t="str">
        <f t="shared" si="402"/>
        <v>B</v>
      </c>
      <c r="H29" s="37" t="s">
        <v>202</v>
      </c>
      <c r="I29" s="37" t="s">
        <v>203</v>
      </c>
      <c r="J29" s="41" t="s">
        <v>155</v>
      </c>
      <c r="K29" s="90" t="str">
        <f t="shared" si="403"/>
        <v>A</v>
      </c>
      <c r="L29" s="41" t="s">
        <v>117</v>
      </c>
      <c r="M29" s="93">
        <v>42602</v>
      </c>
      <c r="N29" s="41"/>
      <c r="O29" s="43" t="s">
        <v>244</v>
      </c>
      <c r="P29" s="91" t="str">
        <f t="shared" si="404"/>
        <v>Məmmədova Ramilə Xasay</v>
      </c>
      <c r="Q29" s="4">
        <v>1072743</v>
      </c>
      <c r="R29" s="39">
        <v>101</v>
      </c>
      <c r="S29" s="39">
        <v>270</v>
      </c>
      <c r="T29" s="1"/>
      <c r="U29" s="1"/>
      <c r="V29" s="1"/>
      <c r="W29" s="1"/>
      <c r="X29" s="1"/>
      <c r="Y29" s="1"/>
      <c r="Z29" s="1"/>
      <c r="AA29" s="55" t="s">
        <v>251</v>
      </c>
      <c r="AB29" s="1"/>
      <c r="AC29" s="56" t="s">
        <v>251</v>
      </c>
      <c r="AD29" s="1"/>
      <c r="AE29" s="1"/>
      <c r="AF29" s="2">
        <v>4</v>
      </c>
      <c r="AG29" s="55">
        <v>97.037037037037038</v>
      </c>
      <c r="AH29" s="1"/>
      <c r="AI29" s="1"/>
      <c r="AJ29" s="1"/>
      <c r="AK29" s="1"/>
      <c r="AL29" s="1"/>
      <c r="AM29" s="1"/>
      <c r="AN29" s="55" t="s">
        <v>251</v>
      </c>
      <c r="AO29" s="1"/>
      <c r="AP29" s="56" t="s">
        <v>251</v>
      </c>
      <c r="AQ29" s="1"/>
      <c r="AR29" s="1"/>
      <c r="AS29" s="2">
        <v>4</v>
      </c>
      <c r="AT29" s="55">
        <v>97.037037037037038</v>
      </c>
      <c r="AU29" s="55" t="s">
        <v>251</v>
      </c>
      <c r="AV29" s="55" t="s">
        <v>251</v>
      </c>
      <c r="AW29" s="56" t="s">
        <v>251</v>
      </c>
      <c r="AX29" s="57" t="s">
        <v>251</v>
      </c>
      <c r="AY29" s="55" t="s">
        <v>251</v>
      </c>
      <c r="AZ29" s="1"/>
      <c r="BA29" s="58">
        <v>8</v>
      </c>
      <c r="BB29" s="59">
        <v>97.037037037037038</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1273950</v>
      </c>
      <c r="EB29" s="39">
        <v>106</v>
      </c>
      <c r="EC29" s="39">
        <v>33</v>
      </c>
      <c r="ED29" s="1"/>
      <c r="EE29" s="1"/>
      <c r="EF29" s="1"/>
      <c r="EG29" s="1"/>
      <c r="EH29" s="1"/>
      <c r="EI29" s="1"/>
      <c r="EJ29" s="1"/>
      <c r="EK29" s="55" t="s">
        <v>251</v>
      </c>
      <c r="EL29" s="1"/>
      <c r="EM29" s="56" t="s">
        <v>251</v>
      </c>
      <c r="EN29" s="1"/>
      <c r="EO29" s="1"/>
      <c r="EP29" s="2">
        <v>0</v>
      </c>
      <c r="EQ29" s="55">
        <v>100</v>
      </c>
      <c r="ER29" s="1"/>
      <c r="ES29" s="1"/>
      <c r="ET29" s="1"/>
      <c r="EU29" s="1"/>
      <c r="EV29" s="1"/>
      <c r="EW29" s="1"/>
      <c r="EX29" s="55" t="s">
        <v>251</v>
      </c>
      <c r="EY29" s="1"/>
      <c r="EZ29" s="56" t="s">
        <v>251</v>
      </c>
      <c r="FA29" s="1"/>
      <c r="FB29" s="1"/>
      <c r="FC29" s="2">
        <v>0</v>
      </c>
      <c r="FD29" s="55">
        <v>100</v>
      </c>
      <c r="FE29" s="55" t="s">
        <v>251</v>
      </c>
      <c r="FF29" s="55" t="s">
        <v>251</v>
      </c>
      <c r="FG29" s="56" t="s">
        <v>251</v>
      </c>
      <c r="FH29" s="57" t="s">
        <v>251</v>
      </c>
      <c r="FI29" s="55" t="s">
        <v>251</v>
      </c>
      <c r="FJ29" s="1"/>
      <c r="FK29" s="58">
        <v>0</v>
      </c>
      <c r="FL29" s="59">
        <v>100</v>
      </c>
      <c r="FM29" s="4">
        <v>1072743</v>
      </c>
      <c r="FN29" s="39">
        <v>110</v>
      </c>
      <c r="FO29" s="39">
        <v>168</v>
      </c>
      <c r="FP29" s="1"/>
      <c r="FQ29" s="1"/>
      <c r="FR29" s="1"/>
      <c r="FS29" s="1"/>
      <c r="FT29" s="1"/>
      <c r="FU29" s="1"/>
      <c r="FV29" s="1"/>
      <c r="FW29" s="55" t="s">
        <v>251</v>
      </c>
      <c r="FX29" s="1"/>
      <c r="FY29" s="56" t="s">
        <v>251</v>
      </c>
      <c r="FZ29" s="1"/>
      <c r="GA29" s="1"/>
      <c r="GB29" s="2">
        <v>1</v>
      </c>
      <c r="GC29" s="55">
        <v>98.80952380952381</v>
      </c>
      <c r="GD29" s="1"/>
      <c r="GE29" s="1"/>
      <c r="GF29" s="1"/>
      <c r="GG29" s="1"/>
      <c r="GH29" s="1"/>
      <c r="GI29" s="1"/>
      <c r="GJ29" s="55" t="s">
        <v>251</v>
      </c>
      <c r="GK29" s="1"/>
      <c r="GL29" s="56" t="s">
        <v>251</v>
      </c>
      <c r="GM29" s="1"/>
      <c r="GN29" s="1"/>
      <c r="GO29" s="2">
        <v>5</v>
      </c>
      <c r="GP29" s="55">
        <v>94.047619047619051</v>
      </c>
      <c r="GQ29" s="55" t="s">
        <v>251</v>
      </c>
      <c r="GR29" s="55" t="s">
        <v>251</v>
      </c>
      <c r="GS29" s="56" t="s">
        <v>251</v>
      </c>
      <c r="GT29" s="57" t="s">
        <v>251</v>
      </c>
      <c r="GU29" s="55" t="s">
        <v>251</v>
      </c>
      <c r="GV29" s="1"/>
      <c r="GW29" s="58">
        <v>6</v>
      </c>
      <c r="GX29" s="59">
        <v>96.428571428571431</v>
      </c>
      <c r="GY29" s="4">
        <v>1199044</v>
      </c>
      <c r="GZ29" s="39">
        <v>114</v>
      </c>
      <c r="HA29" s="39">
        <v>33</v>
      </c>
      <c r="HB29" s="1"/>
      <c r="HC29" s="1"/>
      <c r="HD29" s="1"/>
      <c r="HE29" s="1"/>
      <c r="HF29" s="1"/>
      <c r="HG29" s="1"/>
      <c r="HH29" s="1"/>
      <c r="HI29" s="55" t="s">
        <v>251</v>
      </c>
      <c r="HJ29" s="1"/>
      <c r="HK29" s="56" t="s">
        <v>251</v>
      </c>
      <c r="HL29" s="1"/>
      <c r="HM29" s="1"/>
      <c r="HN29" s="2">
        <v>0</v>
      </c>
      <c r="HO29" s="55">
        <v>100</v>
      </c>
      <c r="HP29" s="1"/>
      <c r="HQ29" s="1"/>
      <c r="HR29" s="1"/>
      <c r="HS29" s="1"/>
      <c r="HT29" s="1"/>
      <c r="HU29" s="1"/>
      <c r="HV29" s="55" t="s">
        <v>251</v>
      </c>
      <c r="HW29" s="1"/>
      <c r="HX29" s="56" t="s">
        <v>251</v>
      </c>
      <c r="HY29" s="1"/>
      <c r="HZ29" s="1"/>
      <c r="IA29" s="2">
        <v>0</v>
      </c>
      <c r="IB29" s="55">
        <v>100</v>
      </c>
      <c r="IC29" s="55" t="s">
        <v>251</v>
      </c>
      <c r="ID29" s="55" t="s">
        <v>251</v>
      </c>
      <c r="IE29" s="56" t="s">
        <v>251</v>
      </c>
      <c r="IF29" s="57" t="s">
        <v>251</v>
      </c>
      <c r="IG29" s="55" t="s">
        <v>251</v>
      </c>
      <c r="IH29" s="1"/>
      <c r="II29" s="58">
        <v>0</v>
      </c>
      <c r="IJ29" s="59">
        <v>100</v>
      </c>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1072743</v>
      </c>
      <c r="PT29" s="39">
        <v>128</v>
      </c>
      <c r="PU29" s="39">
        <v>33</v>
      </c>
      <c r="PV29" s="1"/>
      <c r="PW29" s="1"/>
      <c r="PX29" s="1"/>
      <c r="PY29" s="1"/>
      <c r="PZ29" s="1"/>
      <c r="QA29" s="1"/>
      <c r="QB29" s="1"/>
      <c r="QC29" s="55" t="s">
        <v>251</v>
      </c>
      <c r="QD29" s="1"/>
      <c r="QE29" s="56" t="s">
        <v>251</v>
      </c>
      <c r="QF29" s="1"/>
      <c r="QG29" s="1"/>
      <c r="QH29" s="2">
        <v>2</v>
      </c>
      <c r="QI29" s="55">
        <v>87.878787878787875</v>
      </c>
      <c r="QJ29" s="1"/>
      <c r="QK29" s="1"/>
      <c r="QL29" s="1"/>
      <c r="QM29" s="1"/>
      <c r="QN29" s="1"/>
      <c r="QO29" s="1"/>
      <c r="QP29" s="55" t="s">
        <v>251</v>
      </c>
      <c r="QQ29" s="1"/>
      <c r="QR29" s="56" t="s">
        <v>251</v>
      </c>
      <c r="QS29" s="1"/>
      <c r="QT29" s="1"/>
      <c r="QU29" s="2">
        <v>2</v>
      </c>
      <c r="QV29" s="55">
        <v>87.878787878787875</v>
      </c>
      <c r="QW29" s="55" t="s">
        <v>251</v>
      </c>
      <c r="QX29" s="55" t="s">
        <v>251</v>
      </c>
      <c r="QY29" s="56" t="s">
        <v>251</v>
      </c>
      <c r="QZ29" s="57" t="s">
        <v>251</v>
      </c>
      <c r="RA29" s="55" t="s">
        <v>251</v>
      </c>
      <c r="RB29" s="1"/>
      <c r="RC29" s="58">
        <v>4</v>
      </c>
      <c r="RD29" s="59">
        <v>87.878787878787875</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1072743</v>
      </c>
      <c r="UD29" s="39">
        <v>131</v>
      </c>
      <c r="UE29" s="39">
        <v>69</v>
      </c>
      <c r="UF29" s="1"/>
      <c r="UG29" s="1"/>
      <c r="UH29" s="1"/>
      <c r="UI29" s="1"/>
      <c r="UJ29" s="1"/>
      <c r="UK29" s="1"/>
      <c r="UL29" s="1"/>
      <c r="UM29" s="55" t="s">
        <v>251</v>
      </c>
      <c r="UN29" s="1"/>
      <c r="UO29" s="56" t="s">
        <v>251</v>
      </c>
      <c r="UP29" s="1"/>
      <c r="UQ29" s="1"/>
      <c r="UR29" s="2">
        <v>0</v>
      </c>
      <c r="US29" s="55">
        <v>100</v>
      </c>
      <c r="UT29" s="1"/>
      <c r="UU29" s="1"/>
      <c r="UV29" s="1"/>
      <c r="UW29" s="1"/>
      <c r="UX29" s="1"/>
      <c r="UY29" s="1"/>
      <c r="UZ29" s="55" t="s">
        <v>251</v>
      </c>
      <c r="VA29" s="1"/>
      <c r="VB29" s="56" t="s">
        <v>251</v>
      </c>
      <c r="VC29" s="1"/>
      <c r="VD29" s="1">
        <v>3</v>
      </c>
      <c r="VE29" s="2"/>
      <c r="VF29" s="55" t="s">
        <v>251</v>
      </c>
      <c r="VG29" s="55" t="s">
        <v>251</v>
      </c>
      <c r="VH29" s="55" t="s">
        <v>251</v>
      </c>
      <c r="VI29" s="56" t="s">
        <v>251</v>
      </c>
      <c r="VJ29" s="57" t="s">
        <v>251</v>
      </c>
      <c r="VK29" s="55">
        <v>3</v>
      </c>
      <c r="VL29" s="1"/>
      <c r="VM29" s="58">
        <v>0</v>
      </c>
      <c r="VN29" s="59">
        <v>100</v>
      </c>
      <c r="VO29" s="4">
        <v>1072743</v>
      </c>
      <c r="VP29" s="39">
        <v>132</v>
      </c>
      <c r="VQ29" s="39">
        <v>34</v>
      </c>
      <c r="VR29" s="1"/>
      <c r="VS29" s="1"/>
      <c r="VT29" s="1"/>
      <c r="VU29" s="1"/>
      <c r="VV29" s="1"/>
      <c r="VW29" s="1"/>
      <c r="VX29" s="1"/>
      <c r="VY29" s="55" t="s">
        <v>251</v>
      </c>
      <c r="VZ29" s="1"/>
      <c r="WA29" s="56" t="s">
        <v>251</v>
      </c>
      <c r="WB29" s="1"/>
      <c r="WC29" s="1"/>
      <c r="WD29" s="2">
        <v>1</v>
      </c>
      <c r="WE29" s="55">
        <v>94.117647058823536</v>
      </c>
      <c r="WF29" s="1"/>
      <c r="WG29" s="1"/>
      <c r="WH29" s="1"/>
      <c r="WI29" s="1"/>
      <c r="WJ29" s="1"/>
      <c r="WK29" s="1"/>
      <c r="WL29" s="55" t="s">
        <v>251</v>
      </c>
      <c r="WM29" s="1"/>
      <c r="WN29" s="56" t="s">
        <v>251</v>
      </c>
      <c r="WO29" s="1"/>
      <c r="WP29" s="1"/>
      <c r="WQ29" s="2">
        <v>0</v>
      </c>
      <c r="WR29" s="55">
        <v>100</v>
      </c>
      <c r="WS29" s="55" t="s">
        <v>251</v>
      </c>
      <c r="WT29" s="55" t="s">
        <v>251</v>
      </c>
      <c r="WU29" s="56" t="s">
        <v>251</v>
      </c>
      <c r="WV29" s="57" t="s">
        <v>251</v>
      </c>
      <c r="WW29" s="55" t="s">
        <v>251</v>
      </c>
      <c r="WX29" s="1"/>
      <c r="WY29" s="58">
        <v>1</v>
      </c>
      <c r="WZ29" s="59">
        <v>97.058823529411768</v>
      </c>
      <c r="XA29" s="4">
        <v>1072748</v>
      </c>
      <c r="XB29" s="39">
        <v>133</v>
      </c>
      <c r="XC29" s="39">
        <v>34</v>
      </c>
      <c r="XD29" s="1"/>
      <c r="XE29" s="1"/>
      <c r="XF29" s="1"/>
      <c r="XG29" s="1"/>
      <c r="XH29" s="1"/>
      <c r="XI29" s="1"/>
      <c r="XJ29" s="1"/>
      <c r="XK29" s="55" t="s">
        <v>251</v>
      </c>
      <c r="XL29" s="1"/>
      <c r="XM29" s="56" t="s">
        <v>251</v>
      </c>
      <c r="XN29" s="1"/>
      <c r="XO29" s="1"/>
      <c r="XP29" s="2">
        <v>0</v>
      </c>
      <c r="XQ29" s="55">
        <v>100</v>
      </c>
      <c r="XR29" s="1"/>
      <c r="XS29" s="1"/>
      <c r="XT29" s="1"/>
      <c r="XU29" s="1"/>
      <c r="XV29" s="1"/>
      <c r="XW29" s="1"/>
      <c r="XX29" s="55" t="s">
        <v>251</v>
      </c>
      <c r="XY29" s="1"/>
      <c r="XZ29" s="56" t="s">
        <v>251</v>
      </c>
      <c r="YA29" s="1"/>
      <c r="YB29" s="1"/>
      <c r="YC29" s="2">
        <v>0</v>
      </c>
      <c r="YD29" s="55">
        <v>100</v>
      </c>
      <c r="YE29" s="55" t="s">
        <v>251</v>
      </c>
      <c r="YF29" s="55" t="s">
        <v>251</v>
      </c>
      <c r="YG29" s="56" t="s">
        <v>251</v>
      </c>
      <c r="YH29" s="57" t="s">
        <v>251</v>
      </c>
      <c r="YI29" s="55" t="s">
        <v>251</v>
      </c>
      <c r="YJ29" s="1"/>
      <c r="YK29" s="58">
        <v>0</v>
      </c>
      <c r="YL29" s="59">
        <v>100</v>
      </c>
      <c r="YM29" s="4">
        <v>1072743</v>
      </c>
      <c r="YN29" s="39">
        <v>135</v>
      </c>
      <c r="YO29" s="39">
        <v>33</v>
      </c>
      <c r="YP29" s="1"/>
      <c r="YQ29" s="1"/>
      <c r="YR29" s="1"/>
      <c r="YS29" s="1"/>
      <c r="YT29" s="1"/>
      <c r="YU29" s="1"/>
      <c r="YV29" s="1"/>
      <c r="YW29" s="55" t="s">
        <v>251</v>
      </c>
      <c r="YX29" s="1"/>
      <c r="YY29" s="56" t="s">
        <v>251</v>
      </c>
      <c r="YZ29" s="1"/>
      <c r="ZA29" s="1"/>
      <c r="ZB29" s="2">
        <v>0</v>
      </c>
      <c r="ZC29" s="55">
        <v>100</v>
      </c>
      <c r="ZD29" s="1"/>
      <c r="ZE29" s="1"/>
      <c r="ZF29" s="1"/>
      <c r="ZG29" s="1"/>
      <c r="ZH29" s="1"/>
      <c r="ZI29" s="1"/>
      <c r="ZJ29" s="55" t="s">
        <v>251</v>
      </c>
      <c r="ZK29" s="1"/>
      <c r="ZL29" s="56" t="s">
        <v>251</v>
      </c>
      <c r="ZM29" s="1"/>
      <c r="ZN29" s="1"/>
      <c r="ZO29" s="2">
        <v>0</v>
      </c>
      <c r="ZP29" s="55">
        <v>100</v>
      </c>
      <c r="ZQ29" s="55" t="s">
        <v>251</v>
      </c>
      <c r="ZR29" s="55" t="s">
        <v>251</v>
      </c>
      <c r="ZS29" s="56" t="s">
        <v>251</v>
      </c>
      <c r="ZT29" s="57" t="s">
        <v>251</v>
      </c>
      <c r="ZU29" s="55" t="s">
        <v>251</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4239926</v>
      </c>
      <c r="F30" s="89">
        <f t="shared" si="401"/>
        <v>1</v>
      </c>
      <c r="G30" s="89" t="str">
        <f t="shared" si="402"/>
        <v>B</v>
      </c>
      <c r="H30" s="37" t="s">
        <v>204</v>
      </c>
      <c r="I30" s="37" t="s">
        <v>205</v>
      </c>
      <c r="J30" s="41" t="s">
        <v>206</v>
      </c>
      <c r="K30" s="90" t="str">
        <f t="shared" si="403"/>
        <v>A</v>
      </c>
      <c r="L30" s="41" t="s">
        <v>117</v>
      </c>
      <c r="M30" s="93">
        <v>42348</v>
      </c>
      <c r="N30" s="41"/>
      <c r="O30" s="43" t="s">
        <v>245</v>
      </c>
      <c r="P30" s="91" t="str">
        <f t="shared" si="404"/>
        <v>Məmmədova Ramilə Xasay</v>
      </c>
      <c r="Q30" s="4">
        <v>1072743</v>
      </c>
      <c r="R30" s="39">
        <v>101</v>
      </c>
      <c r="S30" s="39">
        <v>270</v>
      </c>
      <c r="T30" s="1"/>
      <c r="U30" s="1"/>
      <c r="V30" s="1"/>
      <c r="W30" s="1"/>
      <c r="X30" s="1"/>
      <c r="Y30" s="1"/>
      <c r="Z30" s="1"/>
      <c r="AA30" s="55" t="s">
        <v>251</v>
      </c>
      <c r="AB30" s="1"/>
      <c r="AC30" s="56" t="s">
        <v>251</v>
      </c>
      <c r="AD30" s="1"/>
      <c r="AE30" s="1"/>
      <c r="AF30" s="2">
        <v>26</v>
      </c>
      <c r="AG30" s="55">
        <v>80.740740740740748</v>
      </c>
      <c r="AH30" s="1"/>
      <c r="AI30" s="1"/>
      <c r="AJ30" s="1"/>
      <c r="AK30" s="1"/>
      <c r="AL30" s="1"/>
      <c r="AM30" s="1"/>
      <c r="AN30" s="55" t="s">
        <v>251</v>
      </c>
      <c r="AO30" s="1"/>
      <c r="AP30" s="56" t="s">
        <v>251</v>
      </c>
      <c r="AQ30" s="1"/>
      <c r="AR30" s="1"/>
      <c r="AS30" s="2">
        <v>12</v>
      </c>
      <c r="AT30" s="55">
        <v>91.111111111111114</v>
      </c>
      <c r="AU30" s="55" t="s">
        <v>251</v>
      </c>
      <c r="AV30" s="55" t="s">
        <v>251</v>
      </c>
      <c r="AW30" s="56" t="s">
        <v>251</v>
      </c>
      <c r="AX30" s="57" t="s">
        <v>251</v>
      </c>
      <c r="AY30" s="55" t="s">
        <v>251</v>
      </c>
      <c r="AZ30" s="1"/>
      <c r="BA30" s="58">
        <v>38</v>
      </c>
      <c r="BB30" s="59">
        <v>85.925925925925924</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1273950</v>
      </c>
      <c r="EB30" s="39">
        <v>106</v>
      </c>
      <c r="EC30" s="39">
        <v>33</v>
      </c>
      <c r="ED30" s="1"/>
      <c r="EE30" s="1"/>
      <c r="EF30" s="1"/>
      <c r="EG30" s="1"/>
      <c r="EH30" s="1"/>
      <c r="EI30" s="1"/>
      <c r="EJ30" s="1"/>
      <c r="EK30" s="55" t="s">
        <v>251</v>
      </c>
      <c r="EL30" s="1"/>
      <c r="EM30" s="56" t="s">
        <v>251</v>
      </c>
      <c r="EN30" s="1"/>
      <c r="EO30" s="1"/>
      <c r="EP30" s="2">
        <v>0</v>
      </c>
      <c r="EQ30" s="55">
        <v>100</v>
      </c>
      <c r="ER30" s="1"/>
      <c r="ES30" s="1"/>
      <c r="ET30" s="1"/>
      <c r="EU30" s="1"/>
      <c r="EV30" s="1"/>
      <c r="EW30" s="1"/>
      <c r="EX30" s="55" t="s">
        <v>251</v>
      </c>
      <c r="EY30" s="1"/>
      <c r="EZ30" s="56" t="s">
        <v>251</v>
      </c>
      <c r="FA30" s="1"/>
      <c r="FB30" s="1"/>
      <c r="FC30" s="2">
        <v>0</v>
      </c>
      <c r="FD30" s="55">
        <v>100</v>
      </c>
      <c r="FE30" s="55" t="s">
        <v>251</v>
      </c>
      <c r="FF30" s="55" t="s">
        <v>251</v>
      </c>
      <c r="FG30" s="56" t="s">
        <v>251</v>
      </c>
      <c r="FH30" s="57" t="s">
        <v>251</v>
      </c>
      <c r="FI30" s="55" t="s">
        <v>251</v>
      </c>
      <c r="FJ30" s="1"/>
      <c r="FK30" s="58">
        <v>0</v>
      </c>
      <c r="FL30" s="59">
        <v>100</v>
      </c>
      <c r="FM30" s="4">
        <v>1072743</v>
      </c>
      <c r="FN30" s="39">
        <v>110</v>
      </c>
      <c r="FO30" s="39">
        <v>168</v>
      </c>
      <c r="FP30" s="1"/>
      <c r="FQ30" s="1"/>
      <c r="FR30" s="1"/>
      <c r="FS30" s="1"/>
      <c r="FT30" s="1"/>
      <c r="FU30" s="1"/>
      <c r="FV30" s="1"/>
      <c r="FW30" s="55" t="s">
        <v>251</v>
      </c>
      <c r="FX30" s="1"/>
      <c r="FY30" s="56" t="s">
        <v>251</v>
      </c>
      <c r="FZ30" s="1"/>
      <c r="GA30" s="1"/>
      <c r="GB30" s="2">
        <v>12</v>
      </c>
      <c r="GC30" s="55">
        <v>85.714285714285708</v>
      </c>
      <c r="GD30" s="1"/>
      <c r="GE30" s="1"/>
      <c r="GF30" s="1"/>
      <c r="GG30" s="1"/>
      <c r="GH30" s="1"/>
      <c r="GI30" s="1"/>
      <c r="GJ30" s="55" t="s">
        <v>251</v>
      </c>
      <c r="GK30" s="1"/>
      <c r="GL30" s="56" t="s">
        <v>251</v>
      </c>
      <c r="GM30" s="1"/>
      <c r="GN30" s="1"/>
      <c r="GO30" s="2">
        <v>11</v>
      </c>
      <c r="GP30" s="55">
        <v>86.904761904761898</v>
      </c>
      <c r="GQ30" s="55" t="s">
        <v>251</v>
      </c>
      <c r="GR30" s="55" t="s">
        <v>251</v>
      </c>
      <c r="GS30" s="56" t="s">
        <v>251</v>
      </c>
      <c r="GT30" s="57" t="s">
        <v>251</v>
      </c>
      <c r="GU30" s="55" t="s">
        <v>251</v>
      </c>
      <c r="GV30" s="1"/>
      <c r="GW30" s="58">
        <v>23</v>
      </c>
      <c r="GX30" s="59">
        <v>86.30952380952381</v>
      </c>
      <c r="GY30" s="4">
        <v>1199044</v>
      </c>
      <c r="GZ30" s="39">
        <v>114</v>
      </c>
      <c r="HA30" s="39">
        <v>33</v>
      </c>
      <c r="HB30" s="1"/>
      <c r="HC30" s="1"/>
      <c r="HD30" s="1"/>
      <c r="HE30" s="1"/>
      <c r="HF30" s="1"/>
      <c r="HG30" s="1"/>
      <c r="HH30" s="1"/>
      <c r="HI30" s="55" t="s">
        <v>251</v>
      </c>
      <c r="HJ30" s="1"/>
      <c r="HK30" s="56" t="s">
        <v>251</v>
      </c>
      <c r="HL30" s="1"/>
      <c r="HM30" s="1"/>
      <c r="HN30" s="2">
        <v>0</v>
      </c>
      <c r="HO30" s="55">
        <v>100</v>
      </c>
      <c r="HP30" s="1"/>
      <c r="HQ30" s="1"/>
      <c r="HR30" s="1"/>
      <c r="HS30" s="1"/>
      <c r="HT30" s="1"/>
      <c r="HU30" s="1"/>
      <c r="HV30" s="55" t="s">
        <v>251</v>
      </c>
      <c r="HW30" s="1"/>
      <c r="HX30" s="56" t="s">
        <v>251</v>
      </c>
      <c r="HY30" s="1"/>
      <c r="HZ30" s="1"/>
      <c r="IA30" s="2">
        <v>0</v>
      </c>
      <c r="IB30" s="55">
        <v>100</v>
      </c>
      <c r="IC30" s="55" t="s">
        <v>251</v>
      </c>
      <c r="ID30" s="55" t="s">
        <v>251</v>
      </c>
      <c r="IE30" s="56" t="s">
        <v>251</v>
      </c>
      <c r="IF30" s="57" t="s">
        <v>251</v>
      </c>
      <c r="IG30" s="55" t="s">
        <v>251</v>
      </c>
      <c r="IH30" s="1"/>
      <c r="II30" s="58">
        <v>0</v>
      </c>
      <c r="IJ30" s="59">
        <v>100</v>
      </c>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1072743</v>
      </c>
      <c r="PT30" s="39">
        <v>128</v>
      </c>
      <c r="PU30" s="39">
        <v>33</v>
      </c>
      <c r="PV30" s="1"/>
      <c r="PW30" s="1"/>
      <c r="PX30" s="1"/>
      <c r="PY30" s="1"/>
      <c r="PZ30" s="1"/>
      <c r="QA30" s="1"/>
      <c r="QB30" s="1"/>
      <c r="QC30" s="55" t="s">
        <v>251</v>
      </c>
      <c r="QD30" s="1"/>
      <c r="QE30" s="56" t="s">
        <v>251</v>
      </c>
      <c r="QF30" s="1"/>
      <c r="QG30" s="1"/>
      <c r="QH30" s="2">
        <v>1</v>
      </c>
      <c r="QI30" s="55">
        <v>93.939393939393938</v>
      </c>
      <c r="QJ30" s="1"/>
      <c r="QK30" s="1"/>
      <c r="QL30" s="1"/>
      <c r="QM30" s="1"/>
      <c r="QN30" s="1"/>
      <c r="QO30" s="1"/>
      <c r="QP30" s="55" t="s">
        <v>251</v>
      </c>
      <c r="QQ30" s="1"/>
      <c r="QR30" s="56" t="s">
        <v>251</v>
      </c>
      <c r="QS30" s="1"/>
      <c r="QT30" s="1"/>
      <c r="QU30" s="2">
        <v>3</v>
      </c>
      <c r="QV30" s="55">
        <v>81.818181818181813</v>
      </c>
      <c r="QW30" s="55" t="s">
        <v>251</v>
      </c>
      <c r="QX30" s="55" t="s">
        <v>251</v>
      </c>
      <c r="QY30" s="56" t="s">
        <v>251</v>
      </c>
      <c r="QZ30" s="57" t="s">
        <v>251</v>
      </c>
      <c r="RA30" s="55" t="s">
        <v>251</v>
      </c>
      <c r="RB30" s="1"/>
      <c r="RC30" s="58">
        <v>4</v>
      </c>
      <c r="RD30" s="59">
        <v>87.878787878787875</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1072743</v>
      </c>
      <c r="UD30" s="39">
        <v>131</v>
      </c>
      <c r="UE30" s="39">
        <v>69</v>
      </c>
      <c r="UF30" s="1"/>
      <c r="UG30" s="1"/>
      <c r="UH30" s="1"/>
      <c r="UI30" s="1"/>
      <c r="UJ30" s="1"/>
      <c r="UK30" s="1"/>
      <c r="UL30" s="1"/>
      <c r="UM30" s="55" t="s">
        <v>251</v>
      </c>
      <c r="UN30" s="1"/>
      <c r="UO30" s="56" t="s">
        <v>251</v>
      </c>
      <c r="UP30" s="1"/>
      <c r="UQ30" s="1"/>
      <c r="UR30" s="2">
        <v>3</v>
      </c>
      <c r="US30" s="55">
        <v>91.304347826086953</v>
      </c>
      <c r="UT30" s="1"/>
      <c r="UU30" s="1"/>
      <c r="UV30" s="1"/>
      <c r="UW30" s="1"/>
      <c r="UX30" s="1"/>
      <c r="UY30" s="1"/>
      <c r="UZ30" s="55" t="s">
        <v>251</v>
      </c>
      <c r="VA30" s="1"/>
      <c r="VB30" s="56" t="s">
        <v>251</v>
      </c>
      <c r="VC30" s="1"/>
      <c r="VD30" s="1">
        <v>6</v>
      </c>
      <c r="VE30" s="2"/>
      <c r="VF30" s="55" t="s">
        <v>251</v>
      </c>
      <c r="VG30" s="55" t="s">
        <v>251</v>
      </c>
      <c r="VH30" s="55" t="s">
        <v>251</v>
      </c>
      <c r="VI30" s="56" t="s">
        <v>251</v>
      </c>
      <c r="VJ30" s="57" t="s">
        <v>251</v>
      </c>
      <c r="VK30" s="55">
        <v>6</v>
      </c>
      <c r="VL30" s="1"/>
      <c r="VM30" s="58">
        <v>3</v>
      </c>
      <c r="VN30" s="59">
        <v>95.652173913043484</v>
      </c>
      <c r="VO30" s="4">
        <v>1072743</v>
      </c>
      <c r="VP30" s="39">
        <v>132</v>
      </c>
      <c r="VQ30" s="39">
        <v>34</v>
      </c>
      <c r="VR30" s="1"/>
      <c r="VS30" s="1"/>
      <c r="VT30" s="1"/>
      <c r="VU30" s="1"/>
      <c r="VV30" s="1"/>
      <c r="VW30" s="1"/>
      <c r="VX30" s="1"/>
      <c r="VY30" s="55" t="s">
        <v>251</v>
      </c>
      <c r="VZ30" s="1"/>
      <c r="WA30" s="56" t="s">
        <v>251</v>
      </c>
      <c r="WB30" s="1"/>
      <c r="WC30" s="1"/>
      <c r="WD30" s="2">
        <v>0</v>
      </c>
      <c r="WE30" s="55">
        <v>100</v>
      </c>
      <c r="WF30" s="1"/>
      <c r="WG30" s="1"/>
      <c r="WH30" s="1"/>
      <c r="WI30" s="1"/>
      <c r="WJ30" s="1"/>
      <c r="WK30" s="1"/>
      <c r="WL30" s="55" t="s">
        <v>251</v>
      </c>
      <c r="WM30" s="1"/>
      <c r="WN30" s="56" t="s">
        <v>251</v>
      </c>
      <c r="WO30" s="1"/>
      <c r="WP30" s="1"/>
      <c r="WQ30" s="2">
        <v>2</v>
      </c>
      <c r="WR30" s="55">
        <v>88.235294117647058</v>
      </c>
      <c r="WS30" s="55" t="s">
        <v>251</v>
      </c>
      <c r="WT30" s="55" t="s">
        <v>251</v>
      </c>
      <c r="WU30" s="56" t="s">
        <v>251</v>
      </c>
      <c r="WV30" s="57" t="s">
        <v>251</v>
      </c>
      <c r="WW30" s="55" t="s">
        <v>251</v>
      </c>
      <c r="WX30" s="1"/>
      <c r="WY30" s="58">
        <v>2</v>
      </c>
      <c r="WZ30" s="59">
        <v>94.117647058823536</v>
      </c>
      <c r="XA30" s="4">
        <v>1072748</v>
      </c>
      <c r="XB30" s="39">
        <v>133</v>
      </c>
      <c r="XC30" s="39">
        <v>34</v>
      </c>
      <c r="XD30" s="1"/>
      <c r="XE30" s="1"/>
      <c r="XF30" s="1"/>
      <c r="XG30" s="1"/>
      <c r="XH30" s="1"/>
      <c r="XI30" s="1"/>
      <c r="XJ30" s="1"/>
      <c r="XK30" s="55" t="s">
        <v>251</v>
      </c>
      <c r="XL30" s="1"/>
      <c r="XM30" s="56" t="s">
        <v>251</v>
      </c>
      <c r="XN30" s="1"/>
      <c r="XO30" s="1"/>
      <c r="XP30" s="2">
        <v>2</v>
      </c>
      <c r="XQ30" s="55">
        <v>88.235294117647058</v>
      </c>
      <c r="XR30" s="1"/>
      <c r="XS30" s="1"/>
      <c r="XT30" s="1"/>
      <c r="XU30" s="1"/>
      <c r="XV30" s="1"/>
      <c r="XW30" s="1"/>
      <c r="XX30" s="55" t="s">
        <v>251</v>
      </c>
      <c r="XY30" s="1"/>
      <c r="XZ30" s="56" t="s">
        <v>251</v>
      </c>
      <c r="YA30" s="1"/>
      <c r="YB30" s="1"/>
      <c r="YC30" s="2">
        <v>0</v>
      </c>
      <c r="YD30" s="55">
        <v>100</v>
      </c>
      <c r="YE30" s="55" t="s">
        <v>251</v>
      </c>
      <c r="YF30" s="55" t="s">
        <v>251</v>
      </c>
      <c r="YG30" s="56" t="s">
        <v>251</v>
      </c>
      <c r="YH30" s="57" t="s">
        <v>251</v>
      </c>
      <c r="YI30" s="55" t="s">
        <v>251</v>
      </c>
      <c r="YJ30" s="1"/>
      <c r="YK30" s="58">
        <v>2</v>
      </c>
      <c r="YL30" s="59">
        <v>94.117647058823536</v>
      </c>
      <c r="YM30" s="4">
        <v>1072743</v>
      </c>
      <c r="YN30" s="39">
        <v>135</v>
      </c>
      <c r="YO30" s="39">
        <v>33</v>
      </c>
      <c r="YP30" s="1"/>
      <c r="YQ30" s="1"/>
      <c r="YR30" s="1"/>
      <c r="YS30" s="1"/>
      <c r="YT30" s="1"/>
      <c r="YU30" s="1"/>
      <c r="YV30" s="1"/>
      <c r="YW30" s="55" t="s">
        <v>251</v>
      </c>
      <c r="YX30" s="1"/>
      <c r="YY30" s="56" t="s">
        <v>251</v>
      </c>
      <c r="YZ30" s="1"/>
      <c r="ZA30" s="1"/>
      <c r="ZB30" s="2">
        <v>3</v>
      </c>
      <c r="ZC30" s="55">
        <v>81.818181818181813</v>
      </c>
      <c r="ZD30" s="1"/>
      <c r="ZE30" s="1"/>
      <c r="ZF30" s="1"/>
      <c r="ZG30" s="1"/>
      <c r="ZH30" s="1"/>
      <c r="ZI30" s="1"/>
      <c r="ZJ30" s="55" t="s">
        <v>251</v>
      </c>
      <c r="ZK30" s="1"/>
      <c r="ZL30" s="56" t="s">
        <v>251</v>
      </c>
      <c r="ZM30" s="1"/>
      <c r="ZN30" s="1"/>
      <c r="ZO30" s="2">
        <v>0</v>
      </c>
      <c r="ZP30" s="55">
        <v>100</v>
      </c>
      <c r="ZQ30" s="55" t="s">
        <v>251</v>
      </c>
      <c r="ZR30" s="55" t="s">
        <v>251</v>
      </c>
      <c r="ZS30" s="56" t="s">
        <v>251</v>
      </c>
      <c r="ZT30" s="57" t="s">
        <v>251</v>
      </c>
      <c r="ZU30" s="55" t="s">
        <v>251</v>
      </c>
      <c r="ZV30" s="1"/>
      <c r="ZW30" s="58">
        <v>3</v>
      </c>
      <c r="ZX30" s="59">
        <v>90.909090909090907</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3984916</v>
      </c>
      <c r="F31" s="89">
        <f t="shared" si="401"/>
        <v>1</v>
      </c>
      <c r="G31" s="89" t="str">
        <f t="shared" si="402"/>
        <v>B</v>
      </c>
      <c r="H31" s="37" t="s">
        <v>207</v>
      </c>
      <c r="I31" s="37" t="s">
        <v>208</v>
      </c>
      <c r="J31" s="41" t="s">
        <v>209</v>
      </c>
      <c r="K31" s="90" t="str">
        <f t="shared" si="403"/>
        <v>A</v>
      </c>
      <c r="L31" s="41" t="s">
        <v>119</v>
      </c>
      <c r="M31" s="93">
        <v>42593</v>
      </c>
      <c r="N31" s="41"/>
      <c r="O31" s="43" t="s">
        <v>246</v>
      </c>
      <c r="P31" s="91" t="str">
        <f t="shared" si="404"/>
        <v>Məmmədova Ramilə Xasay</v>
      </c>
      <c r="Q31" s="4">
        <v>1072743</v>
      </c>
      <c r="R31" s="39">
        <v>101</v>
      </c>
      <c r="S31" s="39">
        <v>270</v>
      </c>
      <c r="T31" s="1"/>
      <c r="U31" s="1"/>
      <c r="V31" s="1"/>
      <c r="W31" s="1"/>
      <c r="X31" s="1"/>
      <c r="Y31" s="1"/>
      <c r="Z31" s="1"/>
      <c r="AA31" s="55" t="s">
        <v>251</v>
      </c>
      <c r="AB31" s="1"/>
      <c r="AC31" s="56" t="s">
        <v>251</v>
      </c>
      <c r="AD31" s="1"/>
      <c r="AE31" s="1"/>
      <c r="AF31" s="2">
        <v>30</v>
      </c>
      <c r="AG31" s="55">
        <v>77.777777777777771</v>
      </c>
      <c r="AH31" s="1"/>
      <c r="AI31" s="1"/>
      <c r="AJ31" s="1"/>
      <c r="AK31" s="1"/>
      <c r="AL31" s="1"/>
      <c r="AM31" s="1"/>
      <c r="AN31" s="55" t="s">
        <v>251</v>
      </c>
      <c r="AO31" s="1"/>
      <c r="AP31" s="56" t="s">
        <v>251</v>
      </c>
      <c r="AQ31" s="1"/>
      <c r="AR31" s="1"/>
      <c r="AS31" s="2">
        <v>34</v>
      </c>
      <c r="AT31" s="55">
        <v>74.81481481481481</v>
      </c>
      <c r="AU31" s="55" t="s">
        <v>251</v>
      </c>
      <c r="AV31" s="55" t="s">
        <v>251</v>
      </c>
      <c r="AW31" s="56" t="s">
        <v>251</v>
      </c>
      <c r="AX31" s="57" t="s">
        <v>251</v>
      </c>
      <c r="AY31" s="55" t="s">
        <v>251</v>
      </c>
      <c r="AZ31" s="1"/>
      <c r="BA31" s="58">
        <v>64</v>
      </c>
      <c r="BB31" s="59">
        <v>76.296296296296291</v>
      </c>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1273950</v>
      </c>
      <c r="EB31" s="39">
        <v>106</v>
      </c>
      <c r="EC31" s="39">
        <v>33</v>
      </c>
      <c r="ED31" s="1"/>
      <c r="EE31" s="1"/>
      <c r="EF31" s="1"/>
      <c r="EG31" s="1"/>
      <c r="EH31" s="1"/>
      <c r="EI31" s="1"/>
      <c r="EJ31" s="1"/>
      <c r="EK31" s="55" t="s">
        <v>251</v>
      </c>
      <c r="EL31" s="1"/>
      <c r="EM31" s="56" t="s">
        <v>251</v>
      </c>
      <c r="EN31" s="1"/>
      <c r="EO31" s="1"/>
      <c r="EP31" s="2">
        <v>0</v>
      </c>
      <c r="EQ31" s="55">
        <v>100</v>
      </c>
      <c r="ER31" s="1"/>
      <c r="ES31" s="1"/>
      <c r="ET31" s="1"/>
      <c r="EU31" s="1"/>
      <c r="EV31" s="1"/>
      <c r="EW31" s="1"/>
      <c r="EX31" s="55" t="s">
        <v>251</v>
      </c>
      <c r="EY31" s="1"/>
      <c r="EZ31" s="56" t="s">
        <v>251</v>
      </c>
      <c r="FA31" s="1"/>
      <c r="FB31" s="1"/>
      <c r="FC31" s="2">
        <v>0</v>
      </c>
      <c r="FD31" s="55">
        <v>100</v>
      </c>
      <c r="FE31" s="55" t="s">
        <v>251</v>
      </c>
      <c r="FF31" s="55" t="s">
        <v>251</v>
      </c>
      <c r="FG31" s="56" t="s">
        <v>251</v>
      </c>
      <c r="FH31" s="57" t="s">
        <v>251</v>
      </c>
      <c r="FI31" s="55" t="s">
        <v>251</v>
      </c>
      <c r="FJ31" s="1"/>
      <c r="FK31" s="58">
        <v>0</v>
      </c>
      <c r="FL31" s="59">
        <v>100</v>
      </c>
      <c r="FM31" s="4">
        <v>1072743</v>
      </c>
      <c r="FN31" s="39">
        <v>110</v>
      </c>
      <c r="FO31" s="39">
        <v>168</v>
      </c>
      <c r="FP31" s="1"/>
      <c r="FQ31" s="1"/>
      <c r="FR31" s="1"/>
      <c r="FS31" s="1"/>
      <c r="FT31" s="1"/>
      <c r="FU31" s="1"/>
      <c r="FV31" s="1"/>
      <c r="FW31" s="55" t="s">
        <v>251</v>
      </c>
      <c r="FX31" s="1"/>
      <c r="FY31" s="56" t="s">
        <v>251</v>
      </c>
      <c r="FZ31" s="1"/>
      <c r="GA31" s="1"/>
      <c r="GB31" s="2">
        <v>15</v>
      </c>
      <c r="GC31" s="55">
        <v>82.142857142857139</v>
      </c>
      <c r="GD31" s="1"/>
      <c r="GE31" s="1"/>
      <c r="GF31" s="1"/>
      <c r="GG31" s="1"/>
      <c r="GH31" s="1"/>
      <c r="GI31" s="1"/>
      <c r="GJ31" s="55" t="s">
        <v>251</v>
      </c>
      <c r="GK31" s="1"/>
      <c r="GL31" s="56" t="s">
        <v>251</v>
      </c>
      <c r="GM31" s="1"/>
      <c r="GN31" s="1"/>
      <c r="GO31" s="2">
        <v>16</v>
      </c>
      <c r="GP31" s="55">
        <v>80.952380952380949</v>
      </c>
      <c r="GQ31" s="55" t="s">
        <v>251</v>
      </c>
      <c r="GR31" s="55" t="s">
        <v>251</v>
      </c>
      <c r="GS31" s="56" t="s">
        <v>251</v>
      </c>
      <c r="GT31" s="57" t="s">
        <v>251</v>
      </c>
      <c r="GU31" s="55" t="s">
        <v>251</v>
      </c>
      <c r="GV31" s="1"/>
      <c r="GW31" s="58">
        <v>31</v>
      </c>
      <c r="GX31" s="59">
        <v>81.547619047619051</v>
      </c>
      <c r="GY31" s="4">
        <v>1199044</v>
      </c>
      <c r="GZ31" s="39">
        <v>114</v>
      </c>
      <c r="HA31" s="39">
        <v>33</v>
      </c>
      <c r="HB31" s="1"/>
      <c r="HC31" s="1"/>
      <c r="HD31" s="1"/>
      <c r="HE31" s="1"/>
      <c r="HF31" s="1"/>
      <c r="HG31" s="1"/>
      <c r="HH31" s="1"/>
      <c r="HI31" s="55" t="s">
        <v>251</v>
      </c>
      <c r="HJ31" s="1"/>
      <c r="HK31" s="56" t="s">
        <v>251</v>
      </c>
      <c r="HL31" s="1"/>
      <c r="HM31" s="1"/>
      <c r="HN31" s="2">
        <v>0</v>
      </c>
      <c r="HO31" s="55">
        <v>100</v>
      </c>
      <c r="HP31" s="1"/>
      <c r="HQ31" s="1"/>
      <c r="HR31" s="1"/>
      <c r="HS31" s="1"/>
      <c r="HT31" s="1"/>
      <c r="HU31" s="1"/>
      <c r="HV31" s="55" t="s">
        <v>251</v>
      </c>
      <c r="HW31" s="1"/>
      <c r="HX31" s="56" t="s">
        <v>251</v>
      </c>
      <c r="HY31" s="1"/>
      <c r="HZ31" s="1"/>
      <c r="IA31" s="2">
        <v>0</v>
      </c>
      <c r="IB31" s="55">
        <v>100</v>
      </c>
      <c r="IC31" s="55" t="s">
        <v>251</v>
      </c>
      <c r="ID31" s="55" t="s">
        <v>251</v>
      </c>
      <c r="IE31" s="56" t="s">
        <v>251</v>
      </c>
      <c r="IF31" s="57" t="s">
        <v>251</v>
      </c>
      <c r="IG31" s="55" t="s">
        <v>251</v>
      </c>
      <c r="IH31" s="1"/>
      <c r="II31" s="58">
        <v>0</v>
      </c>
      <c r="IJ31" s="59">
        <v>100</v>
      </c>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1072743</v>
      </c>
      <c r="PT31" s="39">
        <v>128</v>
      </c>
      <c r="PU31" s="39">
        <v>33</v>
      </c>
      <c r="PV31" s="1"/>
      <c r="PW31" s="1"/>
      <c r="PX31" s="1"/>
      <c r="PY31" s="1"/>
      <c r="PZ31" s="1"/>
      <c r="QA31" s="1"/>
      <c r="QB31" s="1"/>
      <c r="QC31" s="55" t="s">
        <v>251</v>
      </c>
      <c r="QD31" s="1"/>
      <c r="QE31" s="56" t="s">
        <v>251</v>
      </c>
      <c r="QF31" s="1"/>
      <c r="QG31" s="1"/>
      <c r="QH31" s="2">
        <v>2</v>
      </c>
      <c r="QI31" s="55">
        <v>87.878787878787875</v>
      </c>
      <c r="QJ31" s="1"/>
      <c r="QK31" s="1"/>
      <c r="QL31" s="1"/>
      <c r="QM31" s="1"/>
      <c r="QN31" s="1"/>
      <c r="QO31" s="1"/>
      <c r="QP31" s="55" t="s">
        <v>251</v>
      </c>
      <c r="QQ31" s="1"/>
      <c r="QR31" s="56" t="s">
        <v>251</v>
      </c>
      <c r="QS31" s="1"/>
      <c r="QT31" s="1"/>
      <c r="QU31" s="2">
        <v>4</v>
      </c>
      <c r="QV31" s="55">
        <v>75.757575757575751</v>
      </c>
      <c r="QW31" s="55" t="s">
        <v>251</v>
      </c>
      <c r="QX31" s="55" t="s">
        <v>251</v>
      </c>
      <c r="QY31" s="56" t="s">
        <v>251</v>
      </c>
      <c r="QZ31" s="57" t="s">
        <v>251</v>
      </c>
      <c r="RA31" s="55" t="s">
        <v>251</v>
      </c>
      <c r="RB31" s="1"/>
      <c r="RC31" s="58">
        <v>6</v>
      </c>
      <c r="RD31" s="59">
        <v>81.818181818181813</v>
      </c>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1072743</v>
      </c>
      <c r="UD31" s="39">
        <v>131</v>
      </c>
      <c r="UE31" s="39">
        <v>69</v>
      </c>
      <c r="UF31" s="1"/>
      <c r="UG31" s="1"/>
      <c r="UH31" s="1"/>
      <c r="UI31" s="1"/>
      <c r="UJ31" s="1"/>
      <c r="UK31" s="1"/>
      <c r="UL31" s="1"/>
      <c r="UM31" s="55" t="s">
        <v>251</v>
      </c>
      <c r="UN31" s="1"/>
      <c r="UO31" s="56" t="s">
        <v>251</v>
      </c>
      <c r="UP31" s="1"/>
      <c r="UQ31" s="1"/>
      <c r="UR31" s="2">
        <v>7</v>
      </c>
      <c r="US31" s="55">
        <v>79.710144927536234</v>
      </c>
      <c r="UT31" s="1"/>
      <c r="UU31" s="1"/>
      <c r="UV31" s="1"/>
      <c r="UW31" s="1"/>
      <c r="UX31" s="1"/>
      <c r="UY31" s="1"/>
      <c r="UZ31" s="55" t="s">
        <v>251</v>
      </c>
      <c r="VA31" s="1"/>
      <c r="VB31" s="56" t="s">
        <v>251</v>
      </c>
      <c r="VC31" s="1"/>
      <c r="VD31" s="1">
        <v>8</v>
      </c>
      <c r="VE31" s="2"/>
      <c r="VF31" s="55" t="s">
        <v>251</v>
      </c>
      <c r="VG31" s="55" t="s">
        <v>251</v>
      </c>
      <c r="VH31" s="55" t="s">
        <v>251</v>
      </c>
      <c r="VI31" s="56" t="s">
        <v>251</v>
      </c>
      <c r="VJ31" s="57" t="s">
        <v>251</v>
      </c>
      <c r="VK31" s="55">
        <v>8</v>
      </c>
      <c r="VL31" s="1"/>
      <c r="VM31" s="58">
        <v>7</v>
      </c>
      <c r="VN31" s="59">
        <v>89.85507246376811</v>
      </c>
      <c r="VO31" s="4">
        <v>1072743</v>
      </c>
      <c r="VP31" s="39">
        <v>132</v>
      </c>
      <c r="VQ31" s="39">
        <v>34</v>
      </c>
      <c r="VR31" s="1"/>
      <c r="VS31" s="1"/>
      <c r="VT31" s="1"/>
      <c r="VU31" s="1"/>
      <c r="VV31" s="1"/>
      <c r="VW31" s="1"/>
      <c r="VX31" s="1"/>
      <c r="VY31" s="55" t="s">
        <v>251</v>
      </c>
      <c r="VZ31" s="1"/>
      <c r="WA31" s="56" t="s">
        <v>251</v>
      </c>
      <c r="WB31" s="1"/>
      <c r="WC31" s="1"/>
      <c r="WD31" s="2">
        <v>3</v>
      </c>
      <c r="WE31" s="55">
        <v>82.352941176470594</v>
      </c>
      <c r="WF31" s="1"/>
      <c r="WG31" s="1"/>
      <c r="WH31" s="1"/>
      <c r="WI31" s="1"/>
      <c r="WJ31" s="1"/>
      <c r="WK31" s="1"/>
      <c r="WL31" s="55" t="s">
        <v>251</v>
      </c>
      <c r="WM31" s="1"/>
      <c r="WN31" s="56" t="s">
        <v>251</v>
      </c>
      <c r="WO31" s="1"/>
      <c r="WP31" s="1"/>
      <c r="WQ31" s="2">
        <v>2</v>
      </c>
      <c r="WR31" s="55">
        <v>88.235294117647058</v>
      </c>
      <c r="WS31" s="55" t="s">
        <v>251</v>
      </c>
      <c r="WT31" s="55" t="s">
        <v>251</v>
      </c>
      <c r="WU31" s="56" t="s">
        <v>251</v>
      </c>
      <c r="WV31" s="57" t="s">
        <v>251</v>
      </c>
      <c r="WW31" s="55" t="s">
        <v>251</v>
      </c>
      <c r="WX31" s="1"/>
      <c r="WY31" s="58">
        <v>5</v>
      </c>
      <c r="WZ31" s="59">
        <v>85.294117647058826</v>
      </c>
      <c r="XA31" s="4">
        <v>1072748</v>
      </c>
      <c r="XB31" s="39">
        <v>133</v>
      </c>
      <c r="XC31" s="39">
        <v>34</v>
      </c>
      <c r="XD31" s="1"/>
      <c r="XE31" s="1"/>
      <c r="XF31" s="1"/>
      <c r="XG31" s="1"/>
      <c r="XH31" s="1"/>
      <c r="XI31" s="1"/>
      <c r="XJ31" s="1"/>
      <c r="XK31" s="55" t="s">
        <v>251</v>
      </c>
      <c r="XL31" s="1"/>
      <c r="XM31" s="56" t="s">
        <v>251</v>
      </c>
      <c r="XN31" s="1"/>
      <c r="XO31" s="1"/>
      <c r="XP31" s="2">
        <v>1</v>
      </c>
      <c r="XQ31" s="55">
        <v>94.117647058823536</v>
      </c>
      <c r="XR31" s="1"/>
      <c r="XS31" s="1"/>
      <c r="XT31" s="1"/>
      <c r="XU31" s="1"/>
      <c r="XV31" s="1"/>
      <c r="XW31" s="1"/>
      <c r="XX31" s="55" t="s">
        <v>251</v>
      </c>
      <c r="XY31" s="1"/>
      <c r="XZ31" s="56" t="s">
        <v>251</v>
      </c>
      <c r="YA31" s="1"/>
      <c r="YB31" s="1"/>
      <c r="YC31" s="2">
        <v>2</v>
      </c>
      <c r="YD31" s="55">
        <v>88.235294117647058</v>
      </c>
      <c r="YE31" s="55" t="s">
        <v>251</v>
      </c>
      <c r="YF31" s="55" t="s">
        <v>251</v>
      </c>
      <c r="YG31" s="56" t="s">
        <v>251</v>
      </c>
      <c r="YH31" s="57" t="s">
        <v>251</v>
      </c>
      <c r="YI31" s="55" t="s">
        <v>251</v>
      </c>
      <c r="YJ31" s="1"/>
      <c r="YK31" s="58">
        <v>3</v>
      </c>
      <c r="YL31" s="59">
        <v>91.17647058823529</v>
      </c>
      <c r="YM31" s="4">
        <v>1072743</v>
      </c>
      <c r="YN31" s="39">
        <v>135</v>
      </c>
      <c r="YO31" s="39">
        <v>33</v>
      </c>
      <c r="YP31" s="1"/>
      <c r="YQ31" s="1"/>
      <c r="YR31" s="1"/>
      <c r="YS31" s="1"/>
      <c r="YT31" s="1"/>
      <c r="YU31" s="1"/>
      <c r="YV31" s="1"/>
      <c r="YW31" s="55" t="s">
        <v>251</v>
      </c>
      <c r="YX31" s="1"/>
      <c r="YY31" s="56" t="s">
        <v>251</v>
      </c>
      <c r="YZ31" s="1"/>
      <c r="ZA31" s="1"/>
      <c r="ZB31" s="2">
        <v>3</v>
      </c>
      <c r="ZC31" s="55">
        <v>81.818181818181813</v>
      </c>
      <c r="ZD31" s="1"/>
      <c r="ZE31" s="1"/>
      <c r="ZF31" s="1"/>
      <c r="ZG31" s="1"/>
      <c r="ZH31" s="1"/>
      <c r="ZI31" s="1"/>
      <c r="ZJ31" s="55" t="s">
        <v>251</v>
      </c>
      <c r="ZK31" s="1"/>
      <c r="ZL31" s="56" t="s">
        <v>251</v>
      </c>
      <c r="ZM31" s="1"/>
      <c r="ZN31" s="1"/>
      <c r="ZO31" s="2">
        <v>2</v>
      </c>
      <c r="ZP31" s="55">
        <v>87.878787878787875</v>
      </c>
      <c r="ZQ31" s="55" t="s">
        <v>251</v>
      </c>
      <c r="ZR31" s="55" t="s">
        <v>251</v>
      </c>
      <c r="ZS31" s="56" t="s">
        <v>251</v>
      </c>
      <c r="ZT31" s="57" t="s">
        <v>251</v>
      </c>
      <c r="ZU31" s="55" t="s">
        <v>251</v>
      </c>
      <c r="ZV31" s="1"/>
      <c r="ZW31" s="58">
        <v>5</v>
      </c>
      <c r="ZX31" s="59">
        <v>84.848484848484844</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3984929</v>
      </c>
      <c r="F32" s="89">
        <f t="shared" si="401"/>
        <v>1</v>
      </c>
      <c r="G32" s="89" t="str">
        <f t="shared" si="402"/>
        <v>B</v>
      </c>
      <c r="H32" s="37" t="s">
        <v>210</v>
      </c>
      <c r="I32" s="37" t="s">
        <v>211</v>
      </c>
      <c r="J32" s="41" t="s">
        <v>212</v>
      </c>
      <c r="K32" s="90" t="str">
        <f t="shared" si="403"/>
        <v>A</v>
      </c>
      <c r="L32" s="41" t="s">
        <v>119</v>
      </c>
      <c r="M32" s="93">
        <v>42390</v>
      </c>
      <c r="N32" s="41"/>
      <c r="O32" s="43" t="s">
        <v>247</v>
      </c>
      <c r="P32" s="91" t="str">
        <f t="shared" si="404"/>
        <v>Məmmədova Ramilə Xasay</v>
      </c>
      <c r="Q32" s="4">
        <v>1072743</v>
      </c>
      <c r="R32" s="39">
        <v>101</v>
      </c>
      <c r="S32" s="39">
        <v>270</v>
      </c>
      <c r="T32" s="1"/>
      <c r="U32" s="1"/>
      <c r="V32" s="1"/>
      <c r="W32" s="1"/>
      <c r="X32" s="1"/>
      <c r="Y32" s="1"/>
      <c r="Z32" s="1"/>
      <c r="AA32" s="55" t="s">
        <v>251</v>
      </c>
      <c r="AB32" s="1"/>
      <c r="AC32" s="56" t="s">
        <v>251</v>
      </c>
      <c r="AD32" s="1"/>
      <c r="AE32" s="1"/>
      <c r="AF32" s="2">
        <v>22</v>
      </c>
      <c r="AG32" s="55">
        <v>83.703703703703709</v>
      </c>
      <c r="AH32" s="1"/>
      <c r="AI32" s="1"/>
      <c r="AJ32" s="1"/>
      <c r="AK32" s="1"/>
      <c r="AL32" s="1"/>
      <c r="AM32" s="1"/>
      <c r="AN32" s="55" t="s">
        <v>251</v>
      </c>
      <c r="AO32" s="1"/>
      <c r="AP32" s="56" t="s">
        <v>251</v>
      </c>
      <c r="AQ32" s="1"/>
      <c r="AR32" s="1"/>
      <c r="AS32" s="2">
        <v>18</v>
      </c>
      <c r="AT32" s="55">
        <v>86.666666666666671</v>
      </c>
      <c r="AU32" s="55" t="s">
        <v>251</v>
      </c>
      <c r="AV32" s="55" t="s">
        <v>251</v>
      </c>
      <c r="AW32" s="56" t="s">
        <v>251</v>
      </c>
      <c r="AX32" s="57" t="s">
        <v>251</v>
      </c>
      <c r="AY32" s="55" t="s">
        <v>251</v>
      </c>
      <c r="AZ32" s="1"/>
      <c r="BA32" s="58">
        <v>40</v>
      </c>
      <c r="BB32" s="59">
        <v>85.18518518518519</v>
      </c>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1273950</v>
      </c>
      <c r="EB32" s="39">
        <v>106</v>
      </c>
      <c r="EC32" s="39">
        <v>33</v>
      </c>
      <c r="ED32" s="1"/>
      <c r="EE32" s="1"/>
      <c r="EF32" s="1"/>
      <c r="EG32" s="1"/>
      <c r="EH32" s="1"/>
      <c r="EI32" s="1"/>
      <c r="EJ32" s="1"/>
      <c r="EK32" s="55" t="s">
        <v>251</v>
      </c>
      <c r="EL32" s="1"/>
      <c r="EM32" s="56" t="s">
        <v>251</v>
      </c>
      <c r="EN32" s="1"/>
      <c r="EO32" s="1"/>
      <c r="EP32" s="2">
        <v>0</v>
      </c>
      <c r="EQ32" s="55">
        <v>100</v>
      </c>
      <c r="ER32" s="1"/>
      <c r="ES32" s="1"/>
      <c r="ET32" s="1"/>
      <c r="EU32" s="1"/>
      <c r="EV32" s="1"/>
      <c r="EW32" s="1"/>
      <c r="EX32" s="55" t="s">
        <v>251</v>
      </c>
      <c r="EY32" s="1"/>
      <c r="EZ32" s="56" t="s">
        <v>251</v>
      </c>
      <c r="FA32" s="1"/>
      <c r="FB32" s="1"/>
      <c r="FC32" s="2">
        <v>0</v>
      </c>
      <c r="FD32" s="55">
        <v>100</v>
      </c>
      <c r="FE32" s="55" t="s">
        <v>251</v>
      </c>
      <c r="FF32" s="55" t="s">
        <v>251</v>
      </c>
      <c r="FG32" s="56" t="s">
        <v>251</v>
      </c>
      <c r="FH32" s="57" t="s">
        <v>251</v>
      </c>
      <c r="FI32" s="55" t="s">
        <v>251</v>
      </c>
      <c r="FJ32" s="1"/>
      <c r="FK32" s="58">
        <v>0</v>
      </c>
      <c r="FL32" s="59">
        <v>100</v>
      </c>
      <c r="FM32" s="4">
        <v>1072743</v>
      </c>
      <c r="FN32" s="39">
        <v>110</v>
      </c>
      <c r="FO32" s="39">
        <v>168</v>
      </c>
      <c r="FP32" s="1"/>
      <c r="FQ32" s="1"/>
      <c r="FR32" s="1"/>
      <c r="FS32" s="1"/>
      <c r="FT32" s="1"/>
      <c r="FU32" s="1"/>
      <c r="FV32" s="1"/>
      <c r="FW32" s="55" t="s">
        <v>251</v>
      </c>
      <c r="FX32" s="1"/>
      <c r="FY32" s="56" t="s">
        <v>251</v>
      </c>
      <c r="FZ32" s="1"/>
      <c r="GA32" s="1"/>
      <c r="GB32" s="2">
        <v>11</v>
      </c>
      <c r="GC32" s="55">
        <v>86.904761904761898</v>
      </c>
      <c r="GD32" s="1"/>
      <c r="GE32" s="1"/>
      <c r="GF32" s="1"/>
      <c r="GG32" s="1"/>
      <c r="GH32" s="1"/>
      <c r="GI32" s="1"/>
      <c r="GJ32" s="55" t="s">
        <v>251</v>
      </c>
      <c r="GK32" s="1"/>
      <c r="GL32" s="56" t="s">
        <v>251</v>
      </c>
      <c r="GM32" s="1"/>
      <c r="GN32" s="1"/>
      <c r="GO32" s="2">
        <v>13</v>
      </c>
      <c r="GP32" s="55">
        <v>84.523809523809518</v>
      </c>
      <c r="GQ32" s="55" t="s">
        <v>251</v>
      </c>
      <c r="GR32" s="55" t="s">
        <v>251</v>
      </c>
      <c r="GS32" s="56" t="s">
        <v>251</v>
      </c>
      <c r="GT32" s="57" t="s">
        <v>251</v>
      </c>
      <c r="GU32" s="55" t="s">
        <v>251</v>
      </c>
      <c r="GV32" s="1"/>
      <c r="GW32" s="58">
        <v>24</v>
      </c>
      <c r="GX32" s="59">
        <v>85.714285714285708</v>
      </c>
      <c r="GY32" s="4">
        <v>1199044</v>
      </c>
      <c r="GZ32" s="39">
        <v>114</v>
      </c>
      <c r="HA32" s="39">
        <v>33</v>
      </c>
      <c r="HB32" s="1"/>
      <c r="HC32" s="1"/>
      <c r="HD32" s="1"/>
      <c r="HE32" s="1"/>
      <c r="HF32" s="1"/>
      <c r="HG32" s="1"/>
      <c r="HH32" s="1"/>
      <c r="HI32" s="55" t="s">
        <v>251</v>
      </c>
      <c r="HJ32" s="1"/>
      <c r="HK32" s="56" t="s">
        <v>251</v>
      </c>
      <c r="HL32" s="1"/>
      <c r="HM32" s="1"/>
      <c r="HN32" s="2">
        <v>0</v>
      </c>
      <c r="HO32" s="55">
        <v>100</v>
      </c>
      <c r="HP32" s="1"/>
      <c r="HQ32" s="1"/>
      <c r="HR32" s="1"/>
      <c r="HS32" s="1"/>
      <c r="HT32" s="1"/>
      <c r="HU32" s="1"/>
      <c r="HV32" s="55" t="s">
        <v>251</v>
      </c>
      <c r="HW32" s="1"/>
      <c r="HX32" s="56" t="s">
        <v>251</v>
      </c>
      <c r="HY32" s="1"/>
      <c r="HZ32" s="1"/>
      <c r="IA32" s="2">
        <v>0</v>
      </c>
      <c r="IB32" s="55">
        <v>100</v>
      </c>
      <c r="IC32" s="55" t="s">
        <v>251</v>
      </c>
      <c r="ID32" s="55" t="s">
        <v>251</v>
      </c>
      <c r="IE32" s="56" t="s">
        <v>251</v>
      </c>
      <c r="IF32" s="57" t="s">
        <v>251</v>
      </c>
      <c r="IG32" s="55" t="s">
        <v>251</v>
      </c>
      <c r="IH32" s="1"/>
      <c r="II32" s="58">
        <v>0</v>
      </c>
      <c r="IJ32" s="59">
        <v>100</v>
      </c>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1072743</v>
      </c>
      <c r="PT32" s="39">
        <v>128</v>
      </c>
      <c r="PU32" s="39">
        <v>33</v>
      </c>
      <c r="PV32" s="1"/>
      <c r="PW32" s="1"/>
      <c r="PX32" s="1"/>
      <c r="PY32" s="1"/>
      <c r="PZ32" s="1"/>
      <c r="QA32" s="1"/>
      <c r="QB32" s="1"/>
      <c r="QC32" s="55" t="s">
        <v>251</v>
      </c>
      <c r="QD32" s="1"/>
      <c r="QE32" s="56" t="s">
        <v>251</v>
      </c>
      <c r="QF32" s="1"/>
      <c r="QG32" s="1"/>
      <c r="QH32" s="2">
        <v>4</v>
      </c>
      <c r="QI32" s="55">
        <v>75.757575757575751</v>
      </c>
      <c r="QJ32" s="1"/>
      <c r="QK32" s="1"/>
      <c r="QL32" s="1"/>
      <c r="QM32" s="1"/>
      <c r="QN32" s="1"/>
      <c r="QO32" s="1"/>
      <c r="QP32" s="55" t="s">
        <v>251</v>
      </c>
      <c r="QQ32" s="1"/>
      <c r="QR32" s="56" t="s">
        <v>251</v>
      </c>
      <c r="QS32" s="1"/>
      <c r="QT32" s="1"/>
      <c r="QU32" s="2">
        <v>4</v>
      </c>
      <c r="QV32" s="55">
        <v>75.757575757575751</v>
      </c>
      <c r="QW32" s="55" t="s">
        <v>251</v>
      </c>
      <c r="QX32" s="55" t="s">
        <v>251</v>
      </c>
      <c r="QY32" s="56" t="s">
        <v>251</v>
      </c>
      <c r="QZ32" s="57" t="s">
        <v>251</v>
      </c>
      <c r="RA32" s="55" t="s">
        <v>251</v>
      </c>
      <c r="RB32" s="1"/>
      <c r="RC32" s="58">
        <v>8</v>
      </c>
      <c r="RD32" s="59">
        <v>75.757575757575751</v>
      </c>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1072743</v>
      </c>
      <c r="UD32" s="39">
        <v>131</v>
      </c>
      <c r="UE32" s="39">
        <v>69</v>
      </c>
      <c r="UF32" s="1"/>
      <c r="UG32" s="1"/>
      <c r="UH32" s="1"/>
      <c r="UI32" s="1"/>
      <c r="UJ32" s="1"/>
      <c r="UK32" s="1"/>
      <c r="UL32" s="1"/>
      <c r="UM32" s="55" t="s">
        <v>251</v>
      </c>
      <c r="UN32" s="1"/>
      <c r="UO32" s="56" t="s">
        <v>251</v>
      </c>
      <c r="UP32" s="1"/>
      <c r="UQ32" s="1"/>
      <c r="UR32" s="2">
        <v>5</v>
      </c>
      <c r="US32" s="55">
        <v>85.507246376811594</v>
      </c>
      <c r="UT32" s="1"/>
      <c r="UU32" s="1"/>
      <c r="UV32" s="1"/>
      <c r="UW32" s="1"/>
      <c r="UX32" s="1"/>
      <c r="UY32" s="1"/>
      <c r="UZ32" s="55" t="s">
        <v>251</v>
      </c>
      <c r="VA32" s="1"/>
      <c r="VB32" s="56" t="s">
        <v>251</v>
      </c>
      <c r="VC32" s="1"/>
      <c r="VD32" s="1">
        <v>9</v>
      </c>
      <c r="VE32" s="2"/>
      <c r="VF32" s="55" t="s">
        <v>251</v>
      </c>
      <c r="VG32" s="55" t="s">
        <v>251</v>
      </c>
      <c r="VH32" s="55" t="s">
        <v>251</v>
      </c>
      <c r="VI32" s="56" t="s">
        <v>251</v>
      </c>
      <c r="VJ32" s="57" t="s">
        <v>251</v>
      </c>
      <c r="VK32" s="55">
        <v>9</v>
      </c>
      <c r="VL32" s="1"/>
      <c r="VM32" s="58">
        <v>5</v>
      </c>
      <c r="VN32" s="59">
        <v>92.753623188405797</v>
      </c>
      <c r="VO32" s="4">
        <v>1072743</v>
      </c>
      <c r="VP32" s="39">
        <v>132</v>
      </c>
      <c r="VQ32" s="39">
        <v>34</v>
      </c>
      <c r="VR32" s="1"/>
      <c r="VS32" s="1"/>
      <c r="VT32" s="1"/>
      <c r="VU32" s="1"/>
      <c r="VV32" s="1"/>
      <c r="VW32" s="1"/>
      <c r="VX32" s="1"/>
      <c r="VY32" s="55" t="s">
        <v>251</v>
      </c>
      <c r="VZ32" s="1"/>
      <c r="WA32" s="56" t="s">
        <v>251</v>
      </c>
      <c r="WB32" s="1"/>
      <c r="WC32" s="1"/>
      <c r="WD32" s="2">
        <v>5</v>
      </c>
      <c r="WE32" s="55">
        <v>70.588235294117652</v>
      </c>
      <c r="WF32" s="1"/>
      <c r="WG32" s="1"/>
      <c r="WH32" s="1"/>
      <c r="WI32" s="1"/>
      <c r="WJ32" s="1"/>
      <c r="WK32" s="1"/>
      <c r="WL32" s="55" t="s">
        <v>251</v>
      </c>
      <c r="WM32" s="1"/>
      <c r="WN32" s="56" t="s">
        <v>251</v>
      </c>
      <c r="WO32" s="1"/>
      <c r="WP32" s="1"/>
      <c r="WQ32" s="2">
        <v>0</v>
      </c>
      <c r="WR32" s="55">
        <v>100</v>
      </c>
      <c r="WS32" s="55" t="s">
        <v>251</v>
      </c>
      <c r="WT32" s="55" t="s">
        <v>251</v>
      </c>
      <c r="WU32" s="56" t="s">
        <v>251</v>
      </c>
      <c r="WV32" s="57" t="s">
        <v>251</v>
      </c>
      <c r="WW32" s="55" t="s">
        <v>251</v>
      </c>
      <c r="WX32" s="1"/>
      <c r="WY32" s="58">
        <v>5</v>
      </c>
      <c r="WZ32" s="59">
        <v>85.294117647058826</v>
      </c>
      <c r="XA32" s="4">
        <v>1072748</v>
      </c>
      <c r="XB32" s="39">
        <v>133</v>
      </c>
      <c r="XC32" s="39">
        <v>34</v>
      </c>
      <c r="XD32" s="1"/>
      <c r="XE32" s="1"/>
      <c r="XF32" s="1"/>
      <c r="XG32" s="1"/>
      <c r="XH32" s="1"/>
      <c r="XI32" s="1"/>
      <c r="XJ32" s="1"/>
      <c r="XK32" s="55" t="s">
        <v>251</v>
      </c>
      <c r="XL32" s="1"/>
      <c r="XM32" s="56" t="s">
        <v>251</v>
      </c>
      <c r="XN32" s="1"/>
      <c r="XO32" s="1"/>
      <c r="XP32" s="2">
        <v>2</v>
      </c>
      <c r="XQ32" s="55">
        <v>88.235294117647058</v>
      </c>
      <c r="XR32" s="1"/>
      <c r="XS32" s="1"/>
      <c r="XT32" s="1"/>
      <c r="XU32" s="1"/>
      <c r="XV32" s="1"/>
      <c r="XW32" s="1"/>
      <c r="XX32" s="55" t="s">
        <v>251</v>
      </c>
      <c r="XY32" s="1"/>
      <c r="XZ32" s="56" t="s">
        <v>251</v>
      </c>
      <c r="YA32" s="1"/>
      <c r="YB32" s="1"/>
      <c r="YC32" s="2">
        <v>0</v>
      </c>
      <c r="YD32" s="55">
        <v>100</v>
      </c>
      <c r="YE32" s="55" t="s">
        <v>251</v>
      </c>
      <c r="YF32" s="55" t="s">
        <v>251</v>
      </c>
      <c r="YG32" s="56" t="s">
        <v>251</v>
      </c>
      <c r="YH32" s="57" t="s">
        <v>251</v>
      </c>
      <c r="YI32" s="55" t="s">
        <v>251</v>
      </c>
      <c r="YJ32" s="1"/>
      <c r="YK32" s="58">
        <v>2</v>
      </c>
      <c r="YL32" s="59">
        <v>94.117647058823536</v>
      </c>
      <c r="YM32" s="4">
        <v>1072743</v>
      </c>
      <c r="YN32" s="39">
        <v>135</v>
      </c>
      <c r="YO32" s="39">
        <v>33</v>
      </c>
      <c r="YP32" s="1"/>
      <c r="YQ32" s="1"/>
      <c r="YR32" s="1"/>
      <c r="YS32" s="1"/>
      <c r="YT32" s="1"/>
      <c r="YU32" s="1"/>
      <c r="YV32" s="1"/>
      <c r="YW32" s="55" t="s">
        <v>251</v>
      </c>
      <c r="YX32" s="1"/>
      <c r="YY32" s="56" t="s">
        <v>251</v>
      </c>
      <c r="YZ32" s="1"/>
      <c r="ZA32" s="1"/>
      <c r="ZB32" s="2">
        <v>3</v>
      </c>
      <c r="ZC32" s="55">
        <v>81.818181818181813</v>
      </c>
      <c r="ZD32" s="1"/>
      <c r="ZE32" s="1"/>
      <c r="ZF32" s="1"/>
      <c r="ZG32" s="1"/>
      <c r="ZH32" s="1"/>
      <c r="ZI32" s="1"/>
      <c r="ZJ32" s="55" t="s">
        <v>251</v>
      </c>
      <c r="ZK32" s="1"/>
      <c r="ZL32" s="56" t="s">
        <v>251</v>
      </c>
      <c r="ZM32" s="1"/>
      <c r="ZN32" s="1"/>
      <c r="ZO32" s="2">
        <v>1</v>
      </c>
      <c r="ZP32" s="55">
        <v>93.939393939393938</v>
      </c>
      <c r="ZQ32" s="55" t="s">
        <v>251</v>
      </c>
      <c r="ZR32" s="55" t="s">
        <v>251</v>
      </c>
      <c r="ZS32" s="56" t="s">
        <v>251</v>
      </c>
      <c r="ZT32" s="57" t="s">
        <v>251</v>
      </c>
      <c r="ZU32" s="55" t="s">
        <v>251</v>
      </c>
      <c r="ZV32" s="1"/>
      <c r="ZW32" s="58">
        <v>4</v>
      </c>
      <c r="ZX32" s="59">
        <v>87.878787878787875</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3984962</v>
      </c>
      <c r="F33" s="89">
        <f t="shared" si="401"/>
        <v>1</v>
      </c>
      <c r="G33" s="89" t="str">
        <f t="shared" si="402"/>
        <v>B</v>
      </c>
      <c r="H33" s="37" t="s">
        <v>213</v>
      </c>
      <c r="I33" s="37" t="s">
        <v>214</v>
      </c>
      <c r="J33" s="41" t="s">
        <v>215</v>
      </c>
      <c r="K33" s="90" t="str">
        <f t="shared" si="403"/>
        <v>A</v>
      </c>
      <c r="L33" s="41" t="s">
        <v>117</v>
      </c>
      <c r="M33" s="93">
        <v>42387</v>
      </c>
      <c r="N33" s="41"/>
      <c r="O33" s="43" t="s">
        <v>248</v>
      </c>
      <c r="P33" s="91" t="str">
        <f t="shared" si="404"/>
        <v>Məmmədova Ramilə Xasay</v>
      </c>
      <c r="Q33" s="4">
        <v>1072743</v>
      </c>
      <c r="R33" s="39">
        <v>101</v>
      </c>
      <c r="S33" s="39">
        <v>270</v>
      </c>
      <c r="T33" s="1"/>
      <c r="U33" s="1"/>
      <c r="V33" s="1"/>
      <c r="W33" s="1"/>
      <c r="X33" s="1"/>
      <c r="Y33" s="1"/>
      <c r="Z33" s="1"/>
      <c r="AA33" s="55" t="s">
        <v>251</v>
      </c>
      <c r="AB33" s="1"/>
      <c r="AC33" s="56" t="s">
        <v>251</v>
      </c>
      <c r="AD33" s="1"/>
      <c r="AE33" s="1"/>
      <c r="AF33" s="2">
        <v>26</v>
      </c>
      <c r="AG33" s="55">
        <v>80.740740740740748</v>
      </c>
      <c r="AH33" s="1"/>
      <c r="AI33" s="1"/>
      <c r="AJ33" s="1"/>
      <c r="AK33" s="1"/>
      <c r="AL33" s="1"/>
      <c r="AM33" s="1"/>
      <c r="AN33" s="55" t="s">
        <v>251</v>
      </c>
      <c r="AO33" s="1"/>
      <c r="AP33" s="56" t="s">
        <v>251</v>
      </c>
      <c r="AQ33" s="1"/>
      <c r="AR33" s="1"/>
      <c r="AS33" s="2">
        <v>0</v>
      </c>
      <c r="AT33" s="55">
        <v>100</v>
      </c>
      <c r="AU33" s="55" t="s">
        <v>251</v>
      </c>
      <c r="AV33" s="55" t="s">
        <v>251</v>
      </c>
      <c r="AW33" s="56" t="s">
        <v>251</v>
      </c>
      <c r="AX33" s="57" t="s">
        <v>251</v>
      </c>
      <c r="AY33" s="55" t="s">
        <v>251</v>
      </c>
      <c r="AZ33" s="1"/>
      <c r="BA33" s="58">
        <v>26</v>
      </c>
      <c r="BB33" s="59">
        <v>90.370370370370367</v>
      </c>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1273950</v>
      </c>
      <c r="EB33" s="39">
        <v>106</v>
      </c>
      <c r="EC33" s="39">
        <v>33</v>
      </c>
      <c r="ED33" s="1"/>
      <c r="EE33" s="1"/>
      <c r="EF33" s="1"/>
      <c r="EG33" s="1"/>
      <c r="EH33" s="1"/>
      <c r="EI33" s="1"/>
      <c r="EJ33" s="1"/>
      <c r="EK33" s="55" t="s">
        <v>251</v>
      </c>
      <c r="EL33" s="1"/>
      <c r="EM33" s="56" t="s">
        <v>251</v>
      </c>
      <c r="EN33" s="1"/>
      <c r="EO33" s="1"/>
      <c r="EP33" s="2">
        <v>0</v>
      </c>
      <c r="EQ33" s="55">
        <v>100</v>
      </c>
      <c r="ER33" s="1"/>
      <c r="ES33" s="1"/>
      <c r="ET33" s="1"/>
      <c r="EU33" s="1"/>
      <c r="EV33" s="1"/>
      <c r="EW33" s="1"/>
      <c r="EX33" s="55" t="s">
        <v>251</v>
      </c>
      <c r="EY33" s="1"/>
      <c r="EZ33" s="56" t="s">
        <v>251</v>
      </c>
      <c r="FA33" s="1"/>
      <c r="FB33" s="1"/>
      <c r="FC33" s="2">
        <v>0</v>
      </c>
      <c r="FD33" s="55">
        <v>100</v>
      </c>
      <c r="FE33" s="55" t="s">
        <v>251</v>
      </c>
      <c r="FF33" s="55" t="s">
        <v>251</v>
      </c>
      <c r="FG33" s="56" t="s">
        <v>251</v>
      </c>
      <c r="FH33" s="57" t="s">
        <v>251</v>
      </c>
      <c r="FI33" s="55" t="s">
        <v>251</v>
      </c>
      <c r="FJ33" s="1"/>
      <c r="FK33" s="58">
        <v>0</v>
      </c>
      <c r="FL33" s="59">
        <v>100</v>
      </c>
      <c r="FM33" s="4">
        <v>1072743</v>
      </c>
      <c r="FN33" s="39">
        <v>110</v>
      </c>
      <c r="FO33" s="39">
        <v>168</v>
      </c>
      <c r="FP33" s="1"/>
      <c r="FQ33" s="1"/>
      <c r="FR33" s="1"/>
      <c r="FS33" s="1"/>
      <c r="FT33" s="1"/>
      <c r="FU33" s="1"/>
      <c r="FV33" s="1"/>
      <c r="FW33" s="55" t="s">
        <v>251</v>
      </c>
      <c r="FX33" s="1"/>
      <c r="FY33" s="56" t="s">
        <v>251</v>
      </c>
      <c r="FZ33" s="1"/>
      <c r="GA33" s="1"/>
      <c r="GB33" s="2">
        <v>13</v>
      </c>
      <c r="GC33" s="55">
        <v>84.523809523809518</v>
      </c>
      <c r="GD33" s="1"/>
      <c r="GE33" s="1"/>
      <c r="GF33" s="1"/>
      <c r="GG33" s="1"/>
      <c r="GH33" s="1"/>
      <c r="GI33" s="1"/>
      <c r="GJ33" s="55" t="s">
        <v>251</v>
      </c>
      <c r="GK33" s="1"/>
      <c r="GL33" s="56" t="s">
        <v>251</v>
      </c>
      <c r="GM33" s="1"/>
      <c r="GN33" s="1"/>
      <c r="GO33" s="2">
        <v>0</v>
      </c>
      <c r="GP33" s="55">
        <v>100</v>
      </c>
      <c r="GQ33" s="55" t="s">
        <v>251</v>
      </c>
      <c r="GR33" s="55" t="s">
        <v>251</v>
      </c>
      <c r="GS33" s="56" t="s">
        <v>251</v>
      </c>
      <c r="GT33" s="57" t="s">
        <v>251</v>
      </c>
      <c r="GU33" s="55" t="s">
        <v>251</v>
      </c>
      <c r="GV33" s="1"/>
      <c r="GW33" s="58">
        <v>13</v>
      </c>
      <c r="GX33" s="59">
        <v>92.261904761904759</v>
      </c>
      <c r="GY33" s="4">
        <v>1199044</v>
      </c>
      <c r="GZ33" s="39">
        <v>114</v>
      </c>
      <c r="HA33" s="39">
        <v>33</v>
      </c>
      <c r="HB33" s="1"/>
      <c r="HC33" s="1"/>
      <c r="HD33" s="1"/>
      <c r="HE33" s="1"/>
      <c r="HF33" s="1"/>
      <c r="HG33" s="1"/>
      <c r="HH33" s="1"/>
      <c r="HI33" s="55" t="s">
        <v>251</v>
      </c>
      <c r="HJ33" s="1"/>
      <c r="HK33" s="56" t="s">
        <v>251</v>
      </c>
      <c r="HL33" s="1"/>
      <c r="HM33" s="1"/>
      <c r="HN33" s="2">
        <v>0</v>
      </c>
      <c r="HO33" s="55">
        <v>100</v>
      </c>
      <c r="HP33" s="1"/>
      <c r="HQ33" s="1"/>
      <c r="HR33" s="1"/>
      <c r="HS33" s="1"/>
      <c r="HT33" s="1"/>
      <c r="HU33" s="1"/>
      <c r="HV33" s="55" t="s">
        <v>251</v>
      </c>
      <c r="HW33" s="1"/>
      <c r="HX33" s="56" t="s">
        <v>251</v>
      </c>
      <c r="HY33" s="1"/>
      <c r="HZ33" s="1"/>
      <c r="IA33" s="2">
        <v>0</v>
      </c>
      <c r="IB33" s="55">
        <v>100</v>
      </c>
      <c r="IC33" s="55" t="s">
        <v>251</v>
      </c>
      <c r="ID33" s="55" t="s">
        <v>251</v>
      </c>
      <c r="IE33" s="56" t="s">
        <v>251</v>
      </c>
      <c r="IF33" s="57" t="s">
        <v>251</v>
      </c>
      <c r="IG33" s="55" t="s">
        <v>251</v>
      </c>
      <c r="IH33" s="1"/>
      <c r="II33" s="58">
        <v>0</v>
      </c>
      <c r="IJ33" s="59">
        <v>100</v>
      </c>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1072743</v>
      </c>
      <c r="PT33" s="39">
        <v>128</v>
      </c>
      <c r="PU33" s="39">
        <v>33</v>
      </c>
      <c r="PV33" s="1"/>
      <c r="PW33" s="1"/>
      <c r="PX33" s="1"/>
      <c r="PY33" s="1"/>
      <c r="PZ33" s="1"/>
      <c r="QA33" s="1"/>
      <c r="QB33" s="1"/>
      <c r="QC33" s="55" t="s">
        <v>251</v>
      </c>
      <c r="QD33" s="1"/>
      <c r="QE33" s="56" t="s">
        <v>251</v>
      </c>
      <c r="QF33" s="1"/>
      <c r="QG33" s="1"/>
      <c r="QH33" s="2">
        <v>1</v>
      </c>
      <c r="QI33" s="55">
        <v>93.939393939393938</v>
      </c>
      <c r="QJ33" s="1"/>
      <c r="QK33" s="1"/>
      <c r="QL33" s="1"/>
      <c r="QM33" s="1"/>
      <c r="QN33" s="1"/>
      <c r="QO33" s="1"/>
      <c r="QP33" s="55" t="s">
        <v>251</v>
      </c>
      <c r="QQ33" s="1"/>
      <c r="QR33" s="56" t="s">
        <v>251</v>
      </c>
      <c r="QS33" s="1"/>
      <c r="QT33" s="1"/>
      <c r="QU33" s="2">
        <v>0</v>
      </c>
      <c r="QV33" s="55">
        <v>100</v>
      </c>
      <c r="QW33" s="55" t="s">
        <v>251</v>
      </c>
      <c r="QX33" s="55" t="s">
        <v>251</v>
      </c>
      <c r="QY33" s="56" t="s">
        <v>251</v>
      </c>
      <c r="QZ33" s="57" t="s">
        <v>251</v>
      </c>
      <c r="RA33" s="55" t="s">
        <v>251</v>
      </c>
      <c r="RB33" s="1"/>
      <c r="RC33" s="58">
        <v>1</v>
      </c>
      <c r="RD33" s="59">
        <v>96.969696969696969</v>
      </c>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1072743</v>
      </c>
      <c r="UD33" s="39">
        <v>131</v>
      </c>
      <c r="UE33" s="39">
        <v>69</v>
      </c>
      <c r="UF33" s="1"/>
      <c r="UG33" s="1"/>
      <c r="UH33" s="1"/>
      <c r="UI33" s="1"/>
      <c r="UJ33" s="1"/>
      <c r="UK33" s="1"/>
      <c r="UL33" s="1"/>
      <c r="UM33" s="55" t="s">
        <v>251</v>
      </c>
      <c r="UN33" s="1"/>
      <c r="UO33" s="56" t="s">
        <v>251</v>
      </c>
      <c r="UP33" s="1"/>
      <c r="UQ33" s="1"/>
      <c r="UR33" s="2">
        <v>4</v>
      </c>
      <c r="US33" s="55">
        <v>88.405797101449281</v>
      </c>
      <c r="UT33" s="1"/>
      <c r="UU33" s="1"/>
      <c r="UV33" s="1"/>
      <c r="UW33" s="1"/>
      <c r="UX33" s="1"/>
      <c r="UY33" s="1"/>
      <c r="UZ33" s="55" t="s">
        <v>251</v>
      </c>
      <c r="VA33" s="1"/>
      <c r="VB33" s="56" t="s">
        <v>251</v>
      </c>
      <c r="VC33" s="1"/>
      <c r="VD33" s="1">
        <v>0</v>
      </c>
      <c r="VE33" s="2"/>
      <c r="VF33" s="55" t="s">
        <v>251</v>
      </c>
      <c r="VG33" s="55" t="s">
        <v>251</v>
      </c>
      <c r="VH33" s="55" t="s">
        <v>251</v>
      </c>
      <c r="VI33" s="56" t="s">
        <v>251</v>
      </c>
      <c r="VJ33" s="57" t="s">
        <v>251</v>
      </c>
      <c r="VK33" s="55">
        <v>0</v>
      </c>
      <c r="VL33" s="1"/>
      <c r="VM33" s="58">
        <v>4</v>
      </c>
      <c r="VN33" s="59">
        <v>94.20289855072464</v>
      </c>
      <c r="VO33" s="4">
        <v>1072743</v>
      </c>
      <c r="VP33" s="39">
        <v>132</v>
      </c>
      <c r="VQ33" s="39">
        <v>34</v>
      </c>
      <c r="VR33" s="1"/>
      <c r="VS33" s="1"/>
      <c r="VT33" s="1"/>
      <c r="VU33" s="1"/>
      <c r="VV33" s="1"/>
      <c r="VW33" s="1"/>
      <c r="VX33" s="1"/>
      <c r="VY33" s="55" t="s">
        <v>251</v>
      </c>
      <c r="VZ33" s="1"/>
      <c r="WA33" s="56" t="s">
        <v>251</v>
      </c>
      <c r="WB33" s="1"/>
      <c r="WC33" s="1"/>
      <c r="WD33" s="2">
        <v>3</v>
      </c>
      <c r="WE33" s="55">
        <v>82.352941176470594</v>
      </c>
      <c r="WF33" s="1"/>
      <c r="WG33" s="1"/>
      <c r="WH33" s="1"/>
      <c r="WI33" s="1"/>
      <c r="WJ33" s="1"/>
      <c r="WK33" s="1"/>
      <c r="WL33" s="55" t="s">
        <v>251</v>
      </c>
      <c r="WM33" s="1"/>
      <c r="WN33" s="56" t="s">
        <v>251</v>
      </c>
      <c r="WO33" s="1"/>
      <c r="WP33" s="1"/>
      <c r="WQ33" s="2">
        <v>0</v>
      </c>
      <c r="WR33" s="55">
        <v>100</v>
      </c>
      <c r="WS33" s="55" t="s">
        <v>251</v>
      </c>
      <c r="WT33" s="55" t="s">
        <v>251</v>
      </c>
      <c r="WU33" s="56" t="s">
        <v>251</v>
      </c>
      <c r="WV33" s="57" t="s">
        <v>251</v>
      </c>
      <c r="WW33" s="55" t="s">
        <v>251</v>
      </c>
      <c r="WX33" s="1"/>
      <c r="WY33" s="58">
        <v>3</v>
      </c>
      <c r="WZ33" s="59">
        <v>91.17647058823529</v>
      </c>
      <c r="XA33" s="4">
        <v>1072748</v>
      </c>
      <c r="XB33" s="39">
        <v>133</v>
      </c>
      <c r="XC33" s="39">
        <v>34</v>
      </c>
      <c r="XD33" s="1"/>
      <c r="XE33" s="1"/>
      <c r="XF33" s="1"/>
      <c r="XG33" s="1"/>
      <c r="XH33" s="1"/>
      <c r="XI33" s="1"/>
      <c r="XJ33" s="1"/>
      <c r="XK33" s="55" t="s">
        <v>251</v>
      </c>
      <c r="XL33" s="1"/>
      <c r="XM33" s="56" t="s">
        <v>251</v>
      </c>
      <c r="XN33" s="1"/>
      <c r="XO33" s="1"/>
      <c r="XP33" s="2">
        <v>1</v>
      </c>
      <c r="XQ33" s="55">
        <v>94.117647058823536</v>
      </c>
      <c r="XR33" s="1"/>
      <c r="XS33" s="1"/>
      <c r="XT33" s="1"/>
      <c r="XU33" s="1"/>
      <c r="XV33" s="1"/>
      <c r="XW33" s="1"/>
      <c r="XX33" s="55" t="s">
        <v>251</v>
      </c>
      <c r="XY33" s="1"/>
      <c r="XZ33" s="56" t="s">
        <v>251</v>
      </c>
      <c r="YA33" s="1"/>
      <c r="YB33" s="1"/>
      <c r="YC33" s="2">
        <v>0</v>
      </c>
      <c r="YD33" s="55">
        <v>100</v>
      </c>
      <c r="YE33" s="55" t="s">
        <v>251</v>
      </c>
      <c r="YF33" s="55" t="s">
        <v>251</v>
      </c>
      <c r="YG33" s="56" t="s">
        <v>251</v>
      </c>
      <c r="YH33" s="57" t="s">
        <v>251</v>
      </c>
      <c r="YI33" s="55" t="s">
        <v>251</v>
      </c>
      <c r="YJ33" s="1"/>
      <c r="YK33" s="58">
        <v>1</v>
      </c>
      <c r="YL33" s="59">
        <v>97.058823529411768</v>
      </c>
      <c r="YM33" s="4">
        <v>1072743</v>
      </c>
      <c r="YN33" s="39">
        <v>135</v>
      </c>
      <c r="YO33" s="39">
        <v>33</v>
      </c>
      <c r="YP33" s="1"/>
      <c r="YQ33" s="1"/>
      <c r="YR33" s="1"/>
      <c r="YS33" s="1"/>
      <c r="YT33" s="1"/>
      <c r="YU33" s="1"/>
      <c r="YV33" s="1"/>
      <c r="YW33" s="55" t="s">
        <v>251</v>
      </c>
      <c r="YX33" s="1"/>
      <c r="YY33" s="56" t="s">
        <v>251</v>
      </c>
      <c r="YZ33" s="1"/>
      <c r="ZA33" s="1"/>
      <c r="ZB33" s="2">
        <v>3</v>
      </c>
      <c r="ZC33" s="55">
        <v>81.818181818181813</v>
      </c>
      <c r="ZD33" s="1"/>
      <c r="ZE33" s="1"/>
      <c r="ZF33" s="1"/>
      <c r="ZG33" s="1"/>
      <c r="ZH33" s="1"/>
      <c r="ZI33" s="1"/>
      <c r="ZJ33" s="55" t="s">
        <v>251</v>
      </c>
      <c r="ZK33" s="1"/>
      <c r="ZL33" s="56" t="s">
        <v>251</v>
      </c>
      <c r="ZM33" s="1"/>
      <c r="ZN33" s="1"/>
      <c r="ZO33" s="2">
        <v>0</v>
      </c>
      <c r="ZP33" s="55">
        <v>100</v>
      </c>
      <c r="ZQ33" s="55" t="s">
        <v>251</v>
      </c>
      <c r="ZR33" s="55" t="s">
        <v>251</v>
      </c>
      <c r="ZS33" s="56" t="s">
        <v>251</v>
      </c>
      <c r="ZT33" s="57" t="s">
        <v>251</v>
      </c>
      <c r="ZU33" s="55" t="s">
        <v>251</v>
      </c>
      <c r="ZV33" s="1"/>
      <c r="ZW33" s="58">
        <v>3</v>
      </c>
      <c r="ZX33" s="59">
        <v>90.909090909090907</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4238469</v>
      </c>
      <c r="F34" s="89">
        <f t="shared" si="401"/>
        <v>1</v>
      </c>
      <c r="G34" s="89" t="str">
        <f t="shared" si="402"/>
        <v>B</v>
      </c>
      <c r="H34" s="37" t="s">
        <v>216</v>
      </c>
      <c r="I34" s="37" t="s">
        <v>171</v>
      </c>
      <c r="J34" s="41" t="s">
        <v>217</v>
      </c>
      <c r="K34" s="90" t="str">
        <f t="shared" si="403"/>
        <v>A</v>
      </c>
      <c r="L34" s="41" t="s">
        <v>117</v>
      </c>
      <c r="M34" s="93">
        <v>42704</v>
      </c>
      <c r="N34" s="41"/>
      <c r="O34" s="43" t="s">
        <v>249</v>
      </c>
      <c r="P34" s="91" t="str">
        <f t="shared" si="404"/>
        <v>Məmmədova Ramilə Xasay</v>
      </c>
      <c r="Q34" s="4">
        <v>1072743</v>
      </c>
      <c r="R34" s="39">
        <v>101</v>
      </c>
      <c r="S34" s="39">
        <v>270</v>
      </c>
      <c r="T34" s="1"/>
      <c r="U34" s="1"/>
      <c r="V34" s="1"/>
      <c r="W34" s="1"/>
      <c r="X34" s="1"/>
      <c r="Y34" s="1"/>
      <c r="Z34" s="1"/>
      <c r="AA34" s="55" t="s">
        <v>251</v>
      </c>
      <c r="AB34" s="1"/>
      <c r="AC34" s="56" t="s">
        <v>251</v>
      </c>
      <c r="AD34" s="1"/>
      <c r="AE34" s="1"/>
      <c r="AF34" s="2">
        <v>20</v>
      </c>
      <c r="AG34" s="55">
        <v>85.18518518518519</v>
      </c>
      <c r="AH34" s="1"/>
      <c r="AI34" s="1"/>
      <c r="AJ34" s="1"/>
      <c r="AK34" s="1"/>
      <c r="AL34" s="1"/>
      <c r="AM34" s="1"/>
      <c r="AN34" s="55" t="s">
        <v>251</v>
      </c>
      <c r="AO34" s="1"/>
      <c r="AP34" s="56" t="s">
        <v>251</v>
      </c>
      <c r="AQ34" s="1"/>
      <c r="AR34" s="1"/>
      <c r="AS34" s="2">
        <v>2</v>
      </c>
      <c r="AT34" s="55">
        <v>98.518518518518519</v>
      </c>
      <c r="AU34" s="55" t="s">
        <v>251</v>
      </c>
      <c r="AV34" s="55" t="s">
        <v>251</v>
      </c>
      <c r="AW34" s="56" t="s">
        <v>251</v>
      </c>
      <c r="AX34" s="57" t="s">
        <v>251</v>
      </c>
      <c r="AY34" s="55" t="s">
        <v>251</v>
      </c>
      <c r="AZ34" s="1"/>
      <c r="BA34" s="58">
        <v>22</v>
      </c>
      <c r="BB34" s="59">
        <v>91.851851851851848</v>
      </c>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v>1273950</v>
      </c>
      <c r="EB34" s="39">
        <v>106</v>
      </c>
      <c r="EC34" s="39">
        <v>33</v>
      </c>
      <c r="ED34" s="1"/>
      <c r="EE34" s="1"/>
      <c r="EF34" s="1"/>
      <c r="EG34" s="1"/>
      <c r="EH34" s="1"/>
      <c r="EI34" s="1"/>
      <c r="EJ34" s="1"/>
      <c r="EK34" s="55" t="s">
        <v>251</v>
      </c>
      <c r="EL34" s="1"/>
      <c r="EM34" s="56" t="s">
        <v>251</v>
      </c>
      <c r="EN34" s="1"/>
      <c r="EO34" s="1"/>
      <c r="EP34" s="2">
        <v>0</v>
      </c>
      <c r="EQ34" s="55">
        <v>100</v>
      </c>
      <c r="ER34" s="1"/>
      <c r="ES34" s="1"/>
      <c r="ET34" s="1"/>
      <c r="EU34" s="1"/>
      <c r="EV34" s="1"/>
      <c r="EW34" s="1"/>
      <c r="EX34" s="55" t="s">
        <v>251</v>
      </c>
      <c r="EY34" s="1"/>
      <c r="EZ34" s="56" t="s">
        <v>251</v>
      </c>
      <c r="FA34" s="1"/>
      <c r="FB34" s="1"/>
      <c r="FC34" s="2">
        <v>0</v>
      </c>
      <c r="FD34" s="55">
        <v>100</v>
      </c>
      <c r="FE34" s="55" t="s">
        <v>251</v>
      </c>
      <c r="FF34" s="55" t="s">
        <v>251</v>
      </c>
      <c r="FG34" s="56" t="s">
        <v>251</v>
      </c>
      <c r="FH34" s="57" t="s">
        <v>251</v>
      </c>
      <c r="FI34" s="55" t="s">
        <v>251</v>
      </c>
      <c r="FJ34" s="1"/>
      <c r="FK34" s="58">
        <v>0</v>
      </c>
      <c r="FL34" s="59">
        <v>100</v>
      </c>
      <c r="FM34" s="4">
        <v>1072743</v>
      </c>
      <c r="FN34" s="39">
        <v>110</v>
      </c>
      <c r="FO34" s="39">
        <v>168</v>
      </c>
      <c r="FP34" s="1"/>
      <c r="FQ34" s="1"/>
      <c r="FR34" s="1"/>
      <c r="FS34" s="1"/>
      <c r="FT34" s="1"/>
      <c r="FU34" s="1"/>
      <c r="FV34" s="1"/>
      <c r="FW34" s="55" t="s">
        <v>251</v>
      </c>
      <c r="FX34" s="1"/>
      <c r="FY34" s="56" t="s">
        <v>251</v>
      </c>
      <c r="FZ34" s="1"/>
      <c r="GA34" s="1"/>
      <c r="GB34" s="2">
        <v>13</v>
      </c>
      <c r="GC34" s="55">
        <v>84.523809523809518</v>
      </c>
      <c r="GD34" s="1"/>
      <c r="GE34" s="1"/>
      <c r="GF34" s="1"/>
      <c r="GG34" s="1"/>
      <c r="GH34" s="1"/>
      <c r="GI34" s="1"/>
      <c r="GJ34" s="55" t="s">
        <v>251</v>
      </c>
      <c r="GK34" s="1"/>
      <c r="GL34" s="56" t="s">
        <v>251</v>
      </c>
      <c r="GM34" s="1"/>
      <c r="GN34" s="1"/>
      <c r="GO34" s="2">
        <v>1</v>
      </c>
      <c r="GP34" s="55">
        <v>98.80952380952381</v>
      </c>
      <c r="GQ34" s="55" t="s">
        <v>251</v>
      </c>
      <c r="GR34" s="55" t="s">
        <v>251</v>
      </c>
      <c r="GS34" s="56" t="s">
        <v>251</v>
      </c>
      <c r="GT34" s="57" t="s">
        <v>251</v>
      </c>
      <c r="GU34" s="55" t="s">
        <v>251</v>
      </c>
      <c r="GV34" s="1"/>
      <c r="GW34" s="58">
        <v>14</v>
      </c>
      <c r="GX34" s="59">
        <v>91.666666666666671</v>
      </c>
      <c r="GY34" s="4">
        <v>1199044</v>
      </c>
      <c r="GZ34" s="39">
        <v>114</v>
      </c>
      <c r="HA34" s="39">
        <v>33</v>
      </c>
      <c r="HB34" s="1"/>
      <c r="HC34" s="1"/>
      <c r="HD34" s="1"/>
      <c r="HE34" s="1"/>
      <c r="HF34" s="1"/>
      <c r="HG34" s="1"/>
      <c r="HH34" s="1"/>
      <c r="HI34" s="55" t="s">
        <v>251</v>
      </c>
      <c r="HJ34" s="1"/>
      <c r="HK34" s="56" t="s">
        <v>251</v>
      </c>
      <c r="HL34" s="1"/>
      <c r="HM34" s="1"/>
      <c r="HN34" s="2">
        <v>0</v>
      </c>
      <c r="HO34" s="55">
        <v>100</v>
      </c>
      <c r="HP34" s="1"/>
      <c r="HQ34" s="1"/>
      <c r="HR34" s="1"/>
      <c r="HS34" s="1"/>
      <c r="HT34" s="1"/>
      <c r="HU34" s="1"/>
      <c r="HV34" s="55" t="s">
        <v>251</v>
      </c>
      <c r="HW34" s="1"/>
      <c r="HX34" s="56" t="s">
        <v>251</v>
      </c>
      <c r="HY34" s="1"/>
      <c r="HZ34" s="1"/>
      <c r="IA34" s="2">
        <v>0</v>
      </c>
      <c r="IB34" s="55">
        <v>100</v>
      </c>
      <c r="IC34" s="55" t="s">
        <v>251</v>
      </c>
      <c r="ID34" s="55" t="s">
        <v>251</v>
      </c>
      <c r="IE34" s="56" t="s">
        <v>251</v>
      </c>
      <c r="IF34" s="57" t="s">
        <v>251</v>
      </c>
      <c r="IG34" s="55" t="s">
        <v>251</v>
      </c>
      <c r="IH34" s="1"/>
      <c r="II34" s="58">
        <v>0</v>
      </c>
      <c r="IJ34" s="59">
        <v>100</v>
      </c>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1072743</v>
      </c>
      <c r="PT34" s="39">
        <v>128</v>
      </c>
      <c r="PU34" s="39">
        <v>33</v>
      </c>
      <c r="PV34" s="1"/>
      <c r="PW34" s="1"/>
      <c r="PX34" s="1"/>
      <c r="PY34" s="1"/>
      <c r="PZ34" s="1"/>
      <c r="QA34" s="1"/>
      <c r="QB34" s="1"/>
      <c r="QC34" s="55" t="s">
        <v>251</v>
      </c>
      <c r="QD34" s="1"/>
      <c r="QE34" s="56" t="s">
        <v>251</v>
      </c>
      <c r="QF34" s="1"/>
      <c r="QG34" s="1"/>
      <c r="QH34" s="2">
        <v>2</v>
      </c>
      <c r="QI34" s="55">
        <v>87.878787878787875</v>
      </c>
      <c r="QJ34" s="1"/>
      <c r="QK34" s="1"/>
      <c r="QL34" s="1"/>
      <c r="QM34" s="1"/>
      <c r="QN34" s="1"/>
      <c r="QO34" s="1"/>
      <c r="QP34" s="55" t="s">
        <v>251</v>
      </c>
      <c r="QQ34" s="1"/>
      <c r="QR34" s="56" t="s">
        <v>251</v>
      </c>
      <c r="QS34" s="1"/>
      <c r="QT34" s="1"/>
      <c r="QU34" s="2">
        <v>0</v>
      </c>
      <c r="QV34" s="55">
        <v>100</v>
      </c>
      <c r="QW34" s="55" t="s">
        <v>251</v>
      </c>
      <c r="QX34" s="55" t="s">
        <v>251</v>
      </c>
      <c r="QY34" s="56" t="s">
        <v>251</v>
      </c>
      <c r="QZ34" s="57" t="s">
        <v>251</v>
      </c>
      <c r="RA34" s="55" t="s">
        <v>251</v>
      </c>
      <c r="RB34" s="1"/>
      <c r="RC34" s="58">
        <v>2</v>
      </c>
      <c r="RD34" s="59">
        <v>93.939393939393938</v>
      </c>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1072743</v>
      </c>
      <c r="UD34" s="39">
        <v>131</v>
      </c>
      <c r="UE34" s="39">
        <v>69</v>
      </c>
      <c r="UF34" s="1"/>
      <c r="UG34" s="1"/>
      <c r="UH34" s="1"/>
      <c r="UI34" s="1"/>
      <c r="UJ34" s="1"/>
      <c r="UK34" s="1"/>
      <c r="UL34" s="1"/>
      <c r="UM34" s="55" t="s">
        <v>251</v>
      </c>
      <c r="UN34" s="1"/>
      <c r="UO34" s="56" t="s">
        <v>251</v>
      </c>
      <c r="UP34" s="1"/>
      <c r="UQ34" s="1"/>
      <c r="UR34" s="2">
        <v>4</v>
      </c>
      <c r="US34" s="55">
        <v>88.405797101449281</v>
      </c>
      <c r="UT34" s="1"/>
      <c r="UU34" s="1"/>
      <c r="UV34" s="1"/>
      <c r="UW34" s="1"/>
      <c r="UX34" s="1"/>
      <c r="UY34" s="1"/>
      <c r="UZ34" s="55" t="s">
        <v>251</v>
      </c>
      <c r="VA34" s="1"/>
      <c r="VB34" s="56" t="s">
        <v>251</v>
      </c>
      <c r="VC34" s="1"/>
      <c r="VD34" s="1">
        <v>0</v>
      </c>
      <c r="VE34" s="2"/>
      <c r="VF34" s="55" t="s">
        <v>251</v>
      </c>
      <c r="VG34" s="55" t="s">
        <v>251</v>
      </c>
      <c r="VH34" s="55" t="s">
        <v>251</v>
      </c>
      <c r="VI34" s="56" t="s">
        <v>251</v>
      </c>
      <c r="VJ34" s="57" t="s">
        <v>251</v>
      </c>
      <c r="VK34" s="55">
        <v>0</v>
      </c>
      <c r="VL34" s="1"/>
      <c r="VM34" s="58">
        <v>4</v>
      </c>
      <c r="VN34" s="59">
        <v>94.20289855072464</v>
      </c>
      <c r="VO34" s="4">
        <v>1072743</v>
      </c>
      <c r="VP34" s="39">
        <v>132</v>
      </c>
      <c r="VQ34" s="39">
        <v>34</v>
      </c>
      <c r="VR34" s="1"/>
      <c r="VS34" s="1"/>
      <c r="VT34" s="1"/>
      <c r="VU34" s="1"/>
      <c r="VV34" s="1"/>
      <c r="VW34" s="1"/>
      <c r="VX34" s="1"/>
      <c r="VY34" s="55" t="s">
        <v>251</v>
      </c>
      <c r="VZ34" s="1"/>
      <c r="WA34" s="56" t="s">
        <v>251</v>
      </c>
      <c r="WB34" s="1"/>
      <c r="WC34" s="1"/>
      <c r="WD34" s="2">
        <v>3</v>
      </c>
      <c r="WE34" s="55">
        <v>82.352941176470594</v>
      </c>
      <c r="WF34" s="1"/>
      <c r="WG34" s="1"/>
      <c r="WH34" s="1"/>
      <c r="WI34" s="1"/>
      <c r="WJ34" s="1"/>
      <c r="WK34" s="1"/>
      <c r="WL34" s="55" t="s">
        <v>251</v>
      </c>
      <c r="WM34" s="1"/>
      <c r="WN34" s="56" t="s">
        <v>251</v>
      </c>
      <c r="WO34" s="1"/>
      <c r="WP34" s="1"/>
      <c r="WQ34" s="2">
        <v>1</v>
      </c>
      <c r="WR34" s="55">
        <v>94.117647058823536</v>
      </c>
      <c r="WS34" s="55" t="s">
        <v>251</v>
      </c>
      <c r="WT34" s="55" t="s">
        <v>251</v>
      </c>
      <c r="WU34" s="56" t="s">
        <v>251</v>
      </c>
      <c r="WV34" s="57" t="s">
        <v>251</v>
      </c>
      <c r="WW34" s="55" t="s">
        <v>251</v>
      </c>
      <c r="WX34" s="1"/>
      <c r="WY34" s="58">
        <v>4</v>
      </c>
      <c r="WZ34" s="59">
        <v>88.235294117647058</v>
      </c>
      <c r="XA34" s="4">
        <v>1072748</v>
      </c>
      <c r="XB34" s="39">
        <v>133</v>
      </c>
      <c r="XC34" s="39">
        <v>34</v>
      </c>
      <c r="XD34" s="1"/>
      <c r="XE34" s="1"/>
      <c r="XF34" s="1"/>
      <c r="XG34" s="1"/>
      <c r="XH34" s="1"/>
      <c r="XI34" s="1"/>
      <c r="XJ34" s="1"/>
      <c r="XK34" s="55" t="s">
        <v>251</v>
      </c>
      <c r="XL34" s="1"/>
      <c r="XM34" s="56" t="s">
        <v>251</v>
      </c>
      <c r="XN34" s="1"/>
      <c r="XO34" s="1"/>
      <c r="XP34" s="2">
        <v>1</v>
      </c>
      <c r="XQ34" s="55">
        <v>94.117647058823536</v>
      </c>
      <c r="XR34" s="1"/>
      <c r="XS34" s="1"/>
      <c r="XT34" s="1"/>
      <c r="XU34" s="1"/>
      <c r="XV34" s="1"/>
      <c r="XW34" s="1"/>
      <c r="XX34" s="55" t="s">
        <v>251</v>
      </c>
      <c r="XY34" s="1"/>
      <c r="XZ34" s="56" t="s">
        <v>251</v>
      </c>
      <c r="YA34" s="1"/>
      <c r="YB34" s="1"/>
      <c r="YC34" s="2">
        <v>0</v>
      </c>
      <c r="YD34" s="55">
        <v>100</v>
      </c>
      <c r="YE34" s="55" t="s">
        <v>251</v>
      </c>
      <c r="YF34" s="55" t="s">
        <v>251</v>
      </c>
      <c r="YG34" s="56" t="s">
        <v>251</v>
      </c>
      <c r="YH34" s="57" t="s">
        <v>251</v>
      </c>
      <c r="YI34" s="55" t="s">
        <v>251</v>
      </c>
      <c r="YJ34" s="1"/>
      <c r="YK34" s="58">
        <v>1</v>
      </c>
      <c r="YL34" s="59">
        <v>97.058823529411768</v>
      </c>
      <c r="YM34" s="4">
        <v>1072743</v>
      </c>
      <c r="YN34" s="39">
        <v>135</v>
      </c>
      <c r="YO34" s="39">
        <v>33</v>
      </c>
      <c r="YP34" s="1"/>
      <c r="YQ34" s="1"/>
      <c r="YR34" s="1"/>
      <c r="YS34" s="1"/>
      <c r="YT34" s="1"/>
      <c r="YU34" s="1"/>
      <c r="YV34" s="1"/>
      <c r="YW34" s="55" t="s">
        <v>251</v>
      </c>
      <c r="YX34" s="1"/>
      <c r="YY34" s="56" t="s">
        <v>251</v>
      </c>
      <c r="YZ34" s="1"/>
      <c r="ZA34" s="1"/>
      <c r="ZB34" s="2">
        <v>3</v>
      </c>
      <c r="ZC34" s="55">
        <v>81.818181818181813</v>
      </c>
      <c r="ZD34" s="1"/>
      <c r="ZE34" s="1"/>
      <c r="ZF34" s="1"/>
      <c r="ZG34" s="1"/>
      <c r="ZH34" s="1"/>
      <c r="ZI34" s="1"/>
      <c r="ZJ34" s="55" t="s">
        <v>251</v>
      </c>
      <c r="ZK34" s="1"/>
      <c r="ZL34" s="56" t="s">
        <v>251</v>
      </c>
      <c r="ZM34" s="1"/>
      <c r="ZN34" s="1"/>
      <c r="ZO34" s="2">
        <v>0</v>
      </c>
      <c r="ZP34" s="55">
        <v>100</v>
      </c>
      <c r="ZQ34" s="55" t="s">
        <v>251</v>
      </c>
      <c r="ZR34" s="55" t="s">
        <v>251</v>
      </c>
      <c r="ZS34" s="56" t="s">
        <v>251</v>
      </c>
      <c r="ZT34" s="57" t="s">
        <v>251</v>
      </c>
      <c r="ZU34" s="55" t="s">
        <v>251</v>
      </c>
      <c r="ZV34" s="1"/>
      <c r="ZW34" s="58">
        <v>3</v>
      </c>
      <c r="ZX34" s="59">
        <v>90.909090909090907</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2022-2023</v>
      </c>
      <c r="B35" s="89" t="str">
        <f t="shared" si="398"/>
        <v>Bakı</v>
      </c>
      <c r="C35" s="89" t="str">
        <f t="shared" si="399"/>
        <v>Binəqədi</v>
      </c>
      <c r="D35" s="89">
        <f t="shared" si="400"/>
        <v>99</v>
      </c>
      <c r="E35" s="40">
        <v>4238502</v>
      </c>
      <c r="F35" s="89">
        <f t="shared" si="401"/>
        <v>1</v>
      </c>
      <c r="G35" s="89" t="str">
        <f t="shared" si="402"/>
        <v>B</v>
      </c>
      <c r="H35" s="37" t="s">
        <v>218</v>
      </c>
      <c r="I35" s="37" t="s">
        <v>219</v>
      </c>
      <c r="J35" s="41" t="s">
        <v>220</v>
      </c>
      <c r="K35" s="90" t="str">
        <f t="shared" si="403"/>
        <v>A</v>
      </c>
      <c r="L35" s="41" t="s">
        <v>117</v>
      </c>
      <c r="M35" s="93">
        <v>42471</v>
      </c>
      <c r="N35" s="41"/>
      <c r="O35" s="43" t="s">
        <v>250</v>
      </c>
      <c r="P35" s="91" t="str">
        <f t="shared" si="404"/>
        <v>Məmmədova Ramilə Xasay</v>
      </c>
      <c r="Q35" s="4">
        <v>1072743</v>
      </c>
      <c r="R35" s="39">
        <v>101</v>
      </c>
      <c r="S35" s="39">
        <v>270</v>
      </c>
      <c r="T35" s="1"/>
      <c r="U35" s="1"/>
      <c r="V35" s="1"/>
      <c r="W35" s="1"/>
      <c r="X35" s="1"/>
      <c r="Y35" s="1"/>
      <c r="Z35" s="1"/>
      <c r="AA35" s="55" t="s">
        <v>251</v>
      </c>
      <c r="AB35" s="1"/>
      <c r="AC35" s="56" t="s">
        <v>251</v>
      </c>
      <c r="AD35" s="1"/>
      <c r="AE35" s="1"/>
      <c r="AF35" s="2">
        <v>2</v>
      </c>
      <c r="AG35" s="55">
        <v>98.518518518518519</v>
      </c>
      <c r="AH35" s="1"/>
      <c r="AI35" s="1"/>
      <c r="AJ35" s="1"/>
      <c r="AK35" s="1"/>
      <c r="AL35" s="1"/>
      <c r="AM35" s="1"/>
      <c r="AN35" s="55" t="s">
        <v>251</v>
      </c>
      <c r="AO35" s="1"/>
      <c r="AP35" s="56" t="s">
        <v>251</v>
      </c>
      <c r="AQ35" s="1"/>
      <c r="AR35" s="1"/>
      <c r="AS35" s="2">
        <v>2</v>
      </c>
      <c r="AT35" s="55">
        <v>98.518518518518519</v>
      </c>
      <c r="AU35" s="55" t="s">
        <v>251</v>
      </c>
      <c r="AV35" s="55" t="s">
        <v>251</v>
      </c>
      <c r="AW35" s="56" t="s">
        <v>251</v>
      </c>
      <c r="AX35" s="57" t="s">
        <v>251</v>
      </c>
      <c r="AY35" s="55" t="s">
        <v>251</v>
      </c>
      <c r="AZ35" s="1"/>
      <c r="BA35" s="58">
        <v>4</v>
      </c>
      <c r="BB35" s="59">
        <v>98.518518518518519</v>
      </c>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v>1273950</v>
      </c>
      <c r="EB35" s="39">
        <v>106</v>
      </c>
      <c r="EC35" s="39">
        <v>33</v>
      </c>
      <c r="ED35" s="1"/>
      <c r="EE35" s="1"/>
      <c r="EF35" s="1"/>
      <c r="EG35" s="1"/>
      <c r="EH35" s="1"/>
      <c r="EI35" s="1"/>
      <c r="EJ35" s="1"/>
      <c r="EK35" s="55" t="s">
        <v>251</v>
      </c>
      <c r="EL35" s="1"/>
      <c r="EM35" s="56" t="s">
        <v>251</v>
      </c>
      <c r="EN35" s="1"/>
      <c r="EO35" s="1"/>
      <c r="EP35" s="2">
        <v>0</v>
      </c>
      <c r="EQ35" s="55">
        <v>100</v>
      </c>
      <c r="ER35" s="1"/>
      <c r="ES35" s="1"/>
      <c r="ET35" s="1"/>
      <c r="EU35" s="1"/>
      <c r="EV35" s="1"/>
      <c r="EW35" s="1"/>
      <c r="EX35" s="55" t="s">
        <v>251</v>
      </c>
      <c r="EY35" s="1"/>
      <c r="EZ35" s="56" t="s">
        <v>251</v>
      </c>
      <c r="FA35" s="1"/>
      <c r="FB35" s="1"/>
      <c r="FC35" s="2">
        <v>0</v>
      </c>
      <c r="FD35" s="55">
        <v>100</v>
      </c>
      <c r="FE35" s="55" t="s">
        <v>251</v>
      </c>
      <c r="FF35" s="55" t="s">
        <v>251</v>
      </c>
      <c r="FG35" s="56" t="s">
        <v>251</v>
      </c>
      <c r="FH35" s="57" t="s">
        <v>251</v>
      </c>
      <c r="FI35" s="55" t="s">
        <v>251</v>
      </c>
      <c r="FJ35" s="1"/>
      <c r="FK35" s="58">
        <v>0</v>
      </c>
      <c r="FL35" s="59">
        <v>100</v>
      </c>
      <c r="FM35" s="4">
        <v>1072743</v>
      </c>
      <c r="FN35" s="39">
        <v>110</v>
      </c>
      <c r="FO35" s="39">
        <v>168</v>
      </c>
      <c r="FP35" s="1"/>
      <c r="FQ35" s="1"/>
      <c r="FR35" s="1"/>
      <c r="FS35" s="1"/>
      <c r="FT35" s="1"/>
      <c r="FU35" s="1"/>
      <c r="FV35" s="1"/>
      <c r="FW35" s="55" t="s">
        <v>251</v>
      </c>
      <c r="FX35" s="1"/>
      <c r="FY35" s="56" t="s">
        <v>251</v>
      </c>
      <c r="FZ35" s="1"/>
      <c r="GA35" s="1"/>
      <c r="GB35" s="2">
        <v>1</v>
      </c>
      <c r="GC35" s="55">
        <v>98.80952380952381</v>
      </c>
      <c r="GD35" s="1"/>
      <c r="GE35" s="1"/>
      <c r="GF35" s="1"/>
      <c r="GG35" s="1"/>
      <c r="GH35" s="1"/>
      <c r="GI35" s="1"/>
      <c r="GJ35" s="55" t="s">
        <v>251</v>
      </c>
      <c r="GK35" s="1"/>
      <c r="GL35" s="56" t="s">
        <v>251</v>
      </c>
      <c r="GM35" s="1"/>
      <c r="GN35" s="1"/>
      <c r="GO35" s="2">
        <v>1</v>
      </c>
      <c r="GP35" s="55">
        <v>98.80952380952381</v>
      </c>
      <c r="GQ35" s="55" t="s">
        <v>251</v>
      </c>
      <c r="GR35" s="55" t="s">
        <v>251</v>
      </c>
      <c r="GS35" s="56" t="s">
        <v>251</v>
      </c>
      <c r="GT35" s="57" t="s">
        <v>251</v>
      </c>
      <c r="GU35" s="55" t="s">
        <v>251</v>
      </c>
      <c r="GV35" s="1"/>
      <c r="GW35" s="58">
        <v>2</v>
      </c>
      <c r="GX35" s="59">
        <v>98.80952380952381</v>
      </c>
      <c r="GY35" s="4">
        <v>1199044</v>
      </c>
      <c r="GZ35" s="39">
        <v>114</v>
      </c>
      <c r="HA35" s="39">
        <v>33</v>
      </c>
      <c r="HB35" s="1"/>
      <c r="HC35" s="1"/>
      <c r="HD35" s="1"/>
      <c r="HE35" s="1"/>
      <c r="HF35" s="1"/>
      <c r="HG35" s="1"/>
      <c r="HH35" s="1"/>
      <c r="HI35" s="55" t="s">
        <v>251</v>
      </c>
      <c r="HJ35" s="1"/>
      <c r="HK35" s="56" t="s">
        <v>251</v>
      </c>
      <c r="HL35" s="1"/>
      <c r="HM35" s="1"/>
      <c r="HN35" s="2">
        <v>0</v>
      </c>
      <c r="HO35" s="55">
        <v>100</v>
      </c>
      <c r="HP35" s="1"/>
      <c r="HQ35" s="1"/>
      <c r="HR35" s="1"/>
      <c r="HS35" s="1"/>
      <c r="HT35" s="1"/>
      <c r="HU35" s="1"/>
      <c r="HV35" s="55" t="s">
        <v>251</v>
      </c>
      <c r="HW35" s="1"/>
      <c r="HX35" s="56" t="s">
        <v>251</v>
      </c>
      <c r="HY35" s="1"/>
      <c r="HZ35" s="1"/>
      <c r="IA35" s="2">
        <v>0</v>
      </c>
      <c r="IB35" s="55">
        <v>100</v>
      </c>
      <c r="IC35" s="55" t="s">
        <v>251</v>
      </c>
      <c r="ID35" s="55" t="s">
        <v>251</v>
      </c>
      <c r="IE35" s="56" t="s">
        <v>251</v>
      </c>
      <c r="IF35" s="57" t="s">
        <v>251</v>
      </c>
      <c r="IG35" s="55" t="s">
        <v>251</v>
      </c>
      <c r="IH35" s="1"/>
      <c r="II35" s="58">
        <v>0</v>
      </c>
      <c r="IJ35" s="59">
        <v>100</v>
      </c>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v>1072743</v>
      </c>
      <c r="PT35" s="39">
        <v>128</v>
      </c>
      <c r="PU35" s="39">
        <v>33</v>
      </c>
      <c r="PV35" s="1"/>
      <c r="PW35" s="1"/>
      <c r="PX35" s="1"/>
      <c r="PY35" s="1"/>
      <c r="PZ35" s="1"/>
      <c r="QA35" s="1"/>
      <c r="QB35" s="1"/>
      <c r="QC35" s="55" t="s">
        <v>251</v>
      </c>
      <c r="QD35" s="1"/>
      <c r="QE35" s="56" t="s">
        <v>251</v>
      </c>
      <c r="QF35" s="1"/>
      <c r="QG35" s="1"/>
      <c r="QH35" s="2">
        <v>0</v>
      </c>
      <c r="QI35" s="55">
        <v>100</v>
      </c>
      <c r="QJ35" s="1"/>
      <c r="QK35" s="1"/>
      <c r="QL35" s="1"/>
      <c r="QM35" s="1"/>
      <c r="QN35" s="1"/>
      <c r="QO35" s="1"/>
      <c r="QP35" s="55" t="s">
        <v>251</v>
      </c>
      <c r="QQ35" s="1"/>
      <c r="QR35" s="56" t="s">
        <v>251</v>
      </c>
      <c r="QS35" s="1"/>
      <c r="QT35" s="1"/>
      <c r="QU35" s="2">
        <v>0</v>
      </c>
      <c r="QV35" s="55">
        <v>100</v>
      </c>
      <c r="QW35" s="55" t="s">
        <v>251</v>
      </c>
      <c r="QX35" s="55" t="s">
        <v>251</v>
      </c>
      <c r="QY35" s="56" t="s">
        <v>251</v>
      </c>
      <c r="QZ35" s="57" t="s">
        <v>251</v>
      </c>
      <c r="RA35" s="55" t="s">
        <v>251</v>
      </c>
      <c r="RB35" s="1"/>
      <c r="RC35" s="58">
        <v>0</v>
      </c>
      <c r="RD35" s="59">
        <v>100</v>
      </c>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v>1072743</v>
      </c>
      <c r="UD35" s="39">
        <v>131</v>
      </c>
      <c r="UE35" s="39">
        <v>69</v>
      </c>
      <c r="UF35" s="1"/>
      <c r="UG35" s="1"/>
      <c r="UH35" s="1"/>
      <c r="UI35" s="1"/>
      <c r="UJ35" s="1"/>
      <c r="UK35" s="1"/>
      <c r="UL35" s="1"/>
      <c r="UM35" s="55" t="s">
        <v>251</v>
      </c>
      <c r="UN35" s="1"/>
      <c r="UO35" s="56" t="s">
        <v>251</v>
      </c>
      <c r="UP35" s="1"/>
      <c r="UQ35" s="1"/>
      <c r="UR35" s="2">
        <v>0</v>
      </c>
      <c r="US35" s="55">
        <v>100</v>
      </c>
      <c r="UT35" s="1"/>
      <c r="UU35" s="1"/>
      <c r="UV35" s="1"/>
      <c r="UW35" s="1"/>
      <c r="UX35" s="1"/>
      <c r="UY35" s="1"/>
      <c r="UZ35" s="55" t="s">
        <v>251</v>
      </c>
      <c r="VA35" s="1"/>
      <c r="VB35" s="56" t="s">
        <v>251</v>
      </c>
      <c r="VC35" s="1"/>
      <c r="VD35" s="1">
        <v>0</v>
      </c>
      <c r="VE35" s="2"/>
      <c r="VF35" s="55" t="s">
        <v>251</v>
      </c>
      <c r="VG35" s="55" t="s">
        <v>251</v>
      </c>
      <c r="VH35" s="55" t="s">
        <v>251</v>
      </c>
      <c r="VI35" s="56" t="s">
        <v>251</v>
      </c>
      <c r="VJ35" s="57" t="s">
        <v>251</v>
      </c>
      <c r="VK35" s="55">
        <v>0</v>
      </c>
      <c r="VL35" s="1"/>
      <c r="VM35" s="58">
        <v>0</v>
      </c>
      <c r="VN35" s="59">
        <v>100</v>
      </c>
      <c r="VO35" s="4">
        <v>1072743</v>
      </c>
      <c r="VP35" s="39">
        <v>132</v>
      </c>
      <c r="VQ35" s="39">
        <v>34</v>
      </c>
      <c r="VR35" s="1"/>
      <c r="VS35" s="1"/>
      <c r="VT35" s="1"/>
      <c r="VU35" s="1"/>
      <c r="VV35" s="1"/>
      <c r="VW35" s="1"/>
      <c r="VX35" s="1"/>
      <c r="VY35" s="55" t="s">
        <v>251</v>
      </c>
      <c r="VZ35" s="1"/>
      <c r="WA35" s="56" t="s">
        <v>251</v>
      </c>
      <c r="WB35" s="1"/>
      <c r="WC35" s="1"/>
      <c r="WD35" s="2">
        <v>0</v>
      </c>
      <c r="WE35" s="55">
        <v>100</v>
      </c>
      <c r="WF35" s="1"/>
      <c r="WG35" s="1"/>
      <c r="WH35" s="1"/>
      <c r="WI35" s="1"/>
      <c r="WJ35" s="1"/>
      <c r="WK35" s="1"/>
      <c r="WL35" s="55" t="s">
        <v>251</v>
      </c>
      <c r="WM35" s="1"/>
      <c r="WN35" s="56" t="s">
        <v>251</v>
      </c>
      <c r="WO35" s="1"/>
      <c r="WP35" s="1"/>
      <c r="WQ35" s="2">
        <v>0</v>
      </c>
      <c r="WR35" s="55">
        <v>100</v>
      </c>
      <c r="WS35" s="55" t="s">
        <v>251</v>
      </c>
      <c r="WT35" s="55" t="s">
        <v>251</v>
      </c>
      <c r="WU35" s="56" t="s">
        <v>251</v>
      </c>
      <c r="WV35" s="57" t="s">
        <v>251</v>
      </c>
      <c r="WW35" s="55" t="s">
        <v>251</v>
      </c>
      <c r="WX35" s="1"/>
      <c r="WY35" s="58">
        <v>0</v>
      </c>
      <c r="WZ35" s="59">
        <v>100</v>
      </c>
      <c r="XA35" s="4">
        <v>1072748</v>
      </c>
      <c r="XB35" s="39">
        <v>133</v>
      </c>
      <c r="XC35" s="39">
        <v>34</v>
      </c>
      <c r="XD35" s="1"/>
      <c r="XE35" s="1"/>
      <c r="XF35" s="1"/>
      <c r="XG35" s="1"/>
      <c r="XH35" s="1"/>
      <c r="XI35" s="1"/>
      <c r="XJ35" s="1"/>
      <c r="XK35" s="55" t="s">
        <v>251</v>
      </c>
      <c r="XL35" s="1"/>
      <c r="XM35" s="56" t="s">
        <v>251</v>
      </c>
      <c r="XN35" s="1"/>
      <c r="XO35" s="1"/>
      <c r="XP35" s="2">
        <v>0</v>
      </c>
      <c r="XQ35" s="55">
        <v>100</v>
      </c>
      <c r="XR35" s="1"/>
      <c r="XS35" s="1"/>
      <c r="XT35" s="1"/>
      <c r="XU35" s="1"/>
      <c r="XV35" s="1"/>
      <c r="XW35" s="1"/>
      <c r="XX35" s="55" t="s">
        <v>251</v>
      </c>
      <c r="XY35" s="1"/>
      <c r="XZ35" s="56" t="s">
        <v>251</v>
      </c>
      <c r="YA35" s="1"/>
      <c r="YB35" s="1"/>
      <c r="YC35" s="2">
        <v>0</v>
      </c>
      <c r="YD35" s="55">
        <v>100</v>
      </c>
      <c r="YE35" s="55" t="s">
        <v>251</v>
      </c>
      <c r="YF35" s="55" t="s">
        <v>251</v>
      </c>
      <c r="YG35" s="56" t="s">
        <v>251</v>
      </c>
      <c r="YH35" s="57" t="s">
        <v>251</v>
      </c>
      <c r="YI35" s="55" t="s">
        <v>251</v>
      </c>
      <c r="YJ35" s="1"/>
      <c r="YK35" s="58">
        <v>0</v>
      </c>
      <c r="YL35" s="59">
        <v>100</v>
      </c>
      <c r="YM35" s="4">
        <v>1072743</v>
      </c>
      <c r="YN35" s="39">
        <v>135</v>
      </c>
      <c r="YO35" s="39">
        <v>33</v>
      </c>
      <c r="YP35" s="1"/>
      <c r="YQ35" s="1"/>
      <c r="YR35" s="1"/>
      <c r="YS35" s="1"/>
      <c r="YT35" s="1"/>
      <c r="YU35" s="1"/>
      <c r="YV35" s="1"/>
      <c r="YW35" s="55" t="s">
        <v>251</v>
      </c>
      <c r="YX35" s="1"/>
      <c r="YY35" s="56" t="s">
        <v>251</v>
      </c>
      <c r="YZ35" s="1"/>
      <c r="ZA35" s="1"/>
      <c r="ZB35" s="2">
        <v>0</v>
      </c>
      <c r="ZC35" s="55">
        <v>100</v>
      </c>
      <c r="ZD35" s="1"/>
      <c r="ZE35" s="1"/>
      <c r="ZF35" s="1"/>
      <c r="ZG35" s="1"/>
      <c r="ZH35" s="1"/>
      <c r="ZI35" s="1"/>
      <c r="ZJ35" s="55" t="s">
        <v>251</v>
      </c>
      <c r="ZK35" s="1"/>
      <c r="ZL35" s="56" t="s">
        <v>251</v>
      </c>
      <c r="ZM35" s="1"/>
      <c r="ZN35" s="1"/>
      <c r="ZO35" s="2">
        <v>0</v>
      </c>
      <c r="ZP35" s="55">
        <v>100</v>
      </c>
      <c r="ZQ35" s="55" t="s">
        <v>251</v>
      </c>
      <c r="ZR35" s="55" t="s">
        <v>251</v>
      </c>
      <c r="ZS35" s="56" t="s">
        <v>251</v>
      </c>
      <c r="ZT35" s="57" t="s">
        <v>251</v>
      </c>
      <c r="ZU35" s="55" t="s">
        <v>251</v>
      </c>
      <c r="ZV35" s="1"/>
      <c r="ZW35" s="58">
        <v>0</v>
      </c>
      <c r="ZX35" s="59">
        <v>100</v>
      </c>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2023-07-17T13:37:05Z</dcterms:modified>
</cp:coreProperties>
</file>