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<sst xmlns="http://schemas.openxmlformats.org/spreadsheetml/2006/main" count="1573" uniqueCount="147">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</sst>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6" t="s">
        <v>146</v>
      </c>
      <c r="B1" s="96"/>
      <c r="C1" s="96"/>
      <c r="D1" s="96"/>
      <c r="E1" s="96"/>
    </row>
    <row r="2" spans="1:5" ht="18" x14ac:dyDescent="0.25">
      <c r="A2" s="97" t="s">
        <v>35</v>
      </c>
      <c r="B2" s="97"/>
      <c r="C2" s="97"/>
      <c r="D2" s="97"/>
      <c r="E2" s="97"/>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8" t="s">
        <v>145</v>
      </c>
      <c r="B19" s="98"/>
      <c r="C19" s="98"/>
      <c r="D19" s="99"/>
      <c r="E19" s="99"/>
    </row>
    <row r="20" spans="1:5" ht="21" x14ac:dyDescent="0.25">
      <c r="A20" s="100" t="s">
        <v>42</v>
      </c>
      <c r="B20" s="100"/>
      <c r="C20" s="100"/>
      <c r="D20" s="11"/>
    </row>
    <row r="21" spans="1:5" ht="17.25" x14ac:dyDescent="0.25">
      <c r="A21" s="68" t="s">
        <v>44</v>
      </c>
      <c r="B21" s="92" t="s">
        <v>45</v>
      </c>
      <c r="C21" s="93"/>
      <c r="D21" s="11"/>
    </row>
    <row r="22" spans="1:5" ht="17.25" x14ac:dyDescent="0.25">
      <c r="A22" s="68" t="s">
        <v>46</v>
      </c>
      <c r="B22" s="92" t="s">
        <v>47</v>
      </c>
      <c r="C22" s="93"/>
      <c r="D22" s="11"/>
    </row>
    <row r="23" spans="1:5" ht="17.25" x14ac:dyDescent="0.25">
      <c r="A23" s="68" t="s">
        <v>48</v>
      </c>
      <c r="B23" s="92" t="s">
        <v>49</v>
      </c>
      <c r="C23" s="93"/>
      <c r="D23" s="11"/>
    </row>
    <row r="24" spans="1:5" ht="17.25" x14ac:dyDescent="0.25">
      <c r="A24" s="68" t="s">
        <v>50</v>
      </c>
      <c r="B24" s="92" t="s">
        <v>51</v>
      </c>
      <c r="C24" s="93"/>
      <c r="D24" s="11"/>
    </row>
    <row r="25" spans="1:5" ht="17.25" x14ac:dyDescent="0.25">
      <c r="A25" s="68" t="s">
        <v>52</v>
      </c>
      <c r="B25" s="92" t="s">
        <v>53</v>
      </c>
      <c r="C25" s="93"/>
      <c r="D25" s="11"/>
    </row>
    <row r="26" spans="1:5" ht="17.25" x14ac:dyDescent="0.25">
      <c r="A26" s="68" t="s">
        <v>54</v>
      </c>
      <c r="B26" s="92" t="s">
        <v>55</v>
      </c>
      <c r="C26" s="93"/>
      <c r="D26" s="11"/>
    </row>
    <row r="27" spans="1:5" ht="17.25" x14ac:dyDescent="0.25">
      <c r="A27" s="68">
        <v>115</v>
      </c>
      <c r="B27" s="94" t="s">
        <v>43</v>
      </c>
      <c r="C27" s="95"/>
      <c r="D27" s="11"/>
    </row>
    <row r="28" spans="1:5" ht="17.25" x14ac:dyDescent="0.25">
      <c r="A28" s="68" t="s">
        <v>56</v>
      </c>
      <c r="B28" s="92" t="s">
        <v>57</v>
      </c>
      <c r="C28" s="93"/>
      <c r="D28" s="11"/>
    </row>
    <row r="29" spans="1:5" ht="17.25" x14ac:dyDescent="0.25">
      <c r="A29" s="68" t="s">
        <v>58</v>
      </c>
      <c r="B29" s="92" t="s">
        <v>59</v>
      </c>
      <c r="C29" s="93"/>
      <c r="D29" s="11"/>
    </row>
    <row r="30" spans="1:5" ht="17.25" x14ac:dyDescent="0.25">
      <c r="A30" s="68" t="s">
        <v>60</v>
      </c>
      <c r="B30" s="92" t="s">
        <v>61</v>
      </c>
      <c r="C30" s="93"/>
      <c r="D30" s="11"/>
    </row>
    <row r="31" spans="1:5" ht="17.25" x14ac:dyDescent="0.25">
      <c r="A31" s="68" t="s">
        <v>62</v>
      </c>
      <c r="B31" s="92" t="s">
        <v>63</v>
      </c>
      <c r="C31" s="93"/>
      <c r="D31" s="11"/>
    </row>
    <row r="32" spans="1:5" ht="17.25" x14ac:dyDescent="0.25">
      <c r="A32" s="68" t="s">
        <v>64</v>
      </c>
      <c r="B32" s="92" t="s">
        <v>65</v>
      </c>
      <c r="C32" s="93"/>
      <c r="D32" s="11"/>
    </row>
    <row r="33" spans="1:4" ht="17.25" x14ac:dyDescent="0.25">
      <c r="A33" s="68" t="s">
        <v>66</v>
      </c>
      <c r="B33" s="92" t="s">
        <v>67</v>
      </c>
      <c r="C33" s="93"/>
      <c r="D33" s="11"/>
    </row>
    <row r="34" spans="1:4" ht="17.25" x14ac:dyDescent="0.25">
      <c r="A34" s="68" t="s">
        <v>68</v>
      </c>
      <c r="B34" s="92" t="s">
        <v>69</v>
      </c>
      <c r="C34" s="93"/>
      <c r="D34" s="11"/>
    </row>
    <row r="35" spans="1:4" ht="17.25" x14ac:dyDescent="0.25">
      <c r="A35" s="68" t="s">
        <v>70</v>
      </c>
      <c r="B35" s="92" t="s">
        <v>71</v>
      </c>
      <c r="C35" s="93"/>
      <c r="D35" s="11"/>
    </row>
    <row r="36" spans="1:4" ht="17.25" x14ac:dyDescent="0.25">
      <c r="A36" s="68" t="s">
        <v>72</v>
      </c>
      <c r="B36" s="92" t="s">
        <v>73</v>
      </c>
      <c r="C36" s="93"/>
      <c r="D36" s="11"/>
    </row>
    <row r="37" spans="1:4" ht="17.25" x14ac:dyDescent="0.25">
      <c r="A37" s="68" t="s">
        <v>74</v>
      </c>
      <c r="B37" s="92" t="s">
        <v>75</v>
      </c>
      <c r="C37" s="93"/>
      <c r="D37" s="11"/>
    </row>
    <row r="38" spans="1:4" ht="17.25" x14ac:dyDescent="0.25">
      <c r="A38" s="68" t="s">
        <v>76</v>
      </c>
      <c r="B38" s="92" t="s">
        <v>77</v>
      </c>
      <c r="C38" s="93"/>
      <c r="D38" s="11"/>
    </row>
    <row r="39" spans="1:4" ht="17.25" x14ac:dyDescent="0.25">
      <c r="A39" s="68" t="s">
        <v>78</v>
      </c>
      <c r="B39" s="92" t="s">
        <v>79</v>
      </c>
      <c r="C39" s="93"/>
      <c r="D39" s="11"/>
    </row>
    <row r="40" spans="1:4" ht="17.25" x14ac:dyDescent="0.25">
      <c r="A40" s="68" t="s">
        <v>80</v>
      </c>
      <c r="B40" s="92" t="s">
        <v>81</v>
      </c>
      <c r="C40" s="93"/>
      <c r="D40" s="11"/>
    </row>
    <row r="41" spans="1:4" ht="17.25" x14ac:dyDescent="0.25">
      <c r="A41" s="68" t="s">
        <v>82</v>
      </c>
      <c r="B41" s="92" t="s">
        <v>83</v>
      </c>
      <c r="C41" s="93"/>
      <c r="D41" s="11"/>
    </row>
    <row r="42" spans="1:4" ht="17.25" x14ac:dyDescent="0.25">
      <c r="A42" s="68" t="s">
        <v>84</v>
      </c>
      <c r="B42" s="92" t="s">
        <v>89</v>
      </c>
      <c r="C42" s="93"/>
      <c r="D42" s="11"/>
    </row>
    <row r="43" spans="1:4" ht="17.25" x14ac:dyDescent="0.25">
      <c r="A43" s="68" t="s">
        <v>85</v>
      </c>
      <c r="B43" s="92" t="s">
        <v>86</v>
      </c>
      <c r="C43" s="93"/>
      <c r="D43" s="11"/>
    </row>
    <row r="44" spans="1:4" ht="17.25" x14ac:dyDescent="0.25">
      <c r="A44" s="68" t="s">
        <v>87</v>
      </c>
      <c r="B44" s="92" t="s">
        <v>88</v>
      </c>
      <c r="C44" s="93"/>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68" zoomScaleNormal="68" workbookViewId="0">
      <pane xSplit="10" ySplit="9" topLeftCell="K10" activePane="bottomRight" state="frozen"/>
      <selection pane="topRight" activeCell="H1" sqref="H1"/>
      <selection pane="bottomLeft" activeCell="A5" sqref="A5"/>
      <selection pane="bottomRight" activeCell="H14" sqref="H14"/>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21" t="s">
        <v>95</v>
      </c>
      <c r="D1" s="121"/>
      <c r="E1" s="121"/>
      <c r="F1" s="121"/>
      <c r="G1" s="121"/>
      <c r="H1" s="121"/>
      <c r="I1" s="121"/>
      <c r="J1" s="121"/>
      <c r="K1" s="121"/>
      <c r="L1" s="121"/>
      <c r="M1" s="121"/>
      <c r="N1" s="121"/>
      <c r="O1" s="121"/>
      <c r="P1" s="72"/>
      <c r="Q1" s="73">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4">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3">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4">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3">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4">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3">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4">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3">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4">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3">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4">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3">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4">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3">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4">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3">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4">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3">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4">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3">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4">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3">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4">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80" customFormat="1" ht="41.45" hidden="1" customHeight="1" x14ac:dyDescent="0.25">
      <c r="A2" s="75" t="str">
        <f>IF(A9="","",A9)</f>
        <v/>
      </c>
      <c r="B2" s="75" t="str">
        <f>IF(B9="","",B9)</f>
        <v/>
      </c>
      <c r="C2" s="75" t="str">
        <f>IF(C9="","",C9)</f>
        <v/>
      </c>
      <c r="D2" s="75" t="str">
        <f>IF(D9="","",D9)</f>
        <v/>
      </c>
      <c r="E2" s="75" t="s">
        <v>9</v>
      </c>
      <c r="F2" s="75"/>
      <c r="G2" s="75"/>
      <c r="H2" s="75" t="str">
        <f>IF(F9="","",F9&amp;G9)</f>
        <v/>
      </c>
      <c r="I2" s="75" t="str">
        <f>IF(K9="R","Rus",IF(K9="A","Azərbaycan",""))</f>
        <v/>
      </c>
      <c r="J2" s="75"/>
      <c r="K2" s="75" t="str">
        <f>IF(K9="","",K9)</f>
        <v/>
      </c>
      <c r="L2" s="75">
        <f>SUM(L4,L6)</f>
        <v>0</v>
      </c>
      <c r="M2" s="75"/>
      <c r="N2" s="75"/>
      <c r="O2" s="75"/>
      <c r="P2" s="75" t="str">
        <f>IF(P9="","",P9)</f>
        <v/>
      </c>
      <c r="Q2" s="75"/>
      <c r="R2" s="75">
        <f>IF(Q1="","",Q1)</f>
        <v>101</v>
      </c>
      <c r="S2" s="75" t="str">
        <f>IF(S10="","",S10)</f>
        <v/>
      </c>
      <c r="T2" s="76" t="str">
        <f>IFERROR(AVERAGE(T10:T59),"")</f>
        <v/>
      </c>
      <c r="U2" s="76" t="str">
        <f t="shared" ref="U2:BB2" si="0">IFERROR(AVERAGE(U10:U59),"")</f>
        <v/>
      </c>
      <c r="V2" s="76" t="str">
        <f t="shared" si="0"/>
        <v/>
      </c>
      <c r="W2" s="76" t="str">
        <f t="shared" si="0"/>
        <v/>
      </c>
      <c r="X2" s="76" t="str">
        <f t="shared" si="0"/>
        <v/>
      </c>
      <c r="Y2" s="76" t="str">
        <f t="shared" si="0"/>
        <v/>
      </c>
      <c r="Z2" s="76" t="str">
        <f t="shared" si="0"/>
        <v/>
      </c>
      <c r="AA2" s="76" t="str">
        <f t="shared" si="0"/>
        <v/>
      </c>
      <c r="AB2" s="76" t="str">
        <f t="shared" si="0"/>
        <v/>
      </c>
      <c r="AC2" s="76" t="str">
        <f t="shared" si="0"/>
        <v/>
      </c>
      <c r="AD2" s="76" t="str">
        <f t="shared" si="0"/>
        <v/>
      </c>
      <c r="AE2" s="76" t="str">
        <f t="shared" si="0"/>
        <v/>
      </c>
      <c r="AF2" s="77">
        <f>IFERROR(SUM(AF10:AF59),"")</f>
        <v>0</v>
      </c>
      <c r="AG2" s="76" t="str">
        <f t="shared" si="0"/>
        <v/>
      </c>
      <c r="AH2" s="76" t="str">
        <f t="shared" si="0"/>
        <v/>
      </c>
      <c r="AI2" s="76" t="str">
        <f t="shared" si="0"/>
        <v/>
      </c>
      <c r="AJ2" s="76" t="str">
        <f t="shared" si="0"/>
        <v/>
      </c>
      <c r="AK2" s="76" t="str">
        <f t="shared" si="0"/>
        <v/>
      </c>
      <c r="AL2" s="76" t="str">
        <f t="shared" si="0"/>
        <v/>
      </c>
      <c r="AM2" s="76" t="str">
        <f t="shared" si="0"/>
        <v/>
      </c>
      <c r="AN2" s="76" t="str">
        <f t="shared" si="0"/>
        <v/>
      </c>
      <c r="AO2" s="76" t="str">
        <f t="shared" si="0"/>
        <v/>
      </c>
      <c r="AP2" s="76" t="str">
        <f t="shared" si="0"/>
        <v/>
      </c>
      <c r="AQ2" s="76" t="str">
        <f t="shared" si="0"/>
        <v/>
      </c>
      <c r="AR2" s="76" t="str">
        <f t="shared" si="0"/>
        <v/>
      </c>
      <c r="AS2" s="76">
        <f>IFERROR(SUM(AS10:AS59),"")</f>
        <v>0</v>
      </c>
      <c r="AT2" s="76" t="str">
        <f t="shared" si="0"/>
        <v/>
      </c>
      <c r="AU2" s="76" t="str">
        <f t="shared" si="0"/>
        <v/>
      </c>
      <c r="AV2" s="76" t="str">
        <f t="shared" si="0"/>
        <v/>
      </c>
      <c r="AW2" s="76" t="str">
        <f t="shared" si="0"/>
        <v/>
      </c>
      <c r="AX2" s="78" t="str">
        <f t="shared" si="0"/>
        <v/>
      </c>
      <c r="AY2" s="76" t="str">
        <f t="shared" si="0"/>
        <v/>
      </c>
      <c r="AZ2" s="76" t="str">
        <f t="shared" si="0"/>
        <v/>
      </c>
      <c r="BA2" s="77">
        <f>IFERROR(SUM(BA10:BA59),"")</f>
        <v>0</v>
      </c>
      <c r="BB2" s="76" t="str">
        <f t="shared" si="0"/>
        <v/>
      </c>
      <c r="BC2" s="79"/>
      <c r="BD2" s="79">
        <f>IF(BC1="","",BC1)</f>
        <v>102</v>
      </c>
      <c r="BE2" s="79" t="str">
        <f>IF(BE10="","",BE10)</f>
        <v/>
      </c>
      <c r="BF2" s="79" t="str">
        <f>IFERROR(AVERAGE(BF10:BF59),"")</f>
        <v/>
      </c>
      <c r="BG2" s="79" t="str">
        <f t="shared" ref="BG2:CN2" si="1">IFERROR(AVERAGE(BG10:BG59),"")</f>
        <v/>
      </c>
      <c r="BH2" s="79" t="str">
        <f t="shared" si="1"/>
        <v/>
      </c>
      <c r="BI2" s="79" t="str">
        <f t="shared" si="1"/>
        <v/>
      </c>
      <c r="BJ2" s="79" t="str">
        <f t="shared" si="1"/>
        <v/>
      </c>
      <c r="BK2" s="79" t="str">
        <f t="shared" si="1"/>
        <v/>
      </c>
      <c r="BL2" s="79" t="str">
        <f t="shared" si="1"/>
        <v/>
      </c>
      <c r="BM2" s="79" t="str">
        <f t="shared" si="1"/>
        <v/>
      </c>
      <c r="BN2" s="79" t="str">
        <f t="shared" si="1"/>
        <v/>
      </c>
      <c r="BO2" s="79" t="str">
        <f t="shared" si="1"/>
        <v/>
      </c>
      <c r="BP2" s="79" t="str">
        <f t="shared" si="1"/>
        <v/>
      </c>
      <c r="BQ2" s="79" t="str">
        <f t="shared" si="1"/>
        <v/>
      </c>
      <c r="BR2" s="79">
        <f>IFERROR(SUM(BR10:BR59),"")</f>
        <v>0</v>
      </c>
      <c r="BS2" s="79" t="str">
        <f t="shared" si="1"/>
        <v/>
      </c>
      <c r="BT2" s="79" t="str">
        <f t="shared" si="1"/>
        <v/>
      </c>
      <c r="BU2" s="79" t="str">
        <f t="shared" si="1"/>
        <v/>
      </c>
      <c r="BV2" s="79" t="str">
        <f t="shared" si="1"/>
        <v/>
      </c>
      <c r="BW2" s="79" t="str">
        <f t="shared" si="1"/>
        <v/>
      </c>
      <c r="BX2" s="79" t="str">
        <f t="shared" si="1"/>
        <v/>
      </c>
      <c r="BY2" s="79" t="str">
        <f t="shared" si="1"/>
        <v/>
      </c>
      <c r="BZ2" s="79" t="str">
        <f t="shared" si="1"/>
        <v/>
      </c>
      <c r="CA2" s="79" t="str">
        <f t="shared" si="1"/>
        <v/>
      </c>
      <c r="CB2" s="79" t="str">
        <f t="shared" si="1"/>
        <v/>
      </c>
      <c r="CC2" s="79" t="str">
        <f t="shared" si="1"/>
        <v/>
      </c>
      <c r="CD2" s="79" t="str">
        <f t="shared" si="1"/>
        <v/>
      </c>
      <c r="CE2" s="79">
        <f>IFERROR(SUM(CE10:CE59),"")</f>
        <v>0</v>
      </c>
      <c r="CF2" s="79" t="str">
        <f t="shared" si="1"/>
        <v/>
      </c>
      <c r="CG2" s="79" t="str">
        <f t="shared" si="1"/>
        <v/>
      </c>
      <c r="CH2" s="79" t="str">
        <f t="shared" si="1"/>
        <v/>
      </c>
      <c r="CI2" s="79" t="str">
        <f t="shared" si="1"/>
        <v/>
      </c>
      <c r="CJ2" s="79" t="str">
        <f t="shared" si="1"/>
        <v/>
      </c>
      <c r="CK2" s="79" t="str">
        <f t="shared" si="1"/>
        <v/>
      </c>
      <c r="CL2" s="79" t="str">
        <f t="shared" si="1"/>
        <v/>
      </c>
      <c r="CM2" s="79">
        <f>IFERROR(SUM(CM10:CM59),"")</f>
        <v>0</v>
      </c>
      <c r="CN2" s="79" t="str">
        <f t="shared" si="1"/>
        <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t="str">
        <f>IF(EC10="","",EC10)</f>
        <v/>
      </c>
      <c r="ED2" s="79" t="str">
        <f>IFERROR(AVERAGE(ED10:ED59),"")</f>
        <v/>
      </c>
      <c r="EE2" s="79" t="str">
        <f t="shared" ref="EE2:FL2" si="3">IFERROR(AVERAGE(EE10:EE59),"")</f>
        <v/>
      </c>
      <c r="EF2" s="79" t="str">
        <f t="shared" si="3"/>
        <v/>
      </c>
      <c r="EG2" s="79" t="str">
        <f t="shared" si="3"/>
        <v/>
      </c>
      <c r="EH2" s="79" t="str">
        <f t="shared" si="3"/>
        <v/>
      </c>
      <c r="EI2" s="79" t="str">
        <f t="shared" si="3"/>
        <v/>
      </c>
      <c r="EJ2" s="79" t="str">
        <f t="shared" si="3"/>
        <v/>
      </c>
      <c r="EK2" s="79" t="str">
        <f t="shared" si="3"/>
        <v/>
      </c>
      <c r="EL2" s="79" t="str">
        <f t="shared" si="3"/>
        <v/>
      </c>
      <c r="EM2" s="79" t="str">
        <f t="shared" si="3"/>
        <v/>
      </c>
      <c r="EN2" s="79" t="str">
        <f t="shared" si="3"/>
        <v/>
      </c>
      <c r="EO2" s="79" t="str">
        <f t="shared" si="3"/>
        <v/>
      </c>
      <c r="EP2" s="79">
        <f>IFERROR(SUM(EP10:EP59),"")</f>
        <v>0</v>
      </c>
      <c r="EQ2" s="79" t="str">
        <f t="shared" si="3"/>
        <v/>
      </c>
      <c r="ER2" s="79" t="str">
        <f t="shared" si="3"/>
        <v/>
      </c>
      <c r="ES2" s="79" t="str">
        <f t="shared" si="3"/>
        <v/>
      </c>
      <c r="ET2" s="79" t="str">
        <f t="shared" si="3"/>
        <v/>
      </c>
      <c r="EU2" s="79" t="str">
        <f t="shared" si="3"/>
        <v/>
      </c>
      <c r="EV2" s="79" t="str">
        <f t="shared" si="3"/>
        <v/>
      </c>
      <c r="EW2" s="79" t="str">
        <f t="shared" si="3"/>
        <v/>
      </c>
      <c r="EX2" s="79" t="str">
        <f t="shared" si="3"/>
        <v/>
      </c>
      <c r="EY2" s="79" t="str">
        <f t="shared" si="3"/>
        <v/>
      </c>
      <c r="EZ2" s="79" t="str">
        <f t="shared" si="3"/>
        <v/>
      </c>
      <c r="FA2" s="79" t="str">
        <f t="shared" si="3"/>
        <v/>
      </c>
      <c r="FB2" s="79" t="str">
        <f t="shared" si="3"/>
        <v/>
      </c>
      <c r="FC2" s="79">
        <f>IFERROR(SUM(FC10:FC59),"")</f>
        <v>0</v>
      </c>
      <c r="FD2" s="79" t="str">
        <f t="shared" si="3"/>
        <v/>
      </c>
      <c r="FE2" s="79" t="str">
        <f t="shared" si="3"/>
        <v/>
      </c>
      <c r="FF2" s="79" t="str">
        <f t="shared" si="3"/>
        <v/>
      </c>
      <c r="FG2" s="79" t="str">
        <f t="shared" si="3"/>
        <v/>
      </c>
      <c r="FH2" s="79" t="str">
        <f t="shared" si="3"/>
        <v/>
      </c>
      <c r="FI2" s="79" t="str">
        <f t="shared" si="3"/>
        <v/>
      </c>
      <c r="FJ2" s="79" t="str">
        <f t="shared" si="3"/>
        <v/>
      </c>
      <c r="FK2" s="79">
        <f>IFERROR(SUM(FK10:FK59),"")</f>
        <v>0</v>
      </c>
      <c r="FL2" s="79" t="str">
        <f t="shared" si="3"/>
        <v/>
      </c>
      <c r="FM2" s="75"/>
      <c r="FN2" s="75">
        <f>IF(FM1="","",FM1)</f>
        <v>110</v>
      </c>
      <c r="FO2" s="75" t="str">
        <f>IF(FO10="","",FO10)</f>
        <v/>
      </c>
      <c r="FP2" s="75" t="str">
        <f>IFERROR(AVERAGE(FP10:FP59),"")</f>
        <v/>
      </c>
      <c r="FQ2" s="75" t="str">
        <f t="shared" ref="FQ2:GX2" si="4">IFERROR(AVERAGE(FQ10:FQ59),"")</f>
        <v/>
      </c>
      <c r="FR2" s="75" t="str">
        <f t="shared" si="4"/>
        <v/>
      </c>
      <c r="FS2" s="75" t="str">
        <f t="shared" si="4"/>
        <v/>
      </c>
      <c r="FT2" s="75" t="str">
        <f t="shared" si="4"/>
        <v/>
      </c>
      <c r="FU2" s="75" t="str">
        <f t="shared" si="4"/>
        <v/>
      </c>
      <c r="FV2" s="75" t="str">
        <f t="shared" si="4"/>
        <v/>
      </c>
      <c r="FW2" s="75" t="str">
        <f t="shared" si="4"/>
        <v/>
      </c>
      <c r="FX2" s="75" t="str">
        <f t="shared" si="4"/>
        <v/>
      </c>
      <c r="FY2" s="75" t="str">
        <f t="shared" si="4"/>
        <v/>
      </c>
      <c r="FZ2" s="75" t="str">
        <f t="shared" si="4"/>
        <v/>
      </c>
      <c r="GA2" s="75" t="str">
        <f t="shared" si="4"/>
        <v/>
      </c>
      <c r="GB2" s="75">
        <f>IFERROR(SUM(GB10:GB59),"")</f>
        <v>0</v>
      </c>
      <c r="GC2" s="75" t="str">
        <f t="shared" si="4"/>
        <v/>
      </c>
      <c r="GD2" s="75" t="str">
        <f t="shared" si="4"/>
        <v/>
      </c>
      <c r="GE2" s="75" t="str">
        <f t="shared" si="4"/>
        <v/>
      </c>
      <c r="GF2" s="75" t="str">
        <f t="shared" si="4"/>
        <v/>
      </c>
      <c r="GG2" s="75" t="str">
        <f t="shared" si="4"/>
        <v/>
      </c>
      <c r="GH2" s="75" t="str">
        <f t="shared" si="4"/>
        <v/>
      </c>
      <c r="GI2" s="75" t="str">
        <f t="shared" si="4"/>
        <v/>
      </c>
      <c r="GJ2" s="75" t="str">
        <f t="shared" si="4"/>
        <v/>
      </c>
      <c r="GK2" s="75" t="str">
        <f t="shared" si="4"/>
        <v/>
      </c>
      <c r="GL2" s="75" t="str">
        <f t="shared" si="4"/>
        <v/>
      </c>
      <c r="GM2" s="75" t="str">
        <f t="shared" si="4"/>
        <v/>
      </c>
      <c r="GN2" s="75" t="str">
        <f t="shared" si="4"/>
        <v/>
      </c>
      <c r="GO2" s="75">
        <f>IFERROR(SUM(GO10:GO59),"")</f>
        <v>0</v>
      </c>
      <c r="GP2" s="75" t="str">
        <f t="shared" si="4"/>
        <v/>
      </c>
      <c r="GQ2" s="75" t="str">
        <f t="shared" si="4"/>
        <v/>
      </c>
      <c r="GR2" s="75" t="str">
        <f t="shared" si="4"/>
        <v/>
      </c>
      <c r="GS2" s="75" t="str">
        <f t="shared" si="4"/>
        <v/>
      </c>
      <c r="GT2" s="75" t="str">
        <f t="shared" si="4"/>
        <v/>
      </c>
      <c r="GU2" s="75" t="str">
        <f t="shared" si="4"/>
        <v/>
      </c>
      <c r="GV2" s="75" t="str">
        <f t="shared" si="4"/>
        <v/>
      </c>
      <c r="GW2" s="75">
        <f>IFERROR(SUM(GW10:GW59),"")</f>
        <v>0</v>
      </c>
      <c r="GX2" s="75" t="str">
        <f t="shared" si="4"/>
        <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t="str">
        <f>IF(JY10="","",JY10)</f>
        <v/>
      </c>
      <c r="JZ2" s="79" t="str">
        <f>IFERROR(AVERAGE(JZ10:JZ59),"")</f>
        <v/>
      </c>
      <c r="KA2" s="79" t="str">
        <f t="shared" ref="KA2:LH2" si="7">IFERROR(AVERAGE(KA10:KA59),"")</f>
        <v/>
      </c>
      <c r="KB2" s="79" t="str">
        <f t="shared" si="7"/>
        <v/>
      </c>
      <c r="KC2" s="79" t="str">
        <f t="shared" si="7"/>
        <v/>
      </c>
      <c r="KD2" s="79" t="str">
        <f t="shared" si="7"/>
        <v/>
      </c>
      <c r="KE2" s="79" t="str">
        <f t="shared" si="7"/>
        <v/>
      </c>
      <c r="KF2" s="79" t="str">
        <f t="shared" si="7"/>
        <v/>
      </c>
      <c r="KG2" s="79" t="str">
        <f t="shared" si="7"/>
        <v/>
      </c>
      <c r="KH2" s="79" t="str">
        <f t="shared" si="7"/>
        <v/>
      </c>
      <c r="KI2" s="79" t="str">
        <f t="shared" si="7"/>
        <v/>
      </c>
      <c r="KJ2" s="79" t="str">
        <f t="shared" si="7"/>
        <v/>
      </c>
      <c r="KK2" s="79" t="str">
        <f t="shared" si="7"/>
        <v/>
      </c>
      <c r="KL2" s="79">
        <f>IFERROR(SUM(KL10:KL59),"")</f>
        <v>0</v>
      </c>
      <c r="KM2" s="79" t="str">
        <f t="shared" si="7"/>
        <v/>
      </c>
      <c r="KN2" s="79" t="str">
        <f t="shared" si="7"/>
        <v/>
      </c>
      <c r="KO2" s="79" t="str">
        <f t="shared" si="7"/>
        <v/>
      </c>
      <c r="KP2" s="79" t="str">
        <f t="shared" si="7"/>
        <v/>
      </c>
      <c r="KQ2" s="79" t="str">
        <f t="shared" si="7"/>
        <v/>
      </c>
      <c r="KR2" s="79" t="str">
        <f t="shared" si="7"/>
        <v/>
      </c>
      <c r="KS2" s="79" t="str">
        <f t="shared" si="7"/>
        <v/>
      </c>
      <c r="KT2" s="79" t="str">
        <f t="shared" si="7"/>
        <v/>
      </c>
      <c r="KU2" s="79" t="str">
        <f t="shared" si="7"/>
        <v/>
      </c>
      <c r="KV2" s="79" t="str">
        <f t="shared" si="7"/>
        <v/>
      </c>
      <c r="KW2" s="79" t="str">
        <f t="shared" si="7"/>
        <v/>
      </c>
      <c r="KX2" s="79" t="str">
        <f t="shared" si="7"/>
        <v/>
      </c>
      <c r="KY2" s="79">
        <f>IFERROR(SUM(KY10:KY59),"")</f>
        <v>0</v>
      </c>
      <c r="KZ2" s="79" t="str">
        <f t="shared" si="7"/>
        <v/>
      </c>
      <c r="LA2" s="79" t="str">
        <f t="shared" si="7"/>
        <v/>
      </c>
      <c r="LB2" s="79" t="str">
        <f t="shared" si="7"/>
        <v/>
      </c>
      <c r="LC2" s="79" t="str">
        <f t="shared" si="7"/>
        <v/>
      </c>
      <c r="LD2" s="79" t="str">
        <f t="shared" si="7"/>
        <v/>
      </c>
      <c r="LE2" s="79" t="str">
        <f t="shared" si="7"/>
        <v/>
      </c>
      <c r="LF2" s="79" t="str">
        <f t="shared" si="7"/>
        <v/>
      </c>
      <c r="LG2" s="79">
        <f>IFERROR(SUM(LG10:LG59),"")</f>
        <v>0</v>
      </c>
      <c r="LH2" s="79" t="str">
        <f t="shared" si="7"/>
        <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t="str">
        <f>IF(PU10="","",PU10)</f>
        <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0</v>
      </c>
      <c r="QI2" s="79" t="str">
        <f t="shared" si="11"/>
        <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0</v>
      </c>
      <c r="QV2" s="79" t="str">
        <f t="shared" si="11"/>
        <v/>
      </c>
      <c r="QW2" s="79" t="str">
        <f t="shared" si="11"/>
        <v/>
      </c>
      <c r="QX2" s="79" t="str">
        <f t="shared" si="11"/>
        <v/>
      </c>
      <c r="QY2" s="79" t="str">
        <f t="shared" si="11"/>
        <v/>
      </c>
      <c r="QZ2" s="79" t="str">
        <f t="shared" si="11"/>
        <v/>
      </c>
      <c r="RA2" s="79" t="str">
        <f t="shared" si="11"/>
        <v/>
      </c>
      <c r="RB2" s="79" t="str">
        <f t="shared" si="11"/>
        <v/>
      </c>
      <c r="RC2" s="79">
        <f>IFERROR(SUM(RC10:RC59),"")</f>
        <v>0</v>
      </c>
      <c r="RD2" s="79" t="str">
        <f t="shared" si="11"/>
        <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t="str">
        <f>IF(UE10="","",UE10)</f>
        <v/>
      </c>
      <c r="UF2" s="75" t="str">
        <f>IFERROR(AVERAGE(UF10:UF59),"")</f>
        <v/>
      </c>
      <c r="UG2" s="75" t="str">
        <f t="shared" ref="UG2:VN2" si="14">IFERROR(AVERAGE(UG10:UG59),"")</f>
        <v/>
      </c>
      <c r="UH2" s="75" t="str">
        <f t="shared" si="14"/>
        <v/>
      </c>
      <c r="UI2" s="75" t="str">
        <f t="shared" si="14"/>
        <v/>
      </c>
      <c r="UJ2" s="75" t="str">
        <f t="shared" si="14"/>
        <v/>
      </c>
      <c r="UK2" s="75" t="str">
        <f t="shared" si="14"/>
        <v/>
      </c>
      <c r="UL2" s="75" t="str">
        <f t="shared" si="14"/>
        <v/>
      </c>
      <c r="UM2" s="75" t="str">
        <f t="shared" si="14"/>
        <v/>
      </c>
      <c r="UN2" s="75" t="str">
        <f t="shared" si="14"/>
        <v/>
      </c>
      <c r="UO2" s="75" t="str">
        <f t="shared" si="14"/>
        <v/>
      </c>
      <c r="UP2" s="75" t="str">
        <f t="shared" si="14"/>
        <v/>
      </c>
      <c r="UQ2" s="75" t="str">
        <f t="shared" si="14"/>
        <v/>
      </c>
      <c r="UR2" s="75">
        <f>IFERROR(SUM(UR10:UR59),"")</f>
        <v>0</v>
      </c>
      <c r="US2" s="75" t="str">
        <f t="shared" si="14"/>
        <v/>
      </c>
      <c r="UT2" s="75" t="str">
        <f t="shared" si="14"/>
        <v/>
      </c>
      <c r="UU2" s="75" t="str">
        <f t="shared" si="14"/>
        <v/>
      </c>
      <c r="UV2" s="75" t="str">
        <f t="shared" si="14"/>
        <v/>
      </c>
      <c r="UW2" s="75" t="str">
        <f t="shared" si="14"/>
        <v/>
      </c>
      <c r="UX2" s="75" t="str">
        <f t="shared" si="14"/>
        <v/>
      </c>
      <c r="UY2" s="75" t="str">
        <f t="shared" si="14"/>
        <v/>
      </c>
      <c r="UZ2" s="75" t="str">
        <f t="shared" si="14"/>
        <v/>
      </c>
      <c r="VA2" s="75" t="str">
        <f t="shared" si="14"/>
        <v/>
      </c>
      <c r="VB2" s="75" t="str">
        <f t="shared" si="14"/>
        <v/>
      </c>
      <c r="VC2" s="75" t="str">
        <f t="shared" si="14"/>
        <v/>
      </c>
      <c r="VD2" s="75" t="str">
        <f t="shared" si="14"/>
        <v/>
      </c>
      <c r="VE2" s="75">
        <f>IFERROR(SUM(VE10:VE59),"")</f>
        <v>0</v>
      </c>
      <c r="VF2" s="75" t="str">
        <f t="shared" si="14"/>
        <v/>
      </c>
      <c r="VG2" s="75" t="str">
        <f t="shared" si="14"/>
        <v/>
      </c>
      <c r="VH2" s="75" t="str">
        <f t="shared" si="14"/>
        <v/>
      </c>
      <c r="VI2" s="75" t="str">
        <f t="shared" si="14"/>
        <v/>
      </c>
      <c r="VJ2" s="75" t="str">
        <f t="shared" si="14"/>
        <v/>
      </c>
      <c r="VK2" s="75" t="str">
        <f t="shared" si="14"/>
        <v/>
      </c>
      <c r="VL2" s="75" t="str">
        <f t="shared" si="14"/>
        <v/>
      </c>
      <c r="VM2" s="75">
        <f>IFERROR(SUM(VM10:VM59),"")</f>
        <v>0</v>
      </c>
      <c r="VN2" s="75" t="str">
        <f t="shared" si="14"/>
        <v/>
      </c>
      <c r="VO2" s="79"/>
      <c r="VP2" s="79">
        <f>IF(VO1="","",VO1)</f>
        <v>132</v>
      </c>
      <c r="VQ2" s="79" t="str">
        <f>IF(VQ10="","",VQ10)</f>
        <v/>
      </c>
      <c r="VR2" s="79" t="str">
        <f>IFERROR(AVERAGE(VR10:VR59),"")</f>
        <v/>
      </c>
      <c r="VS2" s="79" t="str">
        <f t="shared" ref="VS2:WZ2" si="15">IFERROR(AVERAGE(VS10:VS59),"")</f>
        <v/>
      </c>
      <c r="VT2" s="79" t="str">
        <f t="shared" si="15"/>
        <v/>
      </c>
      <c r="VU2" s="79" t="str">
        <f t="shared" si="15"/>
        <v/>
      </c>
      <c r="VV2" s="79" t="str">
        <f t="shared" si="15"/>
        <v/>
      </c>
      <c r="VW2" s="79" t="str">
        <f t="shared" si="15"/>
        <v/>
      </c>
      <c r="VX2" s="79" t="str">
        <f t="shared" si="15"/>
        <v/>
      </c>
      <c r="VY2" s="79" t="str">
        <f t="shared" si="15"/>
        <v/>
      </c>
      <c r="VZ2" s="79" t="str">
        <f t="shared" si="15"/>
        <v/>
      </c>
      <c r="WA2" s="79" t="str">
        <f t="shared" si="15"/>
        <v/>
      </c>
      <c r="WB2" s="79" t="str">
        <f t="shared" si="15"/>
        <v/>
      </c>
      <c r="WC2" s="79" t="str">
        <f t="shared" si="15"/>
        <v/>
      </c>
      <c r="WD2" s="79">
        <f>IFERROR(SUM(WD10:WD59),"")</f>
        <v>0</v>
      </c>
      <c r="WE2" s="79" t="str">
        <f t="shared" si="15"/>
        <v/>
      </c>
      <c r="WF2" s="79" t="str">
        <f t="shared" si="15"/>
        <v/>
      </c>
      <c r="WG2" s="79" t="str">
        <f t="shared" si="15"/>
        <v/>
      </c>
      <c r="WH2" s="79" t="str">
        <f t="shared" si="15"/>
        <v/>
      </c>
      <c r="WI2" s="79" t="str">
        <f t="shared" si="15"/>
        <v/>
      </c>
      <c r="WJ2" s="79" t="str">
        <f t="shared" si="15"/>
        <v/>
      </c>
      <c r="WK2" s="79" t="str">
        <f t="shared" si="15"/>
        <v/>
      </c>
      <c r="WL2" s="79" t="str">
        <f t="shared" si="15"/>
        <v/>
      </c>
      <c r="WM2" s="79" t="str">
        <f t="shared" si="15"/>
        <v/>
      </c>
      <c r="WN2" s="79" t="str">
        <f t="shared" si="15"/>
        <v/>
      </c>
      <c r="WO2" s="79" t="str">
        <f t="shared" si="15"/>
        <v/>
      </c>
      <c r="WP2" s="79" t="str">
        <f t="shared" si="15"/>
        <v/>
      </c>
      <c r="WQ2" s="79">
        <f>IFERROR(SUM(WQ10:WQ59),"")</f>
        <v>0</v>
      </c>
      <c r="WR2" s="79" t="str">
        <f t="shared" si="15"/>
        <v/>
      </c>
      <c r="WS2" s="79" t="str">
        <f t="shared" si="15"/>
        <v/>
      </c>
      <c r="WT2" s="79" t="str">
        <f t="shared" si="15"/>
        <v/>
      </c>
      <c r="WU2" s="79" t="str">
        <f t="shared" si="15"/>
        <v/>
      </c>
      <c r="WV2" s="79" t="str">
        <f t="shared" si="15"/>
        <v/>
      </c>
      <c r="WW2" s="79" t="str">
        <f t="shared" si="15"/>
        <v/>
      </c>
      <c r="WX2" s="79" t="str">
        <f t="shared" si="15"/>
        <v/>
      </c>
      <c r="WY2" s="79">
        <f>IFERROR(SUM(WY10:WY59),"")</f>
        <v>0</v>
      </c>
      <c r="WZ2" s="79" t="str">
        <f t="shared" si="15"/>
        <v/>
      </c>
      <c r="XA2" s="75"/>
      <c r="XB2" s="75">
        <f>IF(XA1="","",XA1)</f>
        <v>133</v>
      </c>
      <c r="XC2" s="75" t="str">
        <f>IF(XC10="","",XC10)</f>
        <v/>
      </c>
      <c r="XD2" s="75" t="str">
        <f>IFERROR(AVERAGE(XD10:XD59),"")</f>
        <v/>
      </c>
      <c r="XE2" s="75" t="str">
        <f t="shared" ref="XE2:YL2" si="16">IFERROR(AVERAGE(XE10:XE59),"")</f>
        <v/>
      </c>
      <c r="XF2" s="75" t="str">
        <f t="shared" si="16"/>
        <v/>
      </c>
      <c r="XG2" s="75" t="str">
        <f t="shared" si="16"/>
        <v/>
      </c>
      <c r="XH2" s="75" t="str">
        <f t="shared" si="16"/>
        <v/>
      </c>
      <c r="XI2" s="75" t="str">
        <f t="shared" si="16"/>
        <v/>
      </c>
      <c r="XJ2" s="75" t="str">
        <f t="shared" si="16"/>
        <v/>
      </c>
      <c r="XK2" s="75" t="str">
        <f t="shared" si="16"/>
        <v/>
      </c>
      <c r="XL2" s="75" t="str">
        <f t="shared" si="16"/>
        <v/>
      </c>
      <c r="XM2" s="75" t="str">
        <f t="shared" si="16"/>
        <v/>
      </c>
      <c r="XN2" s="75" t="str">
        <f t="shared" si="16"/>
        <v/>
      </c>
      <c r="XO2" s="75" t="str">
        <f t="shared" si="16"/>
        <v/>
      </c>
      <c r="XP2" s="75">
        <f>IFERROR(SUM(XP10:XP59),"")</f>
        <v>0</v>
      </c>
      <c r="XQ2" s="75" t="str">
        <f t="shared" si="16"/>
        <v/>
      </c>
      <c r="XR2" s="75" t="str">
        <f t="shared" si="16"/>
        <v/>
      </c>
      <c r="XS2" s="75" t="str">
        <f t="shared" si="16"/>
        <v/>
      </c>
      <c r="XT2" s="75" t="str">
        <f t="shared" si="16"/>
        <v/>
      </c>
      <c r="XU2" s="75" t="str">
        <f t="shared" si="16"/>
        <v/>
      </c>
      <c r="XV2" s="75" t="str">
        <f t="shared" si="16"/>
        <v/>
      </c>
      <c r="XW2" s="75" t="str">
        <f t="shared" si="16"/>
        <v/>
      </c>
      <c r="XX2" s="75" t="str">
        <f t="shared" si="16"/>
        <v/>
      </c>
      <c r="XY2" s="75" t="str">
        <f t="shared" si="16"/>
        <v/>
      </c>
      <c r="XZ2" s="75" t="str">
        <f t="shared" si="16"/>
        <v/>
      </c>
      <c r="YA2" s="75" t="str">
        <f t="shared" si="16"/>
        <v/>
      </c>
      <c r="YB2" s="75" t="str">
        <f t="shared" si="16"/>
        <v/>
      </c>
      <c r="YC2" s="75">
        <f>IFERROR(SUM(YC10:YC59),"")</f>
        <v>0</v>
      </c>
      <c r="YD2" s="75" t="str">
        <f t="shared" si="16"/>
        <v/>
      </c>
      <c r="YE2" s="75" t="str">
        <f t="shared" si="16"/>
        <v/>
      </c>
      <c r="YF2" s="75" t="str">
        <f t="shared" si="16"/>
        <v/>
      </c>
      <c r="YG2" s="75" t="str">
        <f t="shared" si="16"/>
        <v/>
      </c>
      <c r="YH2" s="75" t="str">
        <f t="shared" si="16"/>
        <v/>
      </c>
      <c r="YI2" s="75" t="str">
        <f t="shared" si="16"/>
        <v/>
      </c>
      <c r="YJ2" s="75" t="str">
        <f t="shared" si="16"/>
        <v/>
      </c>
      <c r="YK2" s="75">
        <f>IFERROR(SUM(YK10:YK59),"")</f>
        <v>0</v>
      </c>
      <c r="YL2" s="75" t="str">
        <f t="shared" si="16"/>
        <v/>
      </c>
      <c r="YM2" s="79"/>
      <c r="YN2" s="79">
        <f>IF(YM1="","",YM1)</f>
        <v>135</v>
      </c>
      <c r="YO2" s="79" t="str">
        <f>IF(YO10="","",YO10)</f>
        <v/>
      </c>
      <c r="YP2" s="79" t="str">
        <f>IFERROR(AVERAGE(YP10:YP59),"")</f>
        <v/>
      </c>
      <c r="YQ2" s="79" t="str">
        <f t="shared" ref="YQ2:ZX2" si="17">IFERROR(AVERAGE(YQ10:YQ59),"")</f>
        <v/>
      </c>
      <c r="YR2" s="79" t="str">
        <f t="shared" si="17"/>
        <v/>
      </c>
      <c r="YS2" s="79" t="str">
        <f t="shared" si="17"/>
        <v/>
      </c>
      <c r="YT2" s="79" t="str">
        <f t="shared" si="17"/>
        <v/>
      </c>
      <c r="YU2" s="79" t="str">
        <f t="shared" si="17"/>
        <v/>
      </c>
      <c r="YV2" s="79" t="str">
        <f t="shared" si="17"/>
        <v/>
      </c>
      <c r="YW2" s="79" t="str">
        <f t="shared" si="17"/>
        <v/>
      </c>
      <c r="YX2" s="79" t="str">
        <f t="shared" si="17"/>
        <v/>
      </c>
      <c r="YY2" s="79" t="str">
        <f t="shared" si="17"/>
        <v/>
      </c>
      <c r="YZ2" s="79" t="str">
        <f t="shared" si="17"/>
        <v/>
      </c>
      <c r="ZA2" s="79" t="str">
        <f t="shared" si="17"/>
        <v/>
      </c>
      <c r="ZB2" s="79">
        <f>IFERROR(SUM(ZB10:ZB59),"")</f>
        <v>0</v>
      </c>
      <c r="ZC2" s="79" t="str">
        <f t="shared" si="17"/>
        <v/>
      </c>
      <c r="ZD2" s="79" t="str">
        <f t="shared" si="17"/>
        <v/>
      </c>
      <c r="ZE2" s="79" t="str">
        <f t="shared" si="17"/>
        <v/>
      </c>
      <c r="ZF2" s="79" t="str">
        <f t="shared" si="17"/>
        <v/>
      </c>
      <c r="ZG2" s="79" t="str">
        <f t="shared" si="17"/>
        <v/>
      </c>
      <c r="ZH2" s="79" t="str">
        <f t="shared" si="17"/>
        <v/>
      </c>
      <c r="ZI2" s="79" t="str">
        <f t="shared" si="17"/>
        <v/>
      </c>
      <c r="ZJ2" s="79" t="str">
        <f t="shared" si="17"/>
        <v/>
      </c>
      <c r="ZK2" s="79" t="str">
        <f t="shared" si="17"/>
        <v/>
      </c>
      <c r="ZL2" s="79" t="str">
        <f t="shared" si="17"/>
        <v/>
      </c>
      <c r="ZM2" s="79" t="str">
        <f t="shared" si="17"/>
        <v/>
      </c>
      <c r="ZN2" s="79" t="str">
        <f t="shared" si="17"/>
        <v/>
      </c>
      <c r="ZO2" s="79">
        <f>IFERROR(SUM(ZO10:ZO59),"")</f>
        <v>0</v>
      </c>
      <c r="ZP2" s="79" t="str">
        <f t="shared" si="17"/>
        <v/>
      </c>
      <c r="ZQ2" s="79" t="str">
        <f t="shared" si="17"/>
        <v/>
      </c>
      <c r="ZR2" s="79" t="str">
        <f t="shared" si="17"/>
        <v/>
      </c>
      <c r="ZS2" s="79" t="str">
        <f t="shared" si="17"/>
        <v/>
      </c>
      <c r="ZT2" s="79" t="str">
        <f t="shared" si="17"/>
        <v/>
      </c>
      <c r="ZU2" s="79" t="str">
        <f t="shared" si="17"/>
        <v/>
      </c>
      <c r="ZV2" s="79" t="str">
        <f t="shared" si="17"/>
        <v/>
      </c>
      <c r="ZW2" s="79">
        <f>IFERROR(SUM(ZW10:ZW59),"")</f>
        <v>0</v>
      </c>
      <c r="ZX2" s="79" t="str">
        <f t="shared" si="17"/>
        <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t="str">
        <f t="shared" ref="T3" si="24">IFERROR(COUNTIFS(T10:T900000,"&gt;80",T10:T900000,"&lt;=100")/COUNTIF(T10:T900000,"&gt;=0"),"")</f>
        <v/>
      </c>
      <c r="U3" s="82" t="str">
        <f t="shared" ref="U3:AZ3" si="25">IFERROR(COUNTIFS(U10:U900000,"&gt;80",U10:U900000,"&lt;=100")/COUNTIF(U10:U900000,"&gt;=0"),"")</f>
        <v/>
      </c>
      <c r="V3" s="82" t="str">
        <f t="shared" si="25"/>
        <v/>
      </c>
      <c r="W3" s="82" t="str">
        <f t="shared" si="25"/>
        <v/>
      </c>
      <c r="X3" s="82" t="str">
        <f t="shared" si="25"/>
        <v/>
      </c>
      <c r="Y3" s="82" t="str">
        <f t="shared" si="25"/>
        <v/>
      </c>
      <c r="Z3" s="82" t="str">
        <f t="shared" si="25"/>
        <v/>
      </c>
      <c r="AA3" s="82" t="str">
        <f t="shared" si="25"/>
        <v/>
      </c>
      <c r="AB3" s="82" t="str">
        <f t="shared" si="25"/>
        <v/>
      </c>
      <c r="AC3" s="82" t="str">
        <f t="shared" si="25"/>
        <v/>
      </c>
      <c r="AD3" s="82" t="str">
        <f t="shared" si="25"/>
        <v/>
      </c>
      <c r="AE3" s="82" t="str">
        <f t="shared" si="25"/>
        <v/>
      </c>
      <c r="AF3" s="82"/>
      <c r="AG3" s="82"/>
      <c r="AH3" s="82" t="str">
        <f t="shared" si="25"/>
        <v/>
      </c>
      <c r="AI3" s="82" t="str">
        <f t="shared" si="25"/>
        <v/>
      </c>
      <c r="AJ3" s="82" t="str">
        <f t="shared" si="25"/>
        <v/>
      </c>
      <c r="AK3" s="82" t="str">
        <f t="shared" si="25"/>
        <v/>
      </c>
      <c r="AL3" s="82" t="str">
        <f t="shared" si="25"/>
        <v/>
      </c>
      <c r="AM3" s="82" t="str">
        <f t="shared" si="25"/>
        <v/>
      </c>
      <c r="AN3" s="82" t="str">
        <f t="shared" si="25"/>
        <v/>
      </c>
      <c r="AO3" s="82" t="str">
        <f t="shared" si="25"/>
        <v/>
      </c>
      <c r="AP3" s="82" t="str">
        <f t="shared" si="25"/>
        <v/>
      </c>
      <c r="AQ3" s="82" t="str">
        <f t="shared" si="25"/>
        <v/>
      </c>
      <c r="AR3" s="82" t="str">
        <f t="shared" si="25"/>
        <v/>
      </c>
      <c r="AS3" s="82"/>
      <c r="AT3" s="82"/>
      <c r="AU3" s="82" t="str">
        <f t="shared" si="25"/>
        <v/>
      </c>
      <c r="AV3" s="82" t="str">
        <f t="shared" si="25"/>
        <v/>
      </c>
      <c r="AW3" s="82" t="str">
        <f t="shared" si="25"/>
        <v/>
      </c>
      <c r="AX3" s="82"/>
      <c r="AY3" s="82" t="str">
        <f t="shared" si="25"/>
        <v/>
      </c>
      <c r="AZ3" s="82" t="str">
        <f t="shared" si="25"/>
        <v/>
      </c>
      <c r="BA3" s="82"/>
      <c r="BB3" s="82"/>
      <c r="BC3" s="83" t="s">
        <v>106</v>
      </c>
      <c r="BD3" s="83"/>
      <c r="BE3" s="84"/>
      <c r="BF3" s="84" t="str">
        <f t="shared" ref="BF3:BQ3" si="26">IFERROR(COUNTIFS(BF10:BF900000,"&gt;80",BF10:BF900000,"&lt;=100")/COUNTIF(BF10:BF900000,"&gt;=0"),"")</f>
        <v/>
      </c>
      <c r="BG3" s="84" t="str">
        <f t="shared" si="26"/>
        <v/>
      </c>
      <c r="BH3" s="84" t="str">
        <f t="shared" si="26"/>
        <v/>
      </c>
      <c r="BI3" s="84" t="str">
        <f t="shared" si="26"/>
        <v/>
      </c>
      <c r="BJ3" s="84" t="str">
        <f t="shared" si="26"/>
        <v/>
      </c>
      <c r="BK3" s="84" t="str">
        <f t="shared" si="26"/>
        <v/>
      </c>
      <c r="BL3" s="84" t="str">
        <f t="shared" si="26"/>
        <v/>
      </c>
      <c r="BM3" s="84" t="str">
        <f t="shared" si="26"/>
        <v/>
      </c>
      <c r="BN3" s="84" t="str">
        <f t="shared" si="26"/>
        <v/>
      </c>
      <c r="BO3" s="84" t="str">
        <f t="shared" si="26"/>
        <v/>
      </c>
      <c r="BP3" s="84" t="str">
        <f t="shared" si="26"/>
        <v/>
      </c>
      <c r="BQ3" s="84" t="str">
        <f t="shared" si="26"/>
        <v/>
      </c>
      <c r="BR3" s="84"/>
      <c r="BS3" s="84"/>
      <c r="BT3" s="84" t="str">
        <f t="shared" ref="BT3:CD3" si="27">IFERROR(COUNTIFS(BT10:BT900000,"&gt;80",BT10:BT900000,"&lt;=100")/COUNTIF(BT10:BT900000,"&gt;=0"),"")</f>
        <v/>
      </c>
      <c r="BU3" s="84" t="str">
        <f t="shared" si="27"/>
        <v/>
      </c>
      <c r="BV3" s="84" t="str">
        <f t="shared" si="27"/>
        <v/>
      </c>
      <c r="BW3" s="84" t="str">
        <f t="shared" si="27"/>
        <v/>
      </c>
      <c r="BX3" s="84" t="str">
        <f t="shared" si="27"/>
        <v/>
      </c>
      <c r="BY3" s="84" t="str">
        <f t="shared" si="27"/>
        <v/>
      </c>
      <c r="BZ3" s="84" t="str">
        <f t="shared" si="27"/>
        <v/>
      </c>
      <c r="CA3" s="84" t="str">
        <f t="shared" si="27"/>
        <v/>
      </c>
      <c r="CB3" s="84" t="str">
        <f t="shared" si="27"/>
        <v/>
      </c>
      <c r="CC3" s="84" t="str">
        <f t="shared" si="27"/>
        <v/>
      </c>
      <c r="CD3" s="84" t="str">
        <f t="shared" si="27"/>
        <v/>
      </c>
      <c r="CE3" s="84"/>
      <c r="CF3" s="84"/>
      <c r="CG3" s="84" t="str">
        <f t="shared" ref="CG3:CI3" si="28">IFERROR(COUNTIFS(CG10:CG900000,"&gt;80",CG10:CG900000,"&lt;=100")/COUNTIF(CG10:CG900000,"&gt;=0"),"")</f>
        <v/>
      </c>
      <c r="CH3" s="84" t="str">
        <f t="shared" si="28"/>
        <v/>
      </c>
      <c r="CI3" s="84" t="str">
        <f t="shared" si="28"/>
        <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t="str">
        <f t="shared" ref="ED3:EO3" si="34">IFERROR(COUNTIFS(ED10:ED900000,"&gt;80",ED10:ED900000,"&lt;=100")/COUNTIF(ED10:ED900000,"&gt;=0"),"")</f>
        <v/>
      </c>
      <c r="EE3" s="84" t="str">
        <f t="shared" si="34"/>
        <v/>
      </c>
      <c r="EF3" s="84" t="str">
        <f t="shared" si="34"/>
        <v/>
      </c>
      <c r="EG3" s="84" t="str">
        <f t="shared" si="34"/>
        <v/>
      </c>
      <c r="EH3" s="84" t="str">
        <f t="shared" si="34"/>
        <v/>
      </c>
      <c r="EI3" s="84" t="str">
        <f t="shared" si="34"/>
        <v/>
      </c>
      <c r="EJ3" s="84" t="str">
        <f t="shared" si="34"/>
        <v/>
      </c>
      <c r="EK3" s="84" t="str">
        <f t="shared" si="34"/>
        <v/>
      </c>
      <c r="EL3" s="84" t="str">
        <f t="shared" si="34"/>
        <v/>
      </c>
      <c r="EM3" s="84" t="str">
        <f t="shared" si="34"/>
        <v/>
      </c>
      <c r="EN3" s="84" t="str">
        <f t="shared" si="34"/>
        <v/>
      </c>
      <c r="EO3" s="84" t="str">
        <f t="shared" si="34"/>
        <v/>
      </c>
      <c r="EP3" s="84"/>
      <c r="EQ3" s="84"/>
      <c r="ER3" s="84" t="str">
        <f t="shared" ref="ER3:FB3" si="35">IFERROR(COUNTIFS(ER10:ER900000,"&gt;80",ER10:ER900000,"&lt;=100")/COUNTIF(ER10:ER900000,"&gt;=0"),"")</f>
        <v/>
      </c>
      <c r="ES3" s="84" t="str">
        <f t="shared" si="35"/>
        <v/>
      </c>
      <c r="ET3" s="84" t="str">
        <f t="shared" si="35"/>
        <v/>
      </c>
      <c r="EU3" s="84" t="str">
        <f t="shared" si="35"/>
        <v/>
      </c>
      <c r="EV3" s="84" t="str">
        <f t="shared" si="35"/>
        <v/>
      </c>
      <c r="EW3" s="84" t="str">
        <f t="shared" si="35"/>
        <v/>
      </c>
      <c r="EX3" s="84" t="str">
        <f t="shared" si="35"/>
        <v/>
      </c>
      <c r="EY3" s="84" t="str">
        <f t="shared" si="35"/>
        <v/>
      </c>
      <c r="EZ3" s="84" t="str">
        <f t="shared" si="35"/>
        <v/>
      </c>
      <c r="FA3" s="84" t="str">
        <f t="shared" si="35"/>
        <v/>
      </c>
      <c r="FB3" s="84" t="str">
        <f t="shared" si="35"/>
        <v/>
      </c>
      <c r="FC3" s="84"/>
      <c r="FD3" s="84"/>
      <c r="FE3" s="84" t="str">
        <f t="shared" ref="FE3:FG3" si="36">IFERROR(COUNTIFS(FE10:FE900000,"&gt;80",FE10:FE900000,"&lt;=100")/COUNTIF(FE10:FE900000,"&gt;=0"),"")</f>
        <v/>
      </c>
      <c r="FF3" s="84" t="str">
        <f t="shared" si="36"/>
        <v/>
      </c>
      <c r="FG3" s="84" t="str">
        <f t="shared" si="36"/>
        <v/>
      </c>
      <c r="FH3" s="84"/>
      <c r="FI3" s="84" t="str">
        <f t="shared" ref="FI3:FJ3" si="37">IFERROR(COUNTIFS(FI10:FI900000,"&gt;80",FI10:FI900000,"&lt;=100")/COUNTIF(FI10:FI900000,"&gt;=0"),"")</f>
        <v/>
      </c>
      <c r="FJ3" s="84" t="str">
        <f t="shared" si="37"/>
        <v/>
      </c>
      <c r="FK3" s="84"/>
      <c r="FL3" s="84"/>
      <c r="FM3" s="81" t="s">
        <v>106</v>
      </c>
      <c r="FN3" s="81"/>
      <c r="FO3" s="82"/>
      <c r="FP3" s="82" t="str">
        <f t="shared" ref="FP3:GA3" si="38">IFERROR(COUNTIFS(FP10:FP900000,"&gt;80",FP10:FP900000,"&lt;=100")/COUNTIF(FP10:FP900000,"&gt;=0"),"")</f>
        <v/>
      </c>
      <c r="FQ3" s="82" t="str">
        <f t="shared" si="38"/>
        <v/>
      </c>
      <c r="FR3" s="82" t="str">
        <f t="shared" si="38"/>
        <v/>
      </c>
      <c r="FS3" s="82" t="str">
        <f t="shared" si="38"/>
        <v/>
      </c>
      <c r="FT3" s="82" t="str">
        <f t="shared" si="38"/>
        <v/>
      </c>
      <c r="FU3" s="82" t="str">
        <f t="shared" si="38"/>
        <v/>
      </c>
      <c r="FV3" s="82" t="str">
        <f t="shared" si="38"/>
        <v/>
      </c>
      <c r="FW3" s="82" t="str">
        <f t="shared" si="38"/>
        <v/>
      </c>
      <c r="FX3" s="82" t="str">
        <f t="shared" si="38"/>
        <v/>
      </c>
      <c r="FY3" s="82" t="str">
        <f t="shared" si="38"/>
        <v/>
      </c>
      <c r="FZ3" s="82" t="str">
        <f t="shared" si="38"/>
        <v/>
      </c>
      <c r="GA3" s="82" t="str">
        <f t="shared" si="38"/>
        <v/>
      </c>
      <c r="GB3" s="82"/>
      <c r="GC3" s="82"/>
      <c r="GD3" s="82" t="str">
        <f t="shared" ref="GD3:GN3" si="39">IFERROR(COUNTIFS(GD10:GD900000,"&gt;80",GD10:GD900000,"&lt;=100")/COUNTIF(GD10:GD900000,"&gt;=0"),"")</f>
        <v/>
      </c>
      <c r="GE3" s="82" t="str">
        <f t="shared" si="39"/>
        <v/>
      </c>
      <c r="GF3" s="82" t="str">
        <f t="shared" si="39"/>
        <v/>
      </c>
      <c r="GG3" s="82" t="str">
        <f t="shared" si="39"/>
        <v/>
      </c>
      <c r="GH3" s="82" t="str">
        <f t="shared" si="39"/>
        <v/>
      </c>
      <c r="GI3" s="82" t="str">
        <f t="shared" si="39"/>
        <v/>
      </c>
      <c r="GJ3" s="82" t="str">
        <f t="shared" si="39"/>
        <v/>
      </c>
      <c r="GK3" s="82" t="str">
        <f t="shared" si="39"/>
        <v/>
      </c>
      <c r="GL3" s="82" t="str">
        <f t="shared" si="39"/>
        <v/>
      </c>
      <c r="GM3" s="82" t="str">
        <f t="shared" si="39"/>
        <v/>
      </c>
      <c r="GN3" s="82" t="str">
        <f t="shared" si="39"/>
        <v/>
      </c>
      <c r="GO3" s="82"/>
      <c r="GP3" s="82"/>
      <c r="GQ3" s="82" t="str">
        <f t="shared" ref="GQ3:GS3" si="40">IFERROR(COUNTIFS(GQ10:GQ900000,"&gt;80",GQ10:GQ900000,"&lt;=100")/COUNTIF(GQ10:GQ900000,"&gt;=0"),"")</f>
        <v/>
      </c>
      <c r="GR3" s="82" t="str">
        <f t="shared" si="40"/>
        <v/>
      </c>
      <c r="GS3" s="82" t="str">
        <f t="shared" si="40"/>
        <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t="str">
        <f t="shared" si="50"/>
        <v/>
      </c>
      <c r="KB3" s="84" t="str">
        <f t="shared" si="50"/>
        <v/>
      </c>
      <c r="KC3" s="84" t="str">
        <f t="shared" si="50"/>
        <v/>
      </c>
      <c r="KD3" s="84" t="str">
        <f t="shared" si="50"/>
        <v/>
      </c>
      <c r="KE3" s="84" t="str">
        <f t="shared" si="50"/>
        <v/>
      </c>
      <c r="KF3" s="84" t="str">
        <f t="shared" si="50"/>
        <v/>
      </c>
      <c r="KG3" s="84" t="str">
        <f t="shared" si="50"/>
        <v/>
      </c>
      <c r="KH3" s="84" t="str">
        <f t="shared" si="50"/>
        <v/>
      </c>
      <c r="KI3" s="84" t="str">
        <f t="shared" si="50"/>
        <v/>
      </c>
      <c r="KJ3" s="84" t="str">
        <f t="shared" si="50"/>
        <v/>
      </c>
      <c r="KK3" s="84" t="str">
        <f t="shared" si="50"/>
        <v/>
      </c>
      <c r="KL3" s="84"/>
      <c r="KM3" s="84"/>
      <c r="KN3" s="84" t="str">
        <f t="shared" ref="KN3:KX3" si="51">IFERROR(COUNTIFS(KN10:KN900000,"&gt;80",KN10:KN900000,"&lt;=100")/COUNTIF(KN10:KN900000,"&gt;=0"),"")</f>
        <v/>
      </c>
      <c r="KO3" s="84" t="str">
        <f t="shared" si="51"/>
        <v/>
      </c>
      <c r="KP3" s="84" t="str">
        <f t="shared" si="51"/>
        <v/>
      </c>
      <c r="KQ3" s="84" t="str">
        <f t="shared" si="51"/>
        <v/>
      </c>
      <c r="KR3" s="84" t="str">
        <f t="shared" si="51"/>
        <v/>
      </c>
      <c r="KS3" s="84" t="str">
        <f t="shared" si="51"/>
        <v/>
      </c>
      <c r="KT3" s="84" t="str">
        <f t="shared" si="51"/>
        <v/>
      </c>
      <c r="KU3" s="84" t="str">
        <f t="shared" si="51"/>
        <v/>
      </c>
      <c r="KV3" s="84" t="str">
        <f t="shared" si="51"/>
        <v/>
      </c>
      <c r="KW3" s="84" t="str">
        <f t="shared" si="51"/>
        <v/>
      </c>
      <c r="KX3" s="84" t="str">
        <f t="shared" si="51"/>
        <v/>
      </c>
      <c r="KY3" s="84"/>
      <c r="KZ3" s="84"/>
      <c r="LA3" s="84" t="str">
        <f t="shared" ref="LA3:LC3" si="52">IFERROR(COUNTIFS(LA10:LA900000,"&gt;80",LA10:LA900000,"&lt;=100")/COUNTIF(LA10:LA900000,"&gt;=0"),"")</f>
        <v/>
      </c>
      <c r="LB3" s="84" t="str">
        <f t="shared" si="52"/>
        <v/>
      </c>
      <c r="LC3" s="84" t="str">
        <f t="shared" si="52"/>
        <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t="str">
        <f t="shared" ref="UF3:UQ3" si="78">IFERROR(COUNTIFS(UF10:UF900000,"&gt;80",UF10:UF900000,"&lt;=100")/COUNTIF(UF10:UF900000,"&gt;=0"),"")</f>
        <v/>
      </c>
      <c r="UG3" s="82" t="str">
        <f t="shared" si="78"/>
        <v/>
      </c>
      <c r="UH3" s="82" t="str">
        <f t="shared" si="78"/>
        <v/>
      </c>
      <c r="UI3" s="82" t="str">
        <f t="shared" si="78"/>
        <v/>
      </c>
      <c r="UJ3" s="82" t="str">
        <f t="shared" si="78"/>
        <v/>
      </c>
      <c r="UK3" s="82" t="str">
        <f t="shared" si="78"/>
        <v/>
      </c>
      <c r="UL3" s="82" t="str">
        <f t="shared" si="78"/>
        <v/>
      </c>
      <c r="UM3" s="82" t="str">
        <f t="shared" si="78"/>
        <v/>
      </c>
      <c r="UN3" s="82" t="str">
        <f t="shared" si="78"/>
        <v/>
      </c>
      <c r="UO3" s="82" t="str">
        <f t="shared" si="78"/>
        <v/>
      </c>
      <c r="UP3" s="82" t="str">
        <f t="shared" si="78"/>
        <v/>
      </c>
      <c r="UQ3" s="82" t="str">
        <f t="shared" si="78"/>
        <v/>
      </c>
      <c r="UR3" s="82"/>
      <c r="US3" s="82"/>
      <c r="UT3" s="82" t="str">
        <f t="shared" ref="UT3:VD3" si="79">IFERROR(COUNTIFS(UT10:UT900000,"&gt;80",UT10:UT900000,"&lt;=100")/COUNTIF(UT10:UT900000,"&gt;=0"),"")</f>
        <v/>
      </c>
      <c r="UU3" s="82" t="str">
        <f t="shared" si="79"/>
        <v/>
      </c>
      <c r="UV3" s="82" t="str">
        <f t="shared" si="79"/>
        <v/>
      </c>
      <c r="UW3" s="82" t="str">
        <f t="shared" si="79"/>
        <v/>
      </c>
      <c r="UX3" s="82" t="str">
        <f t="shared" si="79"/>
        <v/>
      </c>
      <c r="UY3" s="82" t="str">
        <f t="shared" si="79"/>
        <v/>
      </c>
      <c r="UZ3" s="82" t="str">
        <f t="shared" si="79"/>
        <v/>
      </c>
      <c r="VA3" s="82" t="str">
        <f t="shared" si="79"/>
        <v/>
      </c>
      <c r="VB3" s="82" t="str">
        <f t="shared" si="79"/>
        <v/>
      </c>
      <c r="VC3" s="82" t="str">
        <f t="shared" si="79"/>
        <v/>
      </c>
      <c r="VD3" s="82" t="str">
        <f t="shared" si="79"/>
        <v/>
      </c>
      <c r="VE3" s="82"/>
      <c r="VF3" s="82"/>
      <c r="VG3" s="82" t="str">
        <f t="shared" ref="VG3:VI3" si="80">IFERROR(COUNTIFS(VG10:VG900000,"&gt;80",VG10:VG900000,"&lt;=100")/COUNTIF(VG10:VG900000,"&gt;=0"),"")</f>
        <v/>
      </c>
      <c r="VH3" s="82" t="str">
        <f t="shared" si="80"/>
        <v/>
      </c>
      <c r="VI3" s="82" t="str">
        <f t="shared" si="80"/>
        <v/>
      </c>
      <c r="VJ3" s="82"/>
      <c r="VK3" s="82" t="str">
        <f t="shared" ref="VK3:VL3" si="81">IFERROR(COUNTIFS(VK10:VK900000,"&gt;80",VK10:VK900000,"&lt;=100")/COUNTIF(VK10:VK900000,"&gt;=0"),"")</f>
        <v/>
      </c>
      <c r="VL3" s="82" t="str">
        <f t="shared" si="81"/>
        <v/>
      </c>
      <c r="VM3" s="82"/>
      <c r="VN3" s="82"/>
      <c r="VO3" s="83" t="s">
        <v>106</v>
      </c>
      <c r="VP3" s="83"/>
      <c r="VQ3" s="84"/>
      <c r="VR3" s="84" t="str">
        <f t="shared" ref="VR3:WC3" si="82">IFERROR(COUNTIFS(VR10:VR900000,"&gt;80",VR10:VR900000,"&lt;=100")/COUNTIF(VR10:VR900000,"&gt;=0"),"")</f>
        <v/>
      </c>
      <c r="VS3" s="84" t="str">
        <f t="shared" si="82"/>
        <v/>
      </c>
      <c r="VT3" s="84" t="str">
        <f t="shared" si="82"/>
        <v/>
      </c>
      <c r="VU3" s="84" t="str">
        <f t="shared" si="82"/>
        <v/>
      </c>
      <c r="VV3" s="84" t="str">
        <f t="shared" si="82"/>
        <v/>
      </c>
      <c r="VW3" s="84" t="str">
        <f t="shared" si="82"/>
        <v/>
      </c>
      <c r="VX3" s="84" t="str">
        <f t="shared" si="82"/>
        <v/>
      </c>
      <c r="VY3" s="84" t="str">
        <f t="shared" si="82"/>
        <v/>
      </c>
      <c r="VZ3" s="84" t="str">
        <f t="shared" si="82"/>
        <v/>
      </c>
      <c r="WA3" s="84" t="str">
        <f t="shared" si="82"/>
        <v/>
      </c>
      <c r="WB3" s="84" t="str">
        <f t="shared" si="82"/>
        <v/>
      </c>
      <c r="WC3" s="84" t="str">
        <f t="shared" si="82"/>
        <v/>
      </c>
      <c r="WD3" s="84"/>
      <c r="WE3" s="84"/>
      <c r="WF3" s="84" t="str">
        <f t="shared" ref="WF3:WP3" si="83">IFERROR(COUNTIFS(WF10:WF900000,"&gt;80",WF10:WF900000,"&lt;=100")/COUNTIF(WF10:WF900000,"&gt;=0"),"")</f>
        <v/>
      </c>
      <c r="WG3" s="84" t="str">
        <f t="shared" si="83"/>
        <v/>
      </c>
      <c r="WH3" s="84" t="str">
        <f t="shared" si="83"/>
        <v/>
      </c>
      <c r="WI3" s="84" t="str">
        <f t="shared" si="83"/>
        <v/>
      </c>
      <c r="WJ3" s="84" t="str">
        <f t="shared" si="83"/>
        <v/>
      </c>
      <c r="WK3" s="84" t="str">
        <f t="shared" si="83"/>
        <v/>
      </c>
      <c r="WL3" s="84" t="str">
        <f t="shared" si="83"/>
        <v/>
      </c>
      <c r="WM3" s="84" t="str">
        <f t="shared" si="83"/>
        <v/>
      </c>
      <c r="WN3" s="84" t="str">
        <f t="shared" si="83"/>
        <v/>
      </c>
      <c r="WO3" s="84" t="str">
        <f t="shared" si="83"/>
        <v/>
      </c>
      <c r="WP3" s="84" t="str">
        <f t="shared" si="83"/>
        <v/>
      </c>
      <c r="WQ3" s="84"/>
      <c r="WR3" s="84"/>
      <c r="WS3" s="84" t="str">
        <f t="shared" ref="WS3:WU3" si="84">IFERROR(COUNTIFS(WS10:WS900000,"&gt;80",WS10:WS900000,"&lt;=100")/COUNTIF(WS10:WS900000,"&gt;=0"),"")</f>
        <v/>
      </c>
      <c r="WT3" s="84" t="str">
        <f t="shared" si="84"/>
        <v/>
      </c>
      <c r="WU3" s="84" t="str">
        <f t="shared" si="84"/>
        <v/>
      </c>
      <c r="WV3" s="84"/>
      <c r="WW3" s="84" t="str">
        <f t="shared" ref="WW3:WX3" si="85">IFERROR(COUNTIFS(WW10:WW900000,"&gt;80",WW10:WW900000,"&lt;=100")/COUNTIF(WW10:WW900000,"&gt;=0"),"")</f>
        <v/>
      </c>
      <c r="WX3" s="84" t="str">
        <f t="shared" si="85"/>
        <v/>
      </c>
      <c r="WY3" s="84"/>
      <c r="WZ3" s="84"/>
      <c r="XA3" s="81" t="s">
        <v>106</v>
      </c>
      <c r="XB3" s="81"/>
      <c r="XC3" s="82"/>
      <c r="XD3" s="82" t="str">
        <f t="shared" ref="XD3:XO3" si="86">IFERROR(COUNTIFS(XD10:XD900000,"&gt;80",XD10:XD900000,"&lt;=100")/COUNTIF(XD10:XD900000,"&gt;=0"),"")</f>
        <v/>
      </c>
      <c r="XE3" s="82" t="str">
        <f t="shared" si="86"/>
        <v/>
      </c>
      <c r="XF3" s="82" t="str">
        <f t="shared" si="86"/>
        <v/>
      </c>
      <c r="XG3" s="82" t="str">
        <f t="shared" si="86"/>
        <v/>
      </c>
      <c r="XH3" s="82" t="str">
        <f t="shared" si="86"/>
        <v/>
      </c>
      <c r="XI3" s="82" t="str">
        <f t="shared" si="86"/>
        <v/>
      </c>
      <c r="XJ3" s="82" t="str">
        <f t="shared" si="86"/>
        <v/>
      </c>
      <c r="XK3" s="82" t="str">
        <f t="shared" si="86"/>
        <v/>
      </c>
      <c r="XL3" s="82" t="str">
        <f t="shared" si="86"/>
        <v/>
      </c>
      <c r="XM3" s="82" t="str">
        <f t="shared" si="86"/>
        <v/>
      </c>
      <c r="XN3" s="82" t="str">
        <f t="shared" si="86"/>
        <v/>
      </c>
      <c r="XO3" s="82" t="str">
        <f t="shared" si="86"/>
        <v/>
      </c>
      <c r="XP3" s="82"/>
      <c r="XQ3" s="82"/>
      <c r="XR3" s="82" t="str">
        <f t="shared" ref="XR3:YB3" si="87">IFERROR(COUNTIFS(XR10:XR900000,"&gt;80",XR10:XR900000,"&lt;=100")/COUNTIF(XR10:XR900000,"&gt;=0"),"")</f>
        <v/>
      </c>
      <c r="XS3" s="82" t="str">
        <f t="shared" si="87"/>
        <v/>
      </c>
      <c r="XT3" s="82" t="str">
        <f t="shared" si="87"/>
        <v/>
      </c>
      <c r="XU3" s="82" t="str">
        <f t="shared" si="87"/>
        <v/>
      </c>
      <c r="XV3" s="82" t="str">
        <f t="shared" si="87"/>
        <v/>
      </c>
      <c r="XW3" s="82" t="str">
        <f t="shared" si="87"/>
        <v/>
      </c>
      <c r="XX3" s="82" t="str">
        <f t="shared" si="87"/>
        <v/>
      </c>
      <c r="XY3" s="82" t="str">
        <f t="shared" si="87"/>
        <v/>
      </c>
      <c r="XZ3" s="82" t="str">
        <f t="shared" si="87"/>
        <v/>
      </c>
      <c r="YA3" s="82" t="str">
        <f t="shared" si="87"/>
        <v/>
      </c>
      <c r="YB3" s="82" t="str">
        <f t="shared" si="87"/>
        <v/>
      </c>
      <c r="YC3" s="82"/>
      <c r="YD3" s="82"/>
      <c r="YE3" s="82" t="str">
        <f t="shared" ref="YE3:YG3" si="88">IFERROR(COUNTIFS(YE10:YE900000,"&gt;80",YE10:YE900000,"&lt;=100")/COUNTIF(YE10:YE900000,"&gt;=0"),"")</f>
        <v/>
      </c>
      <c r="YF3" s="82" t="str">
        <f t="shared" si="88"/>
        <v/>
      </c>
      <c r="YG3" s="82" t="str">
        <f t="shared" si="88"/>
        <v/>
      </c>
      <c r="YH3" s="82"/>
      <c r="YI3" s="82" t="str">
        <f t="shared" ref="YI3:YJ3" si="89">IFERROR(COUNTIFS(YI10:YI900000,"&gt;80",YI10:YI900000,"&lt;=100")/COUNTIF(YI10:YI900000,"&gt;=0"),"")</f>
        <v/>
      </c>
      <c r="YJ3" s="82" t="str">
        <f t="shared" si="89"/>
        <v/>
      </c>
      <c r="YK3" s="82"/>
      <c r="YL3" s="82"/>
      <c r="YM3" s="83" t="s">
        <v>106</v>
      </c>
      <c r="YN3" s="83"/>
      <c r="YO3" s="84"/>
      <c r="YP3" s="84" t="str">
        <f t="shared" ref="YP3:ZA3" si="90">IFERROR(COUNTIFS(YP10:YP900000,"&gt;80",YP10:YP900000,"&lt;=100")/COUNTIF(YP10:YP900000,"&gt;=0"),"")</f>
        <v/>
      </c>
      <c r="YQ3" s="84" t="str">
        <f t="shared" si="90"/>
        <v/>
      </c>
      <c r="YR3" s="84" t="str">
        <f t="shared" si="90"/>
        <v/>
      </c>
      <c r="YS3" s="84" t="str">
        <f t="shared" si="90"/>
        <v/>
      </c>
      <c r="YT3" s="84" t="str">
        <f t="shared" si="90"/>
        <v/>
      </c>
      <c r="YU3" s="84" t="str">
        <f t="shared" si="90"/>
        <v/>
      </c>
      <c r="YV3" s="84" t="str">
        <f t="shared" si="90"/>
        <v/>
      </c>
      <c r="YW3" s="84" t="str">
        <f t="shared" si="90"/>
        <v/>
      </c>
      <c r="YX3" s="84" t="str">
        <f t="shared" si="90"/>
        <v/>
      </c>
      <c r="YY3" s="84" t="str">
        <f t="shared" si="90"/>
        <v/>
      </c>
      <c r="YZ3" s="84" t="str">
        <f t="shared" si="90"/>
        <v/>
      </c>
      <c r="ZA3" s="84" t="str">
        <f t="shared" si="90"/>
        <v/>
      </c>
      <c r="ZB3" s="84"/>
      <c r="ZC3" s="84"/>
      <c r="ZD3" s="84" t="str">
        <f t="shared" ref="ZD3:ZN3" si="91">IFERROR(COUNTIFS(ZD10:ZD900000,"&gt;80",ZD10:ZD900000,"&lt;=100")/COUNTIF(ZD10:ZD900000,"&gt;=0"),"")</f>
        <v/>
      </c>
      <c r="ZE3" s="84" t="str">
        <f t="shared" si="91"/>
        <v/>
      </c>
      <c r="ZF3" s="84" t="str">
        <f t="shared" si="91"/>
        <v/>
      </c>
      <c r="ZG3" s="84" t="str">
        <f t="shared" si="91"/>
        <v/>
      </c>
      <c r="ZH3" s="84" t="str">
        <f t="shared" si="91"/>
        <v/>
      </c>
      <c r="ZI3" s="84" t="str">
        <f t="shared" si="91"/>
        <v/>
      </c>
      <c r="ZJ3" s="84" t="str">
        <f t="shared" si="91"/>
        <v/>
      </c>
      <c r="ZK3" s="84" t="str">
        <f t="shared" si="91"/>
        <v/>
      </c>
      <c r="ZL3" s="84" t="str">
        <f t="shared" si="91"/>
        <v/>
      </c>
      <c r="ZM3" s="84" t="str">
        <f t="shared" si="91"/>
        <v/>
      </c>
      <c r="ZN3" s="84" t="str">
        <f t="shared" si="91"/>
        <v/>
      </c>
      <c r="ZO3" s="84"/>
      <c r="ZP3" s="84"/>
      <c r="ZQ3" s="84" t="str">
        <f t="shared" ref="ZQ3:ZS3" si="92">IFERROR(COUNTIFS(ZQ10:ZQ900000,"&gt;80",ZQ10:ZQ900000,"&lt;=100")/COUNTIF(ZQ10:ZQ900000,"&gt;=0"),"")</f>
        <v/>
      </c>
      <c r="ZR3" s="84" t="str">
        <f t="shared" si="92"/>
        <v/>
      </c>
      <c r="ZS3" s="84" t="str">
        <f t="shared" si="92"/>
        <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0</v>
      </c>
      <c r="M4" s="81" t="s">
        <v>119</v>
      </c>
      <c r="N4" s="81"/>
      <c r="O4" s="81"/>
      <c r="P4" s="81"/>
      <c r="Q4" s="81" t="s">
        <v>107</v>
      </c>
      <c r="R4" s="81"/>
      <c r="S4" s="81"/>
      <c r="T4" s="82" t="str">
        <f>IFERROR(COUNTIFS(T10:T900000,"&gt;60",T10:T900000,"&lt;=80")/COUNTIF(T10:T900000,"&gt;=0"),"")</f>
        <v/>
      </c>
      <c r="U4" s="82" t="str">
        <f t="shared" ref="U4:AZ4" si="118">IFERROR(COUNTIFS(U10:U900000,"&gt;60",U10:U900000,"&lt;=80")/COUNTIF(U10:U900000,"&gt;=0"),"")</f>
        <v/>
      </c>
      <c r="V4" s="82" t="str">
        <f t="shared" si="118"/>
        <v/>
      </c>
      <c r="W4" s="82" t="str">
        <f t="shared" si="118"/>
        <v/>
      </c>
      <c r="X4" s="82" t="str">
        <f t="shared" si="118"/>
        <v/>
      </c>
      <c r="Y4" s="82" t="str">
        <f t="shared" si="118"/>
        <v/>
      </c>
      <c r="Z4" s="82" t="str">
        <f t="shared" si="118"/>
        <v/>
      </c>
      <c r="AA4" s="82" t="str">
        <f t="shared" si="118"/>
        <v/>
      </c>
      <c r="AB4" s="82" t="str">
        <f t="shared" si="118"/>
        <v/>
      </c>
      <c r="AC4" s="82" t="str">
        <f t="shared" si="118"/>
        <v/>
      </c>
      <c r="AD4" s="82" t="str">
        <f t="shared" si="118"/>
        <v/>
      </c>
      <c r="AE4" s="82" t="str">
        <f t="shared" si="118"/>
        <v/>
      </c>
      <c r="AF4" s="82"/>
      <c r="AG4" s="82"/>
      <c r="AH4" s="82" t="str">
        <f t="shared" si="118"/>
        <v/>
      </c>
      <c r="AI4" s="82" t="str">
        <f t="shared" si="118"/>
        <v/>
      </c>
      <c r="AJ4" s="82" t="str">
        <f t="shared" si="118"/>
        <v/>
      </c>
      <c r="AK4" s="82" t="str">
        <f t="shared" si="118"/>
        <v/>
      </c>
      <c r="AL4" s="82" t="str">
        <f t="shared" si="118"/>
        <v/>
      </c>
      <c r="AM4" s="82" t="str">
        <f t="shared" si="118"/>
        <v/>
      </c>
      <c r="AN4" s="82" t="str">
        <f t="shared" si="118"/>
        <v/>
      </c>
      <c r="AO4" s="82" t="str">
        <f t="shared" si="118"/>
        <v/>
      </c>
      <c r="AP4" s="82" t="str">
        <f t="shared" si="118"/>
        <v/>
      </c>
      <c r="AQ4" s="82" t="str">
        <f t="shared" si="118"/>
        <v/>
      </c>
      <c r="AR4" s="82" t="str">
        <f t="shared" si="118"/>
        <v/>
      </c>
      <c r="AS4" s="82"/>
      <c r="AT4" s="82"/>
      <c r="AU4" s="82" t="str">
        <f t="shared" si="118"/>
        <v/>
      </c>
      <c r="AV4" s="82" t="str">
        <f t="shared" si="118"/>
        <v/>
      </c>
      <c r="AW4" s="82" t="str">
        <f t="shared" si="118"/>
        <v/>
      </c>
      <c r="AX4" s="82"/>
      <c r="AY4" s="82" t="str">
        <f t="shared" si="118"/>
        <v/>
      </c>
      <c r="AZ4" s="82" t="str">
        <f t="shared" si="118"/>
        <v/>
      </c>
      <c r="BA4" s="82"/>
      <c r="BB4" s="82"/>
      <c r="BC4" s="83" t="s">
        <v>107</v>
      </c>
      <c r="BD4" s="83"/>
      <c r="BE4" s="83"/>
      <c r="BF4" s="84" t="str">
        <f>IFERROR(COUNTIFS(BF10:BF900000,"&gt;60",BF10:BF900000,"&lt;=80")/COUNTIF(BF10:BF900000,"&gt;=0"),"")</f>
        <v/>
      </c>
      <c r="BG4" s="84" t="str">
        <f t="shared" ref="BG4:BQ4" si="119">IFERROR(COUNTIFS(BG10:BG900000,"&gt;60",BG10:BG900000,"&lt;=80")/COUNTIF(BG10:BG900000,"&gt;=0"),"")</f>
        <v/>
      </c>
      <c r="BH4" s="84" t="str">
        <f t="shared" si="119"/>
        <v/>
      </c>
      <c r="BI4" s="84" t="str">
        <f t="shared" si="119"/>
        <v/>
      </c>
      <c r="BJ4" s="84" t="str">
        <f t="shared" si="119"/>
        <v/>
      </c>
      <c r="BK4" s="84" t="str">
        <f t="shared" si="119"/>
        <v/>
      </c>
      <c r="BL4" s="84" t="str">
        <f t="shared" si="119"/>
        <v/>
      </c>
      <c r="BM4" s="84" t="str">
        <f t="shared" si="119"/>
        <v/>
      </c>
      <c r="BN4" s="84" t="str">
        <f t="shared" si="119"/>
        <v/>
      </c>
      <c r="BO4" s="84" t="str">
        <f t="shared" si="119"/>
        <v/>
      </c>
      <c r="BP4" s="84" t="str">
        <f t="shared" si="119"/>
        <v/>
      </c>
      <c r="BQ4" s="84" t="str">
        <f t="shared" si="119"/>
        <v/>
      </c>
      <c r="BR4" s="84"/>
      <c r="BS4" s="84"/>
      <c r="BT4" s="84" t="str">
        <f t="shared" ref="BT4:CD4" si="120">IFERROR(COUNTIFS(BT10:BT900000,"&gt;60",BT10:BT900000,"&lt;=80")/COUNTIF(BT10:BT900000,"&gt;=0"),"")</f>
        <v/>
      </c>
      <c r="BU4" s="84" t="str">
        <f t="shared" si="120"/>
        <v/>
      </c>
      <c r="BV4" s="84" t="str">
        <f t="shared" si="120"/>
        <v/>
      </c>
      <c r="BW4" s="84" t="str">
        <f t="shared" si="120"/>
        <v/>
      </c>
      <c r="BX4" s="84" t="str">
        <f t="shared" si="120"/>
        <v/>
      </c>
      <c r="BY4" s="84" t="str">
        <f t="shared" si="120"/>
        <v/>
      </c>
      <c r="BZ4" s="84" t="str">
        <f t="shared" si="120"/>
        <v/>
      </c>
      <c r="CA4" s="84" t="str">
        <f t="shared" si="120"/>
        <v/>
      </c>
      <c r="CB4" s="84" t="str">
        <f t="shared" si="120"/>
        <v/>
      </c>
      <c r="CC4" s="84" t="str">
        <f t="shared" si="120"/>
        <v/>
      </c>
      <c r="CD4" s="84" t="str">
        <f t="shared" si="120"/>
        <v/>
      </c>
      <c r="CE4" s="84"/>
      <c r="CF4" s="84"/>
      <c r="CG4" s="84" t="str">
        <f t="shared" ref="CG4:CI4" si="121">IFERROR(COUNTIFS(CG10:CG900000,"&gt;60",CG10:CG900000,"&lt;=80")/COUNTIF(CG10:CG900000,"&gt;=0"),"")</f>
        <v/>
      </c>
      <c r="CH4" s="84" t="str">
        <f t="shared" si="121"/>
        <v/>
      </c>
      <c r="CI4" s="84" t="str">
        <f t="shared" si="121"/>
        <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t="str">
        <f>IFERROR(COUNTIFS(ED10:ED900000,"&gt;60",ED10:ED900000,"&lt;=80")/COUNTIF(ED10:ED900000,"&gt;=0"),"")</f>
        <v/>
      </c>
      <c r="EE4" s="84" t="str">
        <f t="shared" ref="EE4:EO4" si="127">IFERROR(COUNTIFS(EE10:EE900000,"&gt;60",EE10:EE900000,"&lt;=80")/COUNTIF(EE10:EE900000,"&gt;=0"),"")</f>
        <v/>
      </c>
      <c r="EF4" s="84" t="str">
        <f t="shared" si="127"/>
        <v/>
      </c>
      <c r="EG4" s="84" t="str">
        <f t="shared" si="127"/>
        <v/>
      </c>
      <c r="EH4" s="84" t="str">
        <f t="shared" si="127"/>
        <v/>
      </c>
      <c r="EI4" s="84" t="str">
        <f t="shared" si="127"/>
        <v/>
      </c>
      <c r="EJ4" s="84" t="str">
        <f t="shared" si="127"/>
        <v/>
      </c>
      <c r="EK4" s="84" t="str">
        <f t="shared" si="127"/>
        <v/>
      </c>
      <c r="EL4" s="84" t="str">
        <f t="shared" si="127"/>
        <v/>
      </c>
      <c r="EM4" s="84" t="str">
        <f t="shared" si="127"/>
        <v/>
      </c>
      <c r="EN4" s="84" t="str">
        <f t="shared" si="127"/>
        <v/>
      </c>
      <c r="EO4" s="84" t="str">
        <f t="shared" si="127"/>
        <v/>
      </c>
      <c r="EP4" s="84"/>
      <c r="EQ4" s="84"/>
      <c r="ER4" s="84" t="str">
        <f t="shared" ref="ER4:FB4" si="128">IFERROR(COUNTIFS(ER10:ER900000,"&gt;60",ER10:ER900000,"&lt;=80")/COUNTIF(ER10:ER900000,"&gt;=0"),"")</f>
        <v/>
      </c>
      <c r="ES4" s="84" t="str">
        <f t="shared" si="128"/>
        <v/>
      </c>
      <c r="ET4" s="84" t="str">
        <f t="shared" si="128"/>
        <v/>
      </c>
      <c r="EU4" s="84" t="str">
        <f t="shared" si="128"/>
        <v/>
      </c>
      <c r="EV4" s="84" t="str">
        <f t="shared" si="128"/>
        <v/>
      </c>
      <c r="EW4" s="84" t="str">
        <f t="shared" si="128"/>
        <v/>
      </c>
      <c r="EX4" s="84" t="str">
        <f t="shared" si="128"/>
        <v/>
      </c>
      <c r="EY4" s="84" t="str">
        <f t="shared" si="128"/>
        <v/>
      </c>
      <c r="EZ4" s="84" t="str">
        <f t="shared" si="128"/>
        <v/>
      </c>
      <c r="FA4" s="84" t="str">
        <f t="shared" si="128"/>
        <v/>
      </c>
      <c r="FB4" s="84" t="str">
        <f t="shared" si="128"/>
        <v/>
      </c>
      <c r="FC4" s="84"/>
      <c r="FD4" s="84"/>
      <c r="FE4" s="84" t="str">
        <f t="shared" ref="FE4:FG4" si="129">IFERROR(COUNTIFS(FE10:FE900000,"&gt;60",FE10:FE900000,"&lt;=80")/COUNTIF(FE10:FE900000,"&gt;=0"),"")</f>
        <v/>
      </c>
      <c r="FF4" s="84" t="str">
        <f t="shared" si="129"/>
        <v/>
      </c>
      <c r="FG4" s="84" t="str">
        <f t="shared" si="129"/>
        <v/>
      </c>
      <c r="FH4" s="84"/>
      <c r="FI4" s="84" t="str">
        <f t="shared" ref="FI4:FJ4" si="130">IFERROR(COUNTIFS(FI10:FI900000,"&gt;60",FI10:FI900000,"&lt;=80")/COUNTIF(FI10:FI900000,"&gt;=0"),"")</f>
        <v/>
      </c>
      <c r="FJ4" s="84" t="str">
        <f t="shared" si="130"/>
        <v/>
      </c>
      <c r="FK4" s="84"/>
      <c r="FL4" s="84"/>
      <c r="FM4" s="81" t="s">
        <v>107</v>
      </c>
      <c r="FN4" s="81"/>
      <c r="FO4" s="81"/>
      <c r="FP4" s="82" t="str">
        <f>IFERROR(COUNTIFS(FP10:FP900000,"&gt;60",FP10:FP900000,"&lt;=80")/COUNTIF(FP10:FP900000,"&gt;=0"),"")</f>
        <v/>
      </c>
      <c r="FQ4" s="82" t="str">
        <f t="shared" ref="FQ4:GA4" si="131">IFERROR(COUNTIFS(FQ10:FQ900000,"&gt;60",FQ10:FQ900000,"&lt;=80")/COUNTIF(FQ10:FQ900000,"&gt;=0"),"")</f>
        <v/>
      </c>
      <c r="FR4" s="82" t="str">
        <f t="shared" si="131"/>
        <v/>
      </c>
      <c r="FS4" s="82" t="str">
        <f t="shared" si="131"/>
        <v/>
      </c>
      <c r="FT4" s="82" t="str">
        <f t="shared" si="131"/>
        <v/>
      </c>
      <c r="FU4" s="82" t="str">
        <f t="shared" si="131"/>
        <v/>
      </c>
      <c r="FV4" s="82" t="str">
        <f t="shared" si="131"/>
        <v/>
      </c>
      <c r="FW4" s="82" t="str">
        <f t="shared" si="131"/>
        <v/>
      </c>
      <c r="FX4" s="82" t="str">
        <f t="shared" si="131"/>
        <v/>
      </c>
      <c r="FY4" s="82" t="str">
        <f t="shared" si="131"/>
        <v/>
      </c>
      <c r="FZ4" s="82" t="str">
        <f t="shared" si="131"/>
        <v/>
      </c>
      <c r="GA4" s="82" t="str">
        <f t="shared" si="131"/>
        <v/>
      </c>
      <c r="GB4" s="82"/>
      <c r="GC4" s="82"/>
      <c r="GD4" s="82" t="str">
        <f t="shared" ref="GD4:GN4" si="132">IFERROR(COUNTIFS(GD10:GD900000,"&gt;60",GD10:GD900000,"&lt;=80")/COUNTIF(GD10:GD900000,"&gt;=0"),"")</f>
        <v/>
      </c>
      <c r="GE4" s="82" t="str">
        <f t="shared" si="132"/>
        <v/>
      </c>
      <c r="GF4" s="82" t="str">
        <f t="shared" si="132"/>
        <v/>
      </c>
      <c r="GG4" s="82" t="str">
        <f t="shared" si="132"/>
        <v/>
      </c>
      <c r="GH4" s="82" t="str">
        <f t="shared" si="132"/>
        <v/>
      </c>
      <c r="GI4" s="82" t="str">
        <f t="shared" si="132"/>
        <v/>
      </c>
      <c r="GJ4" s="82" t="str">
        <f t="shared" si="132"/>
        <v/>
      </c>
      <c r="GK4" s="82" t="str">
        <f t="shared" si="132"/>
        <v/>
      </c>
      <c r="GL4" s="82" t="str">
        <f t="shared" si="132"/>
        <v/>
      </c>
      <c r="GM4" s="82" t="str">
        <f t="shared" si="132"/>
        <v/>
      </c>
      <c r="GN4" s="82" t="str">
        <f t="shared" si="132"/>
        <v/>
      </c>
      <c r="GO4" s="82"/>
      <c r="GP4" s="82"/>
      <c r="GQ4" s="82" t="str">
        <f t="shared" ref="GQ4:GS4" si="133">IFERROR(COUNTIFS(GQ10:GQ900000,"&gt;60",GQ10:GQ900000,"&lt;=80")/COUNTIF(GQ10:GQ900000,"&gt;=0"),"")</f>
        <v/>
      </c>
      <c r="GR4" s="82" t="str">
        <f t="shared" si="133"/>
        <v/>
      </c>
      <c r="GS4" s="82" t="str">
        <f t="shared" si="133"/>
        <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t="str">
        <f t="shared" ref="KA4:KK4" si="143">IFERROR(COUNTIFS(KA10:KA900000,"&gt;60",KA10:KA900000,"&lt;=80")/COUNTIF(KA10:KA900000,"&gt;=0"),"")</f>
        <v/>
      </c>
      <c r="KB4" s="84" t="str">
        <f t="shared" si="143"/>
        <v/>
      </c>
      <c r="KC4" s="84" t="str">
        <f t="shared" si="143"/>
        <v/>
      </c>
      <c r="KD4" s="84" t="str">
        <f t="shared" si="143"/>
        <v/>
      </c>
      <c r="KE4" s="84" t="str">
        <f t="shared" si="143"/>
        <v/>
      </c>
      <c r="KF4" s="84" t="str">
        <f t="shared" si="143"/>
        <v/>
      </c>
      <c r="KG4" s="84" t="str">
        <f t="shared" si="143"/>
        <v/>
      </c>
      <c r="KH4" s="84" t="str">
        <f t="shared" si="143"/>
        <v/>
      </c>
      <c r="KI4" s="84" t="str">
        <f t="shared" si="143"/>
        <v/>
      </c>
      <c r="KJ4" s="84" t="str">
        <f t="shared" si="143"/>
        <v/>
      </c>
      <c r="KK4" s="84" t="str">
        <f t="shared" si="143"/>
        <v/>
      </c>
      <c r="KL4" s="84"/>
      <c r="KM4" s="84"/>
      <c r="KN4" s="84" t="str">
        <f t="shared" ref="KN4:KX4" si="144">IFERROR(COUNTIFS(KN10:KN900000,"&gt;60",KN10:KN900000,"&lt;=80")/COUNTIF(KN10:KN900000,"&gt;=0"),"")</f>
        <v/>
      </c>
      <c r="KO4" s="84" t="str">
        <f t="shared" si="144"/>
        <v/>
      </c>
      <c r="KP4" s="84" t="str">
        <f t="shared" si="144"/>
        <v/>
      </c>
      <c r="KQ4" s="84" t="str">
        <f t="shared" si="144"/>
        <v/>
      </c>
      <c r="KR4" s="84" t="str">
        <f t="shared" si="144"/>
        <v/>
      </c>
      <c r="KS4" s="84" t="str">
        <f t="shared" si="144"/>
        <v/>
      </c>
      <c r="KT4" s="84" t="str">
        <f t="shared" si="144"/>
        <v/>
      </c>
      <c r="KU4" s="84" t="str">
        <f t="shared" si="144"/>
        <v/>
      </c>
      <c r="KV4" s="84" t="str">
        <f t="shared" si="144"/>
        <v/>
      </c>
      <c r="KW4" s="84" t="str">
        <f t="shared" si="144"/>
        <v/>
      </c>
      <c r="KX4" s="84" t="str">
        <f t="shared" si="144"/>
        <v/>
      </c>
      <c r="KY4" s="84"/>
      <c r="KZ4" s="84"/>
      <c r="LA4" s="84" t="str">
        <f t="shared" ref="LA4:LC4" si="145">IFERROR(COUNTIFS(LA10:LA900000,"&gt;60",LA10:LA900000,"&lt;=80")/COUNTIF(LA10:LA900000,"&gt;=0"),"")</f>
        <v/>
      </c>
      <c r="LB4" s="84" t="str">
        <f t="shared" si="145"/>
        <v/>
      </c>
      <c r="LC4" s="84" t="str">
        <f t="shared" si="145"/>
        <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t="str">
        <f>IFERROR(COUNTIFS(UF10:UF900000,"&gt;60",UF10:UF900000,"&lt;=80")/COUNTIF(UF10:UF900000,"&gt;=0"),"")</f>
        <v/>
      </c>
      <c r="UG4" s="82" t="str">
        <f t="shared" ref="UG4:UQ4" si="171">IFERROR(COUNTIFS(UG10:UG900000,"&gt;60",UG10:UG900000,"&lt;=80")/COUNTIF(UG10:UG900000,"&gt;=0"),"")</f>
        <v/>
      </c>
      <c r="UH4" s="82" t="str">
        <f t="shared" si="171"/>
        <v/>
      </c>
      <c r="UI4" s="82" t="str">
        <f t="shared" si="171"/>
        <v/>
      </c>
      <c r="UJ4" s="82" t="str">
        <f t="shared" si="171"/>
        <v/>
      </c>
      <c r="UK4" s="82" t="str">
        <f t="shared" si="171"/>
        <v/>
      </c>
      <c r="UL4" s="82" t="str">
        <f t="shared" si="171"/>
        <v/>
      </c>
      <c r="UM4" s="82" t="str">
        <f t="shared" si="171"/>
        <v/>
      </c>
      <c r="UN4" s="82" t="str">
        <f t="shared" si="171"/>
        <v/>
      </c>
      <c r="UO4" s="82" t="str">
        <f t="shared" si="171"/>
        <v/>
      </c>
      <c r="UP4" s="82" t="str">
        <f t="shared" si="171"/>
        <v/>
      </c>
      <c r="UQ4" s="82" t="str">
        <f t="shared" si="171"/>
        <v/>
      </c>
      <c r="UR4" s="82"/>
      <c r="US4" s="82"/>
      <c r="UT4" s="82" t="str">
        <f t="shared" ref="UT4:VD4" si="172">IFERROR(COUNTIFS(UT10:UT900000,"&gt;60",UT10:UT900000,"&lt;=80")/COUNTIF(UT10:UT900000,"&gt;=0"),"")</f>
        <v/>
      </c>
      <c r="UU4" s="82" t="str">
        <f t="shared" si="172"/>
        <v/>
      </c>
      <c r="UV4" s="82" t="str">
        <f t="shared" si="172"/>
        <v/>
      </c>
      <c r="UW4" s="82" t="str">
        <f t="shared" si="172"/>
        <v/>
      </c>
      <c r="UX4" s="82" t="str">
        <f t="shared" si="172"/>
        <v/>
      </c>
      <c r="UY4" s="82" t="str">
        <f t="shared" si="172"/>
        <v/>
      </c>
      <c r="UZ4" s="82" t="str">
        <f t="shared" si="172"/>
        <v/>
      </c>
      <c r="VA4" s="82" t="str">
        <f t="shared" si="172"/>
        <v/>
      </c>
      <c r="VB4" s="82" t="str">
        <f t="shared" si="172"/>
        <v/>
      </c>
      <c r="VC4" s="82" t="str">
        <f t="shared" si="172"/>
        <v/>
      </c>
      <c r="VD4" s="82" t="str">
        <f t="shared" si="172"/>
        <v/>
      </c>
      <c r="VE4" s="82"/>
      <c r="VF4" s="82"/>
      <c r="VG4" s="82" t="str">
        <f t="shared" ref="VG4:VI4" si="173">IFERROR(COUNTIFS(VG10:VG900000,"&gt;60",VG10:VG900000,"&lt;=80")/COUNTIF(VG10:VG900000,"&gt;=0"),"")</f>
        <v/>
      </c>
      <c r="VH4" s="82" t="str">
        <f t="shared" si="173"/>
        <v/>
      </c>
      <c r="VI4" s="82" t="str">
        <f t="shared" si="173"/>
        <v/>
      </c>
      <c r="VJ4" s="82"/>
      <c r="VK4" s="82" t="str">
        <f t="shared" ref="VK4:VL4" si="174">IFERROR(COUNTIFS(VK10:VK900000,"&gt;60",VK10:VK900000,"&lt;=80")/COUNTIF(VK10:VK900000,"&gt;=0"),"")</f>
        <v/>
      </c>
      <c r="VL4" s="82" t="str">
        <f t="shared" si="174"/>
        <v/>
      </c>
      <c r="VM4" s="82"/>
      <c r="VN4" s="82"/>
      <c r="VO4" s="83" t="s">
        <v>107</v>
      </c>
      <c r="VP4" s="83"/>
      <c r="VQ4" s="83"/>
      <c r="VR4" s="84" t="str">
        <f>IFERROR(COUNTIFS(VR10:VR900000,"&gt;60",VR10:VR900000,"&lt;=80")/COUNTIF(VR10:VR900000,"&gt;=0"),"")</f>
        <v/>
      </c>
      <c r="VS4" s="84" t="str">
        <f t="shared" ref="VS4:WC4" si="175">IFERROR(COUNTIFS(VS10:VS900000,"&gt;60",VS10:VS900000,"&lt;=80")/COUNTIF(VS10:VS900000,"&gt;=0"),"")</f>
        <v/>
      </c>
      <c r="VT4" s="84" t="str">
        <f t="shared" si="175"/>
        <v/>
      </c>
      <c r="VU4" s="84" t="str">
        <f t="shared" si="175"/>
        <v/>
      </c>
      <c r="VV4" s="84" t="str">
        <f t="shared" si="175"/>
        <v/>
      </c>
      <c r="VW4" s="84" t="str">
        <f t="shared" si="175"/>
        <v/>
      </c>
      <c r="VX4" s="84" t="str">
        <f t="shared" si="175"/>
        <v/>
      </c>
      <c r="VY4" s="84" t="str">
        <f t="shared" si="175"/>
        <v/>
      </c>
      <c r="VZ4" s="84" t="str">
        <f t="shared" si="175"/>
        <v/>
      </c>
      <c r="WA4" s="84" t="str">
        <f t="shared" si="175"/>
        <v/>
      </c>
      <c r="WB4" s="84" t="str">
        <f t="shared" si="175"/>
        <v/>
      </c>
      <c r="WC4" s="84" t="str">
        <f t="shared" si="175"/>
        <v/>
      </c>
      <c r="WD4" s="84"/>
      <c r="WE4" s="84"/>
      <c r="WF4" s="84" t="str">
        <f t="shared" ref="WF4:WP4" si="176">IFERROR(COUNTIFS(WF10:WF900000,"&gt;60",WF10:WF900000,"&lt;=80")/COUNTIF(WF10:WF900000,"&gt;=0"),"")</f>
        <v/>
      </c>
      <c r="WG4" s="84" t="str">
        <f t="shared" si="176"/>
        <v/>
      </c>
      <c r="WH4" s="84" t="str">
        <f t="shared" si="176"/>
        <v/>
      </c>
      <c r="WI4" s="84" t="str">
        <f t="shared" si="176"/>
        <v/>
      </c>
      <c r="WJ4" s="84" t="str">
        <f t="shared" si="176"/>
        <v/>
      </c>
      <c r="WK4" s="84" t="str">
        <f t="shared" si="176"/>
        <v/>
      </c>
      <c r="WL4" s="84" t="str">
        <f t="shared" si="176"/>
        <v/>
      </c>
      <c r="WM4" s="84" t="str">
        <f t="shared" si="176"/>
        <v/>
      </c>
      <c r="WN4" s="84" t="str">
        <f t="shared" si="176"/>
        <v/>
      </c>
      <c r="WO4" s="84" t="str">
        <f t="shared" si="176"/>
        <v/>
      </c>
      <c r="WP4" s="84" t="str">
        <f t="shared" si="176"/>
        <v/>
      </c>
      <c r="WQ4" s="84"/>
      <c r="WR4" s="84"/>
      <c r="WS4" s="84" t="str">
        <f t="shared" ref="WS4:WU4" si="177">IFERROR(COUNTIFS(WS10:WS900000,"&gt;60",WS10:WS900000,"&lt;=80")/COUNTIF(WS10:WS900000,"&gt;=0"),"")</f>
        <v/>
      </c>
      <c r="WT4" s="84" t="str">
        <f t="shared" si="177"/>
        <v/>
      </c>
      <c r="WU4" s="84" t="str">
        <f t="shared" si="177"/>
        <v/>
      </c>
      <c r="WV4" s="84"/>
      <c r="WW4" s="84" t="str">
        <f t="shared" ref="WW4:WX4" si="178">IFERROR(COUNTIFS(WW10:WW900000,"&gt;60",WW10:WW900000,"&lt;=80")/COUNTIF(WW10:WW900000,"&gt;=0"),"")</f>
        <v/>
      </c>
      <c r="WX4" s="84" t="str">
        <f t="shared" si="178"/>
        <v/>
      </c>
      <c r="WY4" s="84"/>
      <c r="WZ4" s="84"/>
      <c r="XA4" s="81" t="s">
        <v>107</v>
      </c>
      <c r="XB4" s="81"/>
      <c r="XC4" s="81"/>
      <c r="XD4" s="82" t="str">
        <f>IFERROR(COUNTIFS(XD10:XD900000,"&gt;60",XD10:XD900000,"&lt;=80")/COUNTIF(XD10:XD900000,"&gt;=0"),"")</f>
        <v/>
      </c>
      <c r="XE4" s="82" t="str">
        <f t="shared" ref="XE4:XO4" si="179">IFERROR(COUNTIFS(XE10:XE900000,"&gt;60",XE10:XE900000,"&lt;=80")/COUNTIF(XE10:XE900000,"&gt;=0"),"")</f>
        <v/>
      </c>
      <c r="XF4" s="82" t="str">
        <f t="shared" si="179"/>
        <v/>
      </c>
      <c r="XG4" s="82" t="str">
        <f t="shared" si="179"/>
        <v/>
      </c>
      <c r="XH4" s="82" t="str">
        <f t="shared" si="179"/>
        <v/>
      </c>
      <c r="XI4" s="82" t="str">
        <f t="shared" si="179"/>
        <v/>
      </c>
      <c r="XJ4" s="82" t="str">
        <f t="shared" si="179"/>
        <v/>
      </c>
      <c r="XK4" s="82" t="str">
        <f t="shared" si="179"/>
        <v/>
      </c>
      <c r="XL4" s="82" t="str">
        <f t="shared" si="179"/>
        <v/>
      </c>
      <c r="XM4" s="82" t="str">
        <f t="shared" si="179"/>
        <v/>
      </c>
      <c r="XN4" s="82" t="str">
        <f t="shared" si="179"/>
        <v/>
      </c>
      <c r="XO4" s="82" t="str">
        <f t="shared" si="179"/>
        <v/>
      </c>
      <c r="XP4" s="82"/>
      <c r="XQ4" s="82"/>
      <c r="XR4" s="82" t="str">
        <f t="shared" ref="XR4:YB4" si="180">IFERROR(COUNTIFS(XR10:XR900000,"&gt;60",XR10:XR900000,"&lt;=80")/COUNTIF(XR10:XR900000,"&gt;=0"),"")</f>
        <v/>
      </c>
      <c r="XS4" s="82" t="str">
        <f t="shared" si="180"/>
        <v/>
      </c>
      <c r="XT4" s="82" t="str">
        <f t="shared" si="180"/>
        <v/>
      </c>
      <c r="XU4" s="82" t="str">
        <f t="shared" si="180"/>
        <v/>
      </c>
      <c r="XV4" s="82" t="str">
        <f t="shared" si="180"/>
        <v/>
      </c>
      <c r="XW4" s="82" t="str">
        <f t="shared" si="180"/>
        <v/>
      </c>
      <c r="XX4" s="82" t="str">
        <f t="shared" si="180"/>
        <v/>
      </c>
      <c r="XY4" s="82" t="str">
        <f t="shared" si="180"/>
        <v/>
      </c>
      <c r="XZ4" s="82" t="str">
        <f t="shared" si="180"/>
        <v/>
      </c>
      <c r="YA4" s="82" t="str">
        <f t="shared" si="180"/>
        <v/>
      </c>
      <c r="YB4" s="82" t="str">
        <f t="shared" si="180"/>
        <v/>
      </c>
      <c r="YC4" s="82"/>
      <c r="YD4" s="82"/>
      <c r="YE4" s="82" t="str">
        <f t="shared" ref="YE4:YG4" si="181">IFERROR(COUNTIFS(YE10:YE900000,"&gt;60",YE10:YE900000,"&lt;=80")/COUNTIF(YE10:YE900000,"&gt;=0"),"")</f>
        <v/>
      </c>
      <c r="YF4" s="82" t="str">
        <f t="shared" si="181"/>
        <v/>
      </c>
      <c r="YG4" s="82" t="str">
        <f t="shared" si="181"/>
        <v/>
      </c>
      <c r="YH4" s="82"/>
      <c r="YI4" s="82" t="str">
        <f t="shared" ref="YI4:YJ4" si="182">IFERROR(COUNTIFS(YI10:YI900000,"&gt;60",YI10:YI900000,"&lt;=80")/COUNTIF(YI10:YI900000,"&gt;=0"),"")</f>
        <v/>
      </c>
      <c r="YJ4" s="82" t="str">
        <f t="shared" si="182"/>
        <v/>
      </c>
      <c r="YK4" s="82"/>
      <c r="YL4" s="82"/>
      <c r="YM4" s="83" t="s">
        <v>107</v>
      </c>
      <c r="YN4" s="83"/>
      <c r="YO4" s="83"/>
      <c r="YP4" s="84" t="str">
        <f>IFERROR(COUNTIFS(YP10:YP900000,"&gt;60",YP10:YP900000,"&lt;=80")/COUNTIF(YP10:YP900000,"&gt;=0"),"")</f>
        <v/>
      </c>
      <c r="YQ4" s="84" t="str">
        <f t="shared" ref="YQ4:ZA4" si="183">IFERROR(COUNTIFS(YQ10:YQ900000,"&gt;60",YQ10:YQ900000,"&lt;=80")/COUNTIF(YQ10:YQ900000,"&gt;=0"),"")</f>
        <v/>
      </c>
      <c r="YR4" s="84" t="str">
        <f t="shared" si="183"/>
        <v/>
      </c>
      <c r="YS4" s="84" t="str">
        <f t="shared" si="183"/>
        <v/>
      </c>
      <c r="YT4" s="84" t="str">
        <f t="shared" si="183"/>
        <v/>
      </c>
      <c r="YU4" s="84" t="str">
        <f t="shared" si="183"/>
        <v/>
      </c>
      <c r="YV4" s="84" t="str">
        <f t="shared" si="183"/>
        <v/>
      </c>
      <c r="YW4" s="84" t="str">
        <f t="shared" si="183"/>
        <v/>
      </c>
      <c r="YX4" s="84" t="str">
        <f t="shared" si="183"/>
        <v/>
      </c>
      <c r="YY4" s="84" t="str">
        <f t="shared" si="183"/>
        <v/>
      </c>
      <c r="YZ4" s="84" t="str">
        <f t="shared" si="183"/>
        <v/>
      </c>
      <c r="ZA4" s="84" t="str">
        <f t="shared" si="183"/>
        <v/>
      </c>
      <c r="ZB4" s="84"/>
      <c r="ZC4" s="84"/>
      <c r="ZD4" s="84" t="str">
        <f t="shared" ref="ZD4:ZN4" si="184">IFERROR(COUNTIFS(ZD10:ZD900000,"&gt;60",ZD10:ZD900000,"&lt;=80")/COUNTIF(ZD10:ZD900000,"&gt;=0"),"")</f>
        <v/>
      </c>
      <c r="ZE4" s="84" t="str">
        <f t="shared" si="184"/>
        <v/>
      </c>
      <c r="ZF4" s="84" t="str">
        <f t="shared" si="184"/>
        <v/>
      </c>
      <c r="ZG4" s="84" t="str">
        <f t="shared" si="184"/>
        <v/>
      </c>
      <c r="ZH4" s="84" t="str">
        <f t="shared" si="184"/>
        <v/>
      </c>
      <c r="ZI4" s="84" t="str">
        <f t="shared" si="184"/>
        <v/>
      </c>
      <c r="ZJ4" s="84" t="str">
        <f t="shared" si="184"/>
        <v/>
      </c>
      <c r="ZK4" s="84" t="str">
        <f t="shared" si="184"/>
        <v/>
      </c>
      <c r="ZL4" s="84" t="str">
        <f t="shared" si="184"/>
        <v/>
      </c>
      <c r="ZM4" s="84" t="str">
        <f t="shared" si="184"/>
        <v/>
      </c>
      <c r="ZN4" s="84" t="str">
        <f t="shared" si="184"/>
        <v/>
      </c>
      <c r="ZO4" s="84"/>
      <c r="ZP4" s="84"/>
      <c r="ZQ4" s="84" t="str">
        <f t="shared" ref="ZQ4:ZS4" si="185">IFERROR(COUNTIFS(ZQ10:ZQ900000,"&gt;60",ZQ10:ZQ900000,"&lt;=80")/COUNTIF(ZQ10:ZQ900000,"&gt;=0"),"")</f>
        <v/>
      </c>
      <c r="ZR4" s="84" t="str">
        <f t="shared" si="185"/>
        <v/>
      </c>
      <c r="ZS4" s="84" t="str">
        <f t="shared" si="185"/>
        <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t="str">
        <f>IFERROR(COUNTIFS(T10:T900000,"&gt;30",T10:T900000,"&lt;=60")/COUNTIF(T10:T900000,"&gt;=0"),"")</f>
        <v/>
      </c>
      <c r="U5" s="82" t="str">
        <f t="shared" ref="U5:AZ5" si="211">IFERROR(COUNTIFS(U10:U900000,"&gt;30",U10:U900000,"&lt;=60")/COUNTIF(U10:U900000,"&gt;=0"),"")</f>
        <v/>
      </c>
      <c r="V5" s="82" t="str">
        <f t="shared" si="211"/>
        <v/>
      </c>
      <c r="W5" s="82" t="str">
        <f t="shared" si="211"/>
        <v/>
      </c>
      <c r="X5" s="82" t="str">
        <f t="shared" si="211"/>
        <v/>
      </c>
      <c r="Y5" s="82" t="str">
        <f t="shared" si="211"/>
        <v/>
      </c>
      <c r="Z5" s="82" t="str">
        <f t="shared" si="211"/>
        <v/>
      </c>
      <c r="AA5" s="82" t="str">
        <f t="shared" si="211"/>
        <v/>
      </c>
      <c r="AB5" s="82" t="str">
        <f t="shared" si="211"/>
        <v/>
      </c>
      <c r="AC5" s="82" t="str">
        <f t="shared" si="211"/>
        <v/>
      </c>
      <c r="AD5" s="82" t="str">
        <f t="shared" si="211"/>
        <v/>
      </c>
      <c r="AE5" s="82" t="str">
        <f t="shared" si="211"/>
        <v/>
      </c>
      <c r="AF5" s="82"/>
      <c r="AG5" s="82"/>
      <c r="AH5" s="82" t="str">
        <f t="shared" si="211"/>
        <v/>
      </c>
      <c r="AI5" s="82" t="str">
        <f t="shared" si="211"/>
        <v/>
      </c>
      <c r="AJ5" s="82" t="str">
        <f t="shared" si="211"/>
        <v/>
      </c>
      <c r="AK5" s="82" t="str">
        <f t="shared" si="211"/>
        <v/>
      </c>
      <c r="AL5" s="82" t="str">
        <f t="shared" si="211"/>
        <v/>
      </c>
      <c r="AM5" s="82" t="str">
        <f t="shared" si="211"/>
        <v/>
      </c>
      <c r="AN5" s="82" t="str">
        <f t="shared" si="211"/>
        <v/>
      </c>
      <c r="AO5" s="82" t="str">
        <f t="shared" si="211"/>
        <v/>
      </c>
      <c r="AP5" s="82" t="str">
        <f t="shared" si="211"/>
        <v/>
      </c>
      <c r="AQ5" s="82" t="str">
        <f t="shared" si="211"/>
        <v/>
      </c>
      <c r="AR5" s="82" t="str">
        <f t="shared" si="211"/>
        <v/>
      </c>
      <c r="AS5" s="82"/>
      <c r="AT5" s="82"/>
      <c r="AU5" s="82" t="str">
        <f t="shared" si="211"/>
        <v/>
      </c>
      <c r="AV5" s="82" t="str">
        <f t="shared" si="211"/>
        <v/>
      </c>
      <c r="AW5" s="82" t="str">
        <f t="shared" si="211"/>
        <v/>
      </c>
      <c r="AX5" s="82"/>
      <c r="AY5" s="82" t="str">
        <f t="shared" si="211"/>
        <v/>
      </c>
      <c r="AZ5" s="82" t="str">
        <f t="shared" si="211"/>
        <v/>
      </c>
      <c r="BA5" s="82"/>
      <c r="BB5" s="82"/>
      <c r="BC5" s="83" t="s">
        <v>108</v>
      </c>
      <c r="BD5" s="83"/>
      <c r="BE5" s="83"/>
      <c r="BF5" s="84" t="str">
        <f>IFERROR(COUNTIFS(BF10:BF900000,"&gt;30",BF10:BF900000,"&lt;=60")/COUNTIF(BF10:BF900000,"&gt;=0"),"")</f>
        <v/>
      </c>
      <c r="BG5" s="84" t="str">
        <f t="shared" ref="BG5:BQ5" si="212">IFERROR(COUNTIFS(BG10:BG900000,"&gt;30",BG10:BG900000,"&lt;=60")/COUNTIF(BG10:BG900000,"&gt;=0"),"")</f>
        <v/>
      </c>
      <c r="BH5" s="84" t="str">
        <f t="shared" si="212"/>
        <v/>
      </c>
      <c r="BI5" s="84" t="str">
        <f t="shared" si="212"/>
        <v/>
      </c>
      <c r="BJ5" s="84" t="str">
        <f t="shared" si="212"/>
        <v/>
      </c>
      <c r="BK5" s="84" t="str">
        <f t="shared" si="212"/>
        <v/>
      </c>
      <c r="BL5" s="84" t="str">
        <f t="shared" si="212"/>
        <v/>
      </c>
      <c r="BM5" s="84" t="str">
        <f t="shared" si="212"/>
        <v/>
      </c>
      <c r="BN5" s="84" t="str">
        <f t="shared" si="212"/>
        <v/>
      </c>
      <c r="BO5" s="84" t="str">
        <f t="shared" si="212"/>
        <v/>
      </c>
      <c r="BP5" s="84" t="str">
        <f t="shared" si="212"/>
        <v/>
      </c>
      <c r="BQ5" s="84" t="str">
        <f t="shared" si="212"/>
        <v/>
      </c>
      <c r="BR5" s="84"/>
      <c r="BS5" s="84"/>
      <c r="BT5" s="84" t="str">
        <f t="shared" ref="BT5:CD5" si="213">IFERROR(COUNTIFS(BT10:BT900000,"&gt;30",BT10:BT900000,"&lt;=60")/COUNTIF(BT10:BT900000,"&gt;=0"),"")</f>
        <v/>
      </c>
      <c r="BU5" s="84" t="str">
        <f t="shared" si="213"/>
        <v/>
      </c>
      <c r="BV5" s="84" t="str">
        <f t="shared" si="213"/>
        <v/>
      </c>
      <c r="BW5" s="84" t="str">
        <f t="shared" si="213"/>
        <v/>
      </c>
      <c r="BX5" s="84" t="str">
        <f t="shared" si="213"/>
        <v/>
      </c>
      <c r="BY5" s="84" t="str">
        <f t="shared" si="213"/>
        <v/>
      </c>
      <c r="BZ5" s="84" t="str">
        <f t="shared" si="213"/>
        <v/>
      </c>
      <c r="CA5" s="84" t="str">
        <f t="shared" si="213"/>
        <v/>
      </c>
      <c r="CB5" s="84" t="str">
        <f t="shared" si="213"/>
        <v/>
      </c>
      <c r="CC5" s="84" t="str">
        <f t="shared" si="213"/>
        <v/>
      </c>
      <c r="CD5" s="84" t="str">
        <f t="shared" si="213"/>
        <v/>
      </c>
      <c r="CE5" s="84"/>
      <c r="CF5" s="84"/>
      <c r="CG5" s="84" t="str">
        <f t="shared" ref="CG5:CI5" si="214">IFERROR(COUNTIFS(CG10:CG900000,"&gt;30",CG10:CG900000,"&lt;=60")/COUNTIF(CG10:CG900000,"&gt;=0"),"")</f>
        <v/>
      </c>
      <c r="CH5" s="84" t="str">
        <f t="shared" si="214"/>
        <v/>
      </c>
      <c r="CI5" s="84" t="str">
        <f t="shared" si="214"/>
        <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t="str">
        <f>IFERROR(COUNTIFS(ED10:ED900000,"&gt;30",ED10:ED900000,"&lt;=60")/COUNTIF(ED10:ED900000,"&gt;=0"),"")</f>
        <v/>
      </c>
      <c r="EE5" s="84" t="str">
        <f t="shared" ref="EE5:EO5" si="220">IFERROR(COUNTIFS(EE10:EE900000,"&gt;30",EE10:EE900000,"&lt;=60")/COUNTIF(EE10:EE900000,"&gt;=0"),"")</f>
        <v/>
      </c>
      <c r="EF5" s="84" t="str">
        <f t="shared" si="220"/>
        <v/>
      </c>
      <c r="EG5" s="84" t="str">
        <f t="shared" si="220"/>
        <v/>
      </c>
      <c r="EH5" s="84" t="str">
        <f t="shared" si="220"/>
        <v/>
      </c>
      <c r="EI5" s="84" t="str">
        <f t="shared" si="220"/>
        <v/>
      </c>
      <c r="EJ5" s="84" t="str">
        <f t="shared" si="220"/>
        <v/>
      </c>
      <c r="EK5" s="84" t="str">
        <f t="shared" si="220"/>
        <v/>
      </c>
      <c r="EL5" s="84" t="str">
        <f t="shared" si="220"/>
        <v/>
      </c>
      <c r="EM5" s="84" t="str">
        <f t="shared" si="220"/>
        <v/>
      </c>
      <c r="EN5" s="84" t="str">
        <f t="shared" si="220"/>
        <v/>
      </c>
      <c r="EO5" s="84" t="str">
        <f t="shared" si="220"/>
        <v/>
      </c>
      <c r="EP5" s="84"/>
      <c r="EQ5" s="84"/>
      <c r="ER5" s="84" t="str">
        <f t="shared" ref="ER5:FB5" si="221">IFERROR(COUNTIFS(ER10:ER900000,"&gt;30",ER10:ER900000,"&lt;=60")/COUNTIF(ER10:ER900000,"&gt;=0"),"")</f>
        <v/>
      </c>
      <c r="ES5" s="84" t="str">
        <f t="shared" si="221"/>
        <v/>
      </c>
      <c r="ET5" s="84" t="str">
        <f t="shared" si="221"/>
        <v/>
      </c>
      <c r="EU5" s="84" t="str">
        <f t="shared" si="221"/>
        <v/>
      </c>
      <c r="EV5" s="84" t="str">
        <f t="shared" si="221"/>
        <v/>
      </c>
      <c r="EW5" s="84" t="str">
        <f t="shared" si="221"/>
        <v/>
      </c>
      <c r="EX5" s="84" t="str">
        <f t="shared" si="221"/>
        <v/>
      </c>
      <c r="EY5" s="84" t="str">
        <f t="shared" si="221"/>
        <v/>
      </c>
      <c r="EZ5" s="84" t="str">
        <f t="shared" si="221"/>
        <v/>
      </c>
      <c r="FA5" s="84" t="str">
        <f t="shared" si="221"/>
        <v/>
      </c>
      <c r="FB5" s="84" t="str">
        <f t="shared" si="221"/>
        <v/>
      </c>
      <c r="FC5" s="84"/>
      <c r="FD5" s="84"/>
      <c r="FE5" s="84" t="str">
        <f t="shared" ref="FE5:FG5" si="222">IFERROR(COUNTIFS(FE10:FE900000,"&gt;30",FE10:FE900000,"&lt;=60")/COUNTIF(FE10:FE900000,"&gt;=0"),"")</f>
        <v/>
      </c>
      <c r="FF5" s="84" t="str">
        <f t="shared" si="222"/>
        <v/>
      </c>
      <c r="FG5" s="84" t="str">
        <f t="shared" si="222"/>
        <v/>
      </c>
      <c r="FH5" s="84"/>
      <c r="FI5" s="84" t="str">
        <f t="shared" ref="FI5:FJ5" si="223">IFERROR(COUNTIFS(FI10:FI900000,"&gt;30",FI10:FI900000,"&lt;=60")/COUNTIF(FI10:FI900000,"&gt;=0"),"")</f>
        <v/>
      </c>
      <c r="FJ5" s="84" t="str">
        <f t="shared" si="223"/>
        <v/>
      </c>
      <c r="FK5" s="84"/>
      <c r="FL5" s="84"/>
      <c r="FM5" s="81" t="s">
        <v>108</v>
      </c>
      <c r="FN5" s="81"/>
      <c r="FO5" s="81"/>
      <c r="FP5" s="82" t="str">
        <f>IFERROR(COUNTIFS(FP10:FP900000,"&gt;30",FP10:FP900000,"&lt;=60")/COUNTIF(FP10:FP900000,"&gt;=0"),"")</f>
        <v/>
      </c>
      <c r="FQ5" s="82" t="str">
        <f t="shared" ref="FQ5:GA5" si="224">IFERROR(COUNTIFS(FQ10:FQ900000,"&gt;30",FQ10:FQ900000,"&lt;=60")/COUNTIF(FQ10:FQ900000,"&gt;=0"),"")</f>
        <v/>
      </c>
      <c r="FR5" s="82" t="str">
        <f t="shared" si="224"/>
        <v/>
      </c>
      <c r="FS5" s="82" t="str">
        <f t="shared" si="224"/>
        <v/>
      </c>
      <c r="FT5" s="82" t="str">
        <f t="shared" si="224"/>
        <v/>
      </c>
      <c r="FU5" s="82" t="str">
        <f t="shared" si="224"/>
        <v/>
      </c>
      <c r="FV5" s="82" t="str">
        <f t="shared" si="224"/>
        <v/>
      </c>
      <c r="FW5" s="82" t="str">
        <f t="shared" si="224"/>
        <v/>
      </c>
      <c r="FX5" s="82" t="str">
        <f t="shared" si="224"/>
        <v/>
      </c>
      <c r="FY5" s="82" t="str">
        <f t="shared" si="224"/>
        <v/>
      </c>
      <c r="FZ5" s="82" t="str">
        <f t="shared" si="224"/>
        <v/>
      </c>
      <c r="GA5" s="82" t="str">
        <f t="shared" si="224"/>
        <v/>
      </c>
      <c r="GB5" s="82"/>
      <c r="GC5" s="82"/>
      <c r="GD5" s="82" t="str">
        <f t="shared" ref="GD5:GN5" si="225">IFERROR(COUNTIFS(GD10:GD900000,"&gt;30",GD10:GD900000,"&lt;=60")/COUNTIF(GD10:GD900000,"&gt;=0"),"")</f>
        <v/>
      </c>
      <c r="GE5" s="82" t="str">
        <f t="shared" si="225"/>
        <v/>
      </c>
      <c r="GF5" s="82" t="str">
        <f t="shared" si="225"/>
        <v/>
      </c>
      <c r="GG5" s="82" t="str">
        <f t="shared" si="225"/>
        <v/>
      </c>
      <c r="GH5" s="82" t="str">
        <f t="shared" si="225"/>
        <v/>
      </c>
      <c r="GI5" s="82" t="str">
        <f t="shared" si="225"/>
        <v/>
      </c>
      <c r="GJ5" s="82" t="str">
        <f t="shared" si="225"/>
        <v/>
      </c>
      <c r="GK5" s="82" t="str">
        <f t="shared" si="225"/>
        <v/>
      </c>
      <c r="GL5" s="82" t="str">
        <f t="shared" si="225"/>
        <v/>
      </c>
      <c r="GM5" s="82" t="str">
        <f t="shared" si="225"/>
        <v/>
      </c>
      <c r="GN5" s="82" t="str">
        <f t="shared" si="225"/>
        <v/>
      </c>
      <c r="GO5" s="82"/>
      <c r="GP5" s="82"/>
      <c r="GQ5" s="82" t="str">
        <f t="shared" ref="GQ5:GS5" si="226">IFERROR(COUNTIFS(GQ10:GQ900000,"&gt;30",GQ10:GQ900000,"&lt;=60")/COUNTIF(GQ10:GQ900000,"&gt;=0"),"")</f>
        <v/>
      </c>
      <c r="GR5" s="82" t="str">
        <f t="shared" si="226"/>
        <v/>
      </c>
      <c r="GS5" s="82" t="str">
        <f t="shared" si="226"/>
        <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t="str">
        <f t="shared" ref="KA5:KK5" si="236">IFERROR(COUNTIFS(KA10:KA900000,"&gt;30",KA10:KA900000,"&lt;=60")/COUNTIF(KA10:KA900000,"&gt;=0"),"")</f>
        <v/>
      </c>
      <c r="KB5" s="84" t="str">
        <f t="shared" si="236"/>
        <v/>
      </c>
      <c r="KC5" s="84" t="str">
        <f t="shared" si="236"/>
        <v/>
      </c>
      <c r="KD5" s="84" t="str">
        <f t="shared" si="236"/>
        <v/>
      </c>
      <c r="KE5" s="84" t="str">
        <f t="shared" si="236"/>
        <v/>
      </c>
      <c r="KF5" s="84" t="str">
        <f t="shared" si="236"/>
        <v/>
      </c>
      <c r="KG5" s="84" t="str">
        <f t="shared" si="236"/>
        <v/>
      </c>
      <c r="KH5" s="84" t="str">
        <f t="shared" si="236"/>
        <v/>
      </c>
      <c r="KI5" s="84" t="str">
        <f t="shared" si="236"/>
        <v/>
      </c>
      <c r="KJ5" s="84" t="str">
        <f t="shared" si="236"/>
        <v/>
      </c>
      <c r="KK5" s="84" t="str">
        <f t="shared" si="236"/>
        <v/>
      </c>
      <c r="KL5" s="84"/>
      <c r="KM5" s="84"/>
      <c r="KN5" s="84" t="str">
        <f t="shared" ref="KN5:KX5" si="237">IFERROR(COUNTIFS(KN10:KN900000,"&gt;30",KN10:KN900000,"&lt;=60")/COUNTIF(KN10:KN900000,"&gt;=0"),"")</f>
        <v/>
      </c>
      <c r="KO5" s="84" t="str">
        <f t="shared" si="237"/>
        <v/>
      </c>
      <c r="KP5" s="84" t="str">
        <f t="shared" si="237"/>
        <v/>
      </c>
      <c r="KQ5" s="84" t="str">
        <f t="shared" si="237"/>
        <v/>
      </c>
      <c r="KR5" s="84" t="str">
        <f t="shared" si="237"/>
        <v/>
      </c>
      <c r="KS5" s="84" t="str">
        <f t="shared" si="237"/>
        <v/>
      </c>
      <c r="KT5" s="84" t="str">
        <f t="shared" si="237"/>
        <v/>
      </c>
      <c r="KU5" s="84" t="str">
        <f t="shared" si="237"/>
        <v/>
      </c>
      <c r="KV5" s="84" t="str">
        <f t="shared" si="237"/>
        <v/>
      </c>
      <c r="KW5" s="84" t="str">
        <f t="shared" si="237"/>
        <v/>
      </c>
      <c r="KX5" s="84" t="str">
        <f t="shared" si="237"/>
        <v/>
      </c>
      <c r="KY5" s="84"/>
      <c r="KZ5" s="84"/>
      <c r="LA5" s="84" t="str">
        <f t="shared" ref="LA5:LC5" si="238">IFERROR(COUNTIFS(LA10:LA900000,"&gt;30",LA10:LA900000,"&lt;=60")/COUNTIF(LA10:LA900000,"&gt;=0"),"")</f>
        <v/>
      </c>
      <c r="LB5" s="84" t="str">
        <f t="shared" si="238"/>
        <v/>
      </c>
      <c r="LC5" s="84" t="str">
        <f t="shared" si="238"/>
        <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t="str">
        <f>IFERROR(COUNTIFS(UF10:UF900000,"&gt;30",UF10:UF900000,"&lt;=60")/COUNTIF(UF10:UF900000,"&gt;=0"),"")</f>
        <v/>
      </c>
      <c r="UG5" s="82" t="str">
        <f t="shared" ref="UG5:UQ5" si="264">IFERROR(COUNTIFS(UG10:UG900000,"&gt;30",UG10:UG900000,"&lt;=60")/COUNTIF(UG10:UG900000,"&gt;=0"),"")</f>
        <v/>
      </c>
      <c r="UH5" s="82" t="str">
        <f t="shared" si="264"/>
        <v/>
      </c>
      <c r="UI5" s="82" t="str">
        <f t="shared" si="264"/>
        <v/>
      </c>
      <c r="UJ5" s="82" t="str">
        <f t="shared" si="264"/>
        <v/>
      </c>
      <c r="UK5" s="82" t="str">
        <f t="shared" si="264"/>
        <v/>
      </c>
      <c r="UL5" s="82" t="str">
        <f t="shared" si="264"/>
        <v/>
      </c>
      <c r="UM5" s="82" t="str">
        <f t="shared" si="264"/>
        <v/>
      </c>
      <c r="UN5" s="82" t="str">
        <f t="shared" si="264"/>
        <v/>
      </c>
      <c r="UO5" s="82" t="str">
        <f t="shared" si="264"/>
        <v/>
      </c>
      <c r="UP5" s="82" t="str">
        <f t="shared" si="264"/>
        <v/>
      </c>
      <c r="UQ5" s="82" t="str">
        <f t="shared" si="264"/>
        <v/>
      </c>
      <c r="UR5" s="82"/>
      <c r="US5" s="82"/>
      <c r="UT5" s="82" t="str">
        <f t="shared" ref="UT5:VD5" si="265">IFERROR(COUNTIFS(UT10:UT900000,"&gt;30",UT10:UT900000,"&lt;=60")/COUNTIF(UT10:UT900000,"&gt;=0"),"")</f>
        <v/>
      </c>
      <c r="UU5" s="82" t="str">
        <f t="shared" si="265"/>
        <v/>
      </c>
      <c r="UV5" s="82" t="str">
        <f t="shared" si="265"/>
        <v/>
      </c>
      <c r="UW5" s="82" t="str">
        <f t="shared" si="265"/>
        <v/>
      </c>
      <c r="UX5" s="82" t="str">
        <f t="shared" si="265"/>
        <v/>
      </c>
      <c r="UY5" s="82" t="str">
        <f t="shared" si="265"/>
        <v/>
      </c>
      <c r="UZ5" s="82" t="str">
        <f t="shared" si="265"/>
        <v/>
      </c>
      <c r="VA5" s="82" t="str">
        <f t="shared" si="265"/>
        <v/>
      </c>
      <c r="VB5" s="82" t="str">
        <f t="shared" si="265"/>
        <v/>
      </c>
      <c r="VC5" s="82" t="str">
        <f t="shared" si="265"/>
        <v/>
      </c>
      <c r="VD5" s="82" t="str">
        <f t="shared" si="265"/>
        <v/>
      </c>
      <c r="VE5" s="82"/>
      <c r="VF5" s="82"/>
      <c r="VG5" s="82" t="str">
        <f t="shared" ref="VG5:VI5" si="266">IFERROR(COUNTIFS(VG10:VG900000,"&gt;30",VG10:VG900000,"&lt;=60")/COUNTIF(VG10:VG900000,"&gt;=0"),"")</f>
        <v/>
      </c>
      <c r="VH5" s="82" t="str">
        <f t="shared" si="266"/>
        <v/>
      </c>
      <c r="VI5" s="82" t="str">
        <f t="shared" si="266"/>
        <v/>
      </c>
      <c r="VJ5" s="82"/>
      <c r="VK5" s="82" t="str">
        <f t="shared" ref="VK5:VL5" si="267">IFERROR(COUNTIFS(VK10:VK900000,"&gt;30",VK10:VK900000,"&lt;=60")/COUNTIF(VK10:VK900000,"&gt;=0"),"")</f>
        <v/>
      </c>
      <c r="VL5" s="82" t="str">
        <f t="shared" si="267"/>
        <v/>
      </c>
      <c r="VM5" s="82"/>
      <c r="VN5" s="82"/>
      <c r="VO5" s="83" t="s">
        <v>108</v>
      </c>
      <c r="VP5" s="83"/>
      <c r="VQ5" s="83"/>
      <c r="VR5" s="84" t="str">
        <f>IFERROR(COUNTIFS(VR10:VR900000,"&gt;30",VR10:VR900000,"&lt;=60")/COUNTIF(VR10:VR900000,"&gt;=0"),"")</f>
        <v/>
      </c>
      <c r="VS5" s="84" t="str">
        <f t="shared" ref="VS5:WC5" si="268">IFERROR(COUNTIFS(VS10:VS900000,"&gt;30",VS10:VS900000,"&lt;=60")/COUNTIF(VS10:VS900000,"&gt;=0"),"")</f>
        <v/>
      </c>
      <c r="VT5" s="84" t="str">
        <f t="shared" si="268"/>
        <v/>
      </c>
      <c r="VU5" s="84" t="str">
        <f t="shared" si="268"/>
        <v/>
      </c>
      <c r="VV5" s="84" t="str">
        <f t="shared" si="268"/>
        <v/>
      </c>
      <c r="VW5" s="84" t="str">
        <f t="shared" si="268"/>
        <v/>
      </c>
      <c r="VX5" s="84" t="str">
        <f t="shared" si="268"/>
        <v/>
      </c>
      <c r="VY5" s="84" t="str">
        <f t="shared" si="268"/>
        <v/>
      </c>
      <c r="VZ5" s="84" t="str">
        <f t="shared" si="268"/>
        <v/>
      </c>
      <c r="WA5" s="84" t="str">
        <f t="shared" si="268"/>
        <v/>
      </c>
      <c r="WB5" s="84" t="str">
        <f t="shared" si="268"/>
        <v/>
      </c>
      <c r="WC5" s="84" t="str">
        <f t="shared" si="268"/>
        <v/>
      </c>
      <c r="WD5" s="84"/>
      <c r="WE5" s="84"/>
      <c r="WF5" s="84" t="str">
        <f t="shared" ref="WF5:WP5" si="269">IFERROR(COUNTIFS(WF10:WF900000,"&gt;30",WF10:WF900000,"&lt;=60")/COUNTIF(WF10:WF900000,"&gt;=0"),"")</f>
        <v/>
      </c>
      <c r="WG5" s="84" t="str">
        <f t="shared" si="269"/>
        <v/>
      </c>
      <c r="WH5" s="84" t="str">
        <f t="shared" si="269"/>
        <v/>
      </c>
      <c r="WI5" s="84" t="str">
        <f t="shared" si="269"/>
        <v/>
      </c>
      <c r="WJ5" s="84" t="str">
        <f t="shared" si="269"/>
        <v/>
      </c>
      <c r="WK5" s="84" t="str">
        <f t="shared" si="269"/>
        <v/>
      </c>
      <c r="WL5" s="84" t="str">
        <f t="shared" si="269"/>
        <v/>
      </c>
      <c r="WM5" s="84" t="str">
        <f t="shared" si="269"/>
        <v/>
      </c>
      <c r="WN5" s="84" t="str">
        <f t="shared" si="269"/>
        <v/>
      </c>
      <c r="WO5" s="84" t="str">
        <f t="shared" si="269"/>
        <v/>
      </c>
      <c r="WP5" s="84" t="str">
        <f t="shared" si="269"/>
        <v/>
      </c>
      <c r="WQ5" s="84"/>
      <c r="WR5" s="84"/>
      <c r="WS5" s="84" t="str">
        <f t="shared" ref="WS5:WU5" si="270">IFERROR(COUNTIFS(WS10:WS900000,"&gt;30",WS10:WS900000,"&lt;=60")/COUNTIF(WS10:WS900000,"&gt;=0"),"")</f>
        <v/>
      </c>
      <c r="WT5" s="84" t="str">
        <f t="shared" si="270"/>
        <v/>
      </c>
      <c r="WU5" s="84" t="str">
        <f t="shared" si="270"/>
        <v/>
      </c>
      <c r="WV5" s="84"/>
      <c r="WW5" s="84" t="str">
        <f t="shared" ref="WW5:WX5" si="271">IFERROR(COUNTIFS(WW10:WW900000,"&gt;30",WW10:WW900000,"&lt;=60")/COUNTIF(WW10:WW900000,"&gt;=0"),"")</f>
        <v/>
      </c>
      <c r="WX5" s="84" t="str">
        <f t="shared" si="271"/>
        <v/>
      </c>
      <c r="WY5" s="84"/>
      <c r="WZ5" s="84"/>
      <c r="XA5" s="81" t="s">
        <v>108</v>
      </c>
      <c r="XB5" s="81"/>
      <c r="XC5" s="81"/>
      <c r="XD5" s="82" t="str">
        <f>IFERROR(COUNTIFS(XD10:XD900000,"&gt;30",XD10:XD900000,"&lt;=60")/COUNTIF(XD10:XD900000,"&gt;=0"),"")</f>
        <v/>
      </c>
      <c r="XE5" s="82" t="str">
        <f t="shared" ref="XE5:XO5" si="272">IFERROR(COUNTIFS(XE10:XE900000,"&gt;30",XE10:XE900000,"&lt;=60")/COUNTIF(XE10:XE900000,"&gt;=0"),"")</f>
        <v/>
      </c>
      <c r="XF5" s="82" t="str">
        <f t="shared" si="272"/>
        <v/>
      </c>
      <c r="XG5" s="82" t="str">
        <f t="shared" si="272"/>
        <v/>
      </c>
      <c r="XH5" s="82" t="str">
        <f t="shared" si="272"/>
        <v/>
      </c>
      <c r="XI5" s="82" t="str">
        <f t="shared" si="272"/>
        <v/>
      </c>
      <c r="XJ5" s="82" t="str">
        <f t="shared" si="272"/>
        <v/>
      </c>
      <c r="XK5" s="82" t="str">
        <f t="shared" si="272"/>
        <v/>
      </c>
      <c r="XL5" s="82" t="str">
        <f t="shared" si="272"/>
        <v/>
      </c>
      <c r="XM5" s="82" t="str">
        <f t="shared" si="272"/>
        <v/>
      </c>
      <c r="XN5" s="82" t="str">
        <f t="shared" si="272"/>
        <v/>
      </c>
      <c r="XO5" s="82" t="str">
        <f t="shared" si="272"/>
        <v/>
      </c>
      <c r="XP5" s="82"/>
      <c r="XQ5" s="82"/>
      <c r="XR5" s="82" t="str">
        <f t="shared" ref="XR5:YB5" si="273">IFERROR(COUNTIFS(XR10:XR900000,"&gt;30",XR10:XR900000,"&lt;=60")/COUNTIF(XR10:XR900000,"&gt;=0"),"")</f>
        <v/>
      </c>
      <c r="XS5" s="82" t="str">
        <f t="shared" si="273"/>
        <v/>
      </c>
      <c r="XT5" s="82" t="str">
        <f t="shared" si="273"/>
        <v/>
      </c>
      <c r="XU5" s="82" t="str">
        <f t="shared" si="273"/>
        <v/>
      </c>
      <c r="XV5" s="82" t="str">
        <f t="shared" si="273"/>
        <v/>
      </c>
      <c r="XW5" s="82" t="str">
        <f t="shared" si="273"/>
        <v/>
      </c>
      <c r="XX5" s="82" t="str">
        <f t="shared" si="273"/>
        <v/>
      </c>
      <c r="XY5" s="82" t="str">
        <f t="shared" si="273"/>
        <v/>
      </c>
      <c r="XZ5" s="82" t="str">
        <f t="shared" si="273"/>
        <v/>
      </c>
      <c r="YA5" s="82" t="str">
        <f t="shared" si="273"/>
        <v/>
      </c>
      <c r="YB5" s="82" t="str">
        <f t="shared" si="273"/>
        <v/>
      </c>
      <c r="YC5" s="82"/>
      <c r="YD5" s="82"/>
      <c r="YE5" s="82" t="str">
        <f t="shared" ref="YE5:YG5" si="274">IFERROR(COUNTIFS(YE10:YE900000,"&gt;30",YE10:YE900000,"&lt;=60")/COUNTIF(YE10:YE900000,"&gt;=0"),"")</f>
        <v/>
      </c>
      <c r="YF5" s="82" t="str">
        <f t="shared" si="274"/>
        <v/>
      </c>
      <c r="YG5" s="82" t="str">
        <f t="shared" si="274"/>
        <v/>
      </c>
      <c r="YH5" s="82"/>
      <c r="YI5" s="82" t="str">
        <f t="shared" ref="YI5:YJ5" si="275">IFERROR(COUNTIFS(YI10:YI900000,"&gt;30",YI10:YI900000,"&lt;=60")/COUNTIF(YI10:YI900000,"&gt;=0"),"")</f>
        <v/>
      </c>
      <c r="YJ5" s="82" t="str">
        <f t="shared" si="275"/>
        <v/>
      </c>
      <c r="YK5" s="82"/>
      <c r="YL5" s="82"/>
      <c r="YM5" s="83" t="s">
        <v>108</v>
      </c>
      <c r="YN5" s="83"/>
      <c r="YO5" s="83"/>
      <c r="YP5" s="84" t="str">
        <f>IFERROR(COUNTIFS(YP10:YP900000,"&gt;30",YP10:YP900000,"&lt;=60")/COUNTIF(YP10:YP900000,"&gt;=0"),"")</f>
        <v/>
      </c>
      <c r="YQ5" s="84" t="str">
        <f t="shared" ref="YQ5:ZA5" si="276">IFERROR(COUNTIFS(YQ10:YQ900000,"&gt;30",YQ10:YQ900000,"&lt;=60")/COUNTIF(YQ10:YQ900000,"&gt;=0"),"")</f>
        <v/>
      </c>
      <c r="YR5" s="84" t="str">
        <f t="shared" si="276"/>
        <v/>
      </c>
      <c r="YS5" s="84" t="str">
        <f t="shared" si="276"/>
        <v/>
      </c>
      <c r="YT5" s="84" t="str">
        <f t="shared" si="276"/>
        <v/>
      </c>
      <c r="YU5" s="84" t="str">
        <f t="shared" si="276"/>
        <v/>
      </c>
      <c r="YV5" s="84" t="str">
        <f t="shared" si="276"/>
        <v/>
      </c>
      <c r="YW5" s="84" t="str">
        <f t="shared" si="276"/>
        <v/>
      </c>
      <c r="YX5" s="84" t="str">
        <f t="shared" si="276"/>
        <v/>
      </c>
      <c r="YY5" s="84" t="str">
        <f t="shared" si="276"/>
        <v/>
      </c>
      <c r="YZ5" s="84" t="str">
        <f t="shared" si="276"/>
        <v/>
      </c>
      <c r="ZA5" s="84" t="str">
        <f t="shared" si="276"/>
        <v/>
      </c>
      <c r="ZB5" s="84"/>
      <c r="ZC5" s="84"/>
      <c r="ZD5" s="84" t="str">
        <f t="shared" ref="ZD5:ZN5" si="277">IFERROR(COUNTIFS(ZD10:ZD900000,"&gt;30",ZD10:ZD900000,"&lt;=60")/COUNTIF(ZD10:ZD900000,"&gt;=0"),"")</f>
        <v/>
      </c>
      <c r="ZE5" s="84" t="str">
        <f t="shared" si="277"/>
        <v/>
      </c>
      <c r="ZF5" s="84" t="str">
        <f t="shared" si="277"/>
        <v/>
      </c>
      <c r="ZG5" s="84" t="str">
        <f t="shared" si="277"/>
        <v/>
      </c>
      <c r="ZH5" s="84" t="str">
        <f t="shared" si="277"/>
        <v/>
      </c>
      <c r="ZI5" s="84" t="str">
        <f t="shared" si="277"/>
        <v/>
      </c>
      <c r="ZJ5" s="84" t="str">
        <f t="shared" si="277"/>
        <v/>
      </c>
      <c r="ZK5" s="84" t="str">
        <f t="shared" si="277"/>
        <v/>
      </c>
      <c r="ZL5" s="84" t="str">
        <f t="shared" si="277"/>
        <v/>
      </c>
      <c r="ZM5" s="84" t="str">
        <f t="shared" si="277"/>
        <v/>
      </c>
      <c r="ZN5" s="84" t="str">
        <f t="shared" si="277"/>
        <v/>
      </c>
      <c r="ZO5" s="84"/>
      <c r="ZP5" s="84"/>
      <c r="ZQ5" s="84" t="str">
        <f t="shared" ref="ZQ5:ZS5" si="278">IFERROR(COUNTIFS(ZQ10:ZQ900000,"&gt;30",ZQ10:ZQ900000,"&lt;=60")/COUNTIF(ZQ10:ZQ900000,"&gt;=0"),"")</f>
        <v/>
      </c>
      <c r="ZR5" s="84" t="str">
        <f t="shared" si="278"/>
        <v/>
      </c>
      <c r="ZS5" s="84" t="str">
        <f t="shared" si="278"/>
        <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0</v>
      </c>
      <c r="M6" s="81"/>
      <c r="N6" s="81"/>
      <c r="O6" s="81"/>
      <c r="P6" s="81"/>
      <c r="Q6" s="81" t="s">
        <v>109</v>
      </c>
      <c r="R6" s="81"/>
      <c r="S6" s="81"/>
      <c r="T6" s="82" t="str">
        <f>IFERROR(COUNTIFS(T10:T900000,"&gt;=0",T10:T900000,"&lt;=30")/COUNTIF(T10:T900000,"&gt;=0"),"")</f>
        <v/>
      </c>
      <c r="U6" s="82" t="str">
        <f t="shared" ref="U6:AZ6" si="304">IFERROR(COUNTIFS(U10:U900000,"&gt;=0",U10:U900000,"&lt;=30")/COUNTIF(U10:U900000,"&gt;=0"),"")</f>
        <v/>
      </c>
      <c r="V6" s="82" t="str">
        <f t="shared" si="304"/>
        <v/>
      </c>
      <c r="W6" s="82" t="str">
        <f t="shared" si="304"/>
        <v/>
      </c>
      <c r="X6" s="82" t="str">
        <f t="shared" si="304"/>
        <v/>
      </c>
      <c r="Y6" s="82" t="str">
        <f t="shared" si="304"/>
        <v/>
      </c>
      <c r="Z6" s="82" t="str">
        <f t="shared" si="304"/>
        <v/>
      </c>
      <c r="AA6" s="82" t="str">
        <f t="shared" si="304"/>
        <v/>
      </c>
      <c r="AB6" s="82" t="str">
        <f t="shared" si="304"/>
        <v/>
      </c>
      <c r="AC6" s="82" t="str">
        <f t="shared" si="304"/>
        <v/>
      </c>
      <c r="AD6" s="82" t="str">
        <f t="shared" si="304"/>
        <v/>
      </c>
      <c r="AE6" s="82" t="str">
        <f t="shared" si="304"/>
        <v/>
      </c>
      <c r="AF6" s="82"/>
      <c r="AG6" s="82"/>
      <c r="AH6" s="82" t="str">
        <f t="shared" si="304"/>
        <v/>
      </c>
      <c r="AI6" s="82" t="str">
        <f t="shared" si="304"/>
        <v/>
      </c>
      <c r="AJ6" s="82" t="str">
        <f t="shared" si="304"/>
        <v/>
      </c>
      <c r="AK6" s="82" t="str">
        <f t="shared" si="304"/>
        <v/>
      </c>
      <c r="AL6" s="82" t="str">
        <f t="shared" si="304"/>
        <v/>
      </c>
      <c r="AM6" s="82" t="str">
        <f t="shared" si="304"/>
        <v/>
      </c>
      <c r="AN6" s="82" t="str">
        <f t="shared" si="304"/>
        <v/>
      </c>
      <c r="AO6" s="82" t="str">
        <f t="shared" si="304"/>
        <v/>
      </c>
      <c r="AP6" s="82" t="str">
        <f t="shared" si="304"/>
        <v/>
      </c>
      <c r="AQ6" s="82" t="str">
        <f t="shared" si="304"/>
        <v/>
      </c>
      <c r="AR6" s="82" t="str">
        <f t="shared" si="304"/>
        <v/>
      </c>
      <c r="AS6" s="82"/>
      <c r="AT6" s="82"/>
      <c r="AU6" s="82" t="str">
        <f t="shared" si="304"/>
        <v/>
      </c>
      <c r="AV6" s="82" t="str">
        <f t="shared" si="304"/>
        <v/>
      </c>
      <c r="AW6" s="82" t="str">
        <f t="shared" si="304"/>
        <v/>
      </c>
      <c r="AX6" s="82"/>
      <c r="AY6" s="82" t="str">
        <f t="shared" si="304"/>
        <v/>
      </c>
      <c r="AZ6" s="82" t="str">
        <f t="shared" si="304"/>
        <v/>
      </c>
      <c r="BA6" s="82"/>
      <c r="BB6" s="82"/>
      <c r="BC6" s="83" t="s">
        <v>109</v>
      </c>
      <c r="BD6" s="83"/>
      <c r="BE6" s="83"/>
      <c r="BF6" s="84" t="str">
        <f>IFERROR(COUNTIFS(BF10:BF900000,"&gt;=0",BF10:BF900000,"&lt;=30")/COUNTIF(BF10:BF900000,"&gt;=0"),"")</f>
        <v/>
      </c>
      <c r="BG6" s="84" t="str">
        <f t="shared" ref="BG6:BQ6" si="305">IFERROR(COUNTIFS(BG10:BG900000,"&gt;=0",BG10:BG900000,"&lt;=30")/COUNTIF(BG10:BG900000,"&gt;=0"),"")</f>
        <v/>
      </c>
      <c r="BH6" s="84" t="str">
        <f t="shared" si="305"/>
        <v/>
      </c>
      <c r="BI6" s="84" t="str">
        <f t="shared" si="305"/>
        <v/>
      </c>
      <c r="BJ6" s="84" t="str">
        <f t="shared" si="305"/>
        <v/>
      </c>
      <c r="BK6" s="84" t="str">
        <f t="shared" si="305"/>
        <v/>
      </c>
      <c r="BL6" s="84" t="str">
        <f t="shared" si="305"/>
        <v/>
      </c>
      <c r="BM6" s="84" t="str">
        <f t="shared" si="305"/>
        <v/>
      </c>
      <c r="BN6" s="84" t="str">
        <f t="shared" si="305"/>
        <v/>
      </c>
      <c r="BO6" s="84" t="str">
        <f t="shared" si="305"/>
        <v/>
      </c>
      <c r="BP6" s="84" t="str">
        <f t="shared" si="305"/>
        <v/>
      </c>
      <c r="BQ6" s="84" t="str">
        <f t="shared" si="305"/>
        <v/>
      </c>
      <c r="BR6" s="84"/>
      <c r="BS6" s="84"/>
      <c r="BT6" s="84" t="str">
        <f t="shared" ref="BT6:CD6" si="306">IFERROR(COUNTIFS(BT10:BT900000,"&gt;=0",BT10:BT900000,"&lt;=30")/COUNTIF(BT10:BT900000,"&gt;=0"),"")</f>
        <v/>
      </c>
      <c r="BU6" s="84" t="str">
        <f t="shared" si="306"/>
        <v/>
      </c>
      <c r="BV6" s="84" t="str">
        <f t="shared" si="306"/>
        <v/>
      </c>
      <c r="BW6" s="84" t="str">
        <f t="shared" si="306"/>
        <v/>
      </c>
      <c r="BX6" s="84" t="str">
        <f t="shared" si="306"/>
        <v/>
      </c>
      <c r="BY6" s="84" t="str">
        <f t="shared" si="306"/>
        <v/>
      </c>
      <c r="BZ6" s="84" t="str">
        <f t="shared" si="306"/>
        <v/>
      </c>
      <c r="CA6" s="84" t="str">
        <f t="shared" si="306"/>
        <v/>
      </c>
      <c r="CB6" s="84" t="str">
        <f t="shared" si="306"/>
        <v/>
      </c>
      <c r="CC6" s="84" t="str">
        <f t="shared" si="306"/>
        <v/>
      </c>
      <c r="CD6" s="84" t="str">
        <f t="shared" si="306"/>
        <v/>
      </c>
      <c r="CE6" s="84"/>
      <c r="CF6" s="84"/>
      <c r="CG6" s="84" t="str">
        <f t="shared" ref="CG6:CI6" si="307">IFERROR(COUNTIFS(CG10:CG900000,"&gt;=0",CG10:CG900000,"&lt;=30")/COUNTIF(CG10:CG900000,"&gt;=0"),"")</f>
        <v/>
      </c>
      <c r="CH6" s="84" t="str">
        <f t="shared" si="307"/>
        <v/>
      </c>
      <c r="CI6" s="84" t="str">
        <f t="shared" si="307"/>
        <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t="str">
        <f>IFERROR(COUNTIFS(ED10:ED900000,"&gt;=0",ED10:ED900000,"&lt;=30")/COUNTIF(ED10:ED900000,"&gt;=0"),"")</f>
        <v/>
      </c>
      <c r="EE6" s="84" t="str">
        <f t="shared" ref="EE6:EO6" si="313">IFERROR(COUNTIFS(EE10:EE900000,"&gt;=0",EE10:EE900000,"&lt;=30")/COUNTIF(EE10:EE900000,"&gt;=0"),"")</f>
        <v/>
      </c>
      <c r="EF6" s="84" t="str">
        <f t="shared" si="313"/>
        <v/>
      </c>
      <c r="EG6" s="84" t="str">
        <f t="shared" si="313"/>
        <v/>
      </c>
      <c r="EH6" s="84" t="str">
        <f t="shared" si="313"/>
        <v/>
      </c>
      <c r="EI6" s="84" t="str">
        <f t="shared" si="313"/>
        <v/>
      </c>
      <c r="EJ6" s="84" t="str">
        <f t="shared" si="313"/>
        <v/>
      </c>
      <c r="EK6" s="84" t="str">
        <f t="shared" si="313"/>
        <v/>
      </c>
      <c r="EL6" s="84" t="str">
        <f t="shared" si="313"/>
        <v/>
      </c>
      <c r="EM6" s="84" t="str">
        <f t="shared" si="313"/>
        <v/>
      </c>
      <c r="EN6" s="84" t="str">
        <f t="shared" si="313"/>
        <v/>
      </c>
      <c r="EO6" s="84" t="str">
        <f t="shared" si="313"/>
        <v/>
      </c>
      <c r="EP6" s="84"/>
      <c r="EQ6" s="84"/>
      <c r="ER6" s="84" t="str">
        <f t="shared" ref="ER6:FB6" si="314">IFERROR(COUNTIFS(ER10:ER900000,"&gt;=0",ER10:ER900000,"&lt;=30")/COUNTIF(ER10:ER900000,"&gt;=0"),"")</f>
        <v/>
      </c>
      <c r="ES6" s="84" t="str">
        <f t="shared" si="314"/>
        <v/>
      </c>
      <c r="ET6" s="84" t="str">
        <f t="shared" si="314"/>
        <v/>
      </c>
      <c r="EU6" s="84" t="str">
        <f t="shared" si="314"/>
        <v/>
      </c>
      <c r="EV6" s="84" t="str">
        <f t="shared" si="314"/>
        <v/>
      </c>
      <c r="EW6" s="84" t="str">
        <f t="shared" si="314"/>
        <v/>
      </c>
      <c r="EX6" s="84" t="str">
        <f t="shared" si="314"/>
        <v/>
      </c>
      <c r="EY6" s="84" t="str">
        <f t="shared" si="314"/>
        <v/>
      </c>
      <c r="EZ6" s="84" t="str">
        <f t="shared" si="314"/>
        <v/>
      </c>
      <c r="FA6" s="84" t="str">
        <f t="shared" si="314"/>
        <v/>
      </c>
      <c r="FB6" s="84" t="str">
        <f t="shared" si="314"/>
        <v/>
      </c>
      <c r="FC6" s="84"/>
      <c r="FD6" s="84"/>
      <c r="FE6" s="84" t="str">
        <f t="shared" ref="FE6:FG6" si="315">IFERROR(COUNTIFS(FE10:FE900000,"&gt;=0",FE10:FE900000,"&lt;=30")/COUNTIF(FE10:FE900000,"&gt;=0"),"")</f>
        <v/>
      </c>
      <c r="FF6" s="84" t="str">
        <f t="shared" si="315"/>
        <v/>
      </c>
      <c r="FG6" s="84" t="str">
        <f t="shared" si="315"/>
        <v/>
      </c>
      <c r="FH6" s="84"/>
      <c r="FI6" s="84" t="str">
        <f t="shared" ref="FI6:FJ6" si="316">IFERROR(COUNTIFS(FI10:FI900000,"&gt;=0",FI10:FI900000,"&lt;=30")/COUNTIF(FI10:FI900000,"&gt;=0"),"")</f>
        <v/>
      </c>
      <c r="FJ6" s="84" t="str">
        <f t="shared" si="316"/>
        <v/>
      </c>
      <c r="FK6" s="84"/>
      <c r="FL6" s="84"/>
      <c r="FM6" s="81" t="s">
        <v>109</v>
      </c>
      <c r="FN6" s="81"/>
      <c r="FO6" s="81"/>
      <c r="FP6" s="82" t="str">
        <f>IFERROR(COUNTIFS(FP10:FP900000,"&gt;=0",FP10:FP900000,"&lt;=30")/COUNTIF(FP10:FP900000,"&gt;=0"),"")</f>
        <v/>
      </c>
      <c r="FQ6" s="82" t="str">
        <f t="shared" ref="FQ6:GA6" si="317">IFERROR(COUNTIFS(FQ10:FQ900000,"&gt;=0",FQ10:FQ900000,"&lt;=30")/COUNTIF(FQ10:FQ900000,"&gt;=0"),"")</f>
        <v/>
      </c>
      <c r="FR6" s="82" t="str">
        <f t="shared" si="317"/>
        <v/>
      </c>
      <c r="FS6" s="82" t="str">
        <f t="shared" si="317"/>
        <v/>
      </c>
      <c r="FT6" s="82" t="str">
        <f t="shared" si="317"/>
        <v/>
      </c>
      <c r="FU6" s="82" t="str">
        <f t="shared" si="317"/>
        <v/>
      </c>
      <c r="FV6" s="82" t="str">
        <f t="shared" si="317"/>
        <v/>
      </c>
      <c r="FW6" s="82" t="str">
        <f t="shared" si="317"/>
        <v/>
      </c>
      <c r="FX6" s="82" t="str">
        <f t="shared" si="317"/>
        <v/>
      </c>
      <c r="FY6" s="82" t="str">
        <f t="shared" si="317"/>
        <v/>
      </c>
      <c r="FZ6" s="82" t="str">
        <f t="shared" si="317"/>
        <v/>
      </c>
      <c r="GA6" s="82" t="str">
        <f t="shared" si="317"/>
        <v/>
      </c>
      <c r="GB6" s="82"/>
      <c r="GC6" s="82"/>
      <c r="GD6" s="82" t="str">
        <f t="shared" ref="GD6:GN6" si="318">IFERROR(COUNTIFS(GD10:GD900000,"&gt;=0",GD10:GD900000,"&lt;=30")/COUNTIF(GD10:GD900000,"&gt;=0"),"")</f>
        <v/>
      </c>
      <c r="GE6" s="82" t="str">
        <f t="shared" si="318"/>
        <v/>
      </c>
      <c r="GF6" s="82" t="str">
        <f t="shared" si="318"/>
        <v/>
      </c>
      <c r="GG6" s="82" t="str">
        <f t="shared" si="318"/>
        <v/>
      </c>
      <c r="GH6" s="82" t="str">
        <f t="shared" si="318"/>
        <v/>
      </c>
      <c r="GI6" s="82" t="str">
        <f t="shared" si="318"/>
        <v/>
      </c>
      <c r="GJ6" s="82" t="str">
        <f t="shared" si="318"/>
        <v/>
      </c>
      <c r="GK6" s="82" t="str">
        <f t="shared" si="318"/>
        <v/>
      </c>
      <c r="GL6" s="82" t="str">
        <f t="shared" si="318"/>
        <v/>
      </c>
      <c r="GM6" s="82" t="str">
        <f t="shared" si="318"/>
        <v/>
      </c>
      <c r="GN6" s="82" t="str">
        <f t="shared" si="318"/>
        <v/>
      </c>
      <c r="GO6" s="82"/>
      <c r="GP6" s="82"/>
      <c r="GQ6" s="82" t="str">
        <f t="shared" ref="GQ6:GS6" si="319">IFERROR(COUNTIFS(GQ10:GQ900000,"&gt;=0",GQ10:GQ900000,"&lt;=30")/COUNTIF(GQ10:GQ900000,"&gt;=0"),"")</f>
        <v/>
      </c>
      <c r="GR6" s="82" t="str">
        <f t="shared" si="319"/>
        <v/>
      </c>
      <c r="GS6" s="82" t="str">
        <f t="shared" si="319"/>
        <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t="str">
        <f t="shared" ref="KA6:KK6" si="329">IFERROR(COUNTIFS(KA10:KA900000,"&gt;=0",KA10:KA900000,"&lt;=30")/COUNTIF(KA10:KA900000,"&gt;=0"),"")</f>
        <v/>
      </c>
      <c r="KB6" s="84" t="str">
        <f t="shared" si="329"/>
        <v/>
      </c>
      <c r="KC6" s="84" t="str">
        <f t="shared" si="329"/>
        <v/>
      </c>
      <c r="KD6" s="84" t="str">
        <f t="shared" si="329"/>
        <v/>
      </c>
      <c r="KE6" s="84" t="str">
        <f t="shared" si="329"/>
        <v/>
      </c>
      <c r="KF6" s="84" t="str">
        <f t="shared" si="329"/>
        <v/>
      </c>
      <c r="KG6" s="84" t="str">
        <f t="shared" si="329"/>
        <v/>
      </c>
      <c r="KH6" s="84" t="str">
        <f t="shared" si="329"/>
        <v/>
      </c>
      <c r="KI6" s="84" t="str">
        <f t="shared" si="329"/>
        <v/>
      </c>
      <c r="KJ6" s="84" t="str">
        <f t="shared" si="329"/>
        <v/>
      </c>
      <c r="KK6" s="84" t="str">
        <f t="shared" si="329"/>
        <v/>
      </c>
      <c r="KL6" s="84"/>
      <c r="KM6" s="84"/>
      <c r="KN6" s="84" t="str">
        <f t="shared" ref="KN6:KX6" si="330">IFERROR(COUNTIFS(KN10:KN900000,"&gt;=0",KN10:KN900000,"&lt;=30")/COUNTIF(KN10:KN900000,"&gt;=0"),"")</f>
        <v/>
      </c>
      <c r="KO6" s="84" t="str">
        <f t="shared" si="330"/>
        <v/>
      </c>
      <c r="KP6" s="84" t="str">
        <f t="shared" si="330"/>
        <v/>
      </c>
      <c r="KQ6" s="84" t="str">
        <f t="shared" si="330"/>
        <v/>
      </c>
      <c r="KR6" s="84" t="str">
        <f t="shared" si="330"/>
        <v/>
      </c>
      <c r="KS6" s="84" t="str">
        <f t="shared" si="330"/>
        <v/>
      </c>
      <c r="KT6" s="84" t="str">
        <f t="shared" si="330"/>
        <v/>
      </c>
      <c r="KU6" s="84" t="str">
        <f t="shared" si="330"/>
        <v/>
      </c>
      <c r="KV6" s="84" t="str">
        <f t="shared" si="330"/>
        <v/>
      </c>
      <c r="KW6" s="84" t="str">
        <f t="shared" si="330"/>
        <v/>
      </c>
      <c r="KX6" s="84" t="str">
        <f t="shared" si="330"/>
        <v/>
      </c>
      <c r="KY6" s="84"/>
      <c r="KZ6" s="84"/>
      <c r="LA6" s="84" t="str">
        <f t="shared" ref="LA6:LC6" si="331">IFERROR(COUNTIFS(LA10:LA900000,"&gt;=0",LA10:LA900000,"&lt;=30")/COUNTIF(LA10:LA900000,"&gt;=0"),"")</f>
        <v/>
      </c>
      <c r="LB6" s="84" t="str">
        <f t="shared" si="331"/>
        <v/>
      </c>
      <c r="LC6" s="84" t="str">
        <f t="shared" si="331"/>
        <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t="str">
        <f>IFERROR(COUNTIFS(UF10:UF900000,"&gt;=0",UF10:UF900000,"&lt;=30")/COUNTIF(UF10:UF900000,"&gt;=0"),"")</f>
        <v/>
      </c>
      <c r="UG6" s="82" t="str">
        <f t="shared" ref="UG6:UQ6" si="357">IFERROR(COUNTIFS(UG10:UG900000,"&gt;=0",UG10:UG900000,"&lt;=30")/COUNTIF(UG10:UG900000,"&gt;=0"),"")</f>
        <v/>
      </c>
      <c r="UH6" s="82" t="str">
        <f t="shared" si="357"/>
        <v/>
      </c>
      <c r="UI6" s="82" t="str">
        <f t="shared" si="357"/>
        <v/>
      </c>
      <c r="UJ6" s="82" t="str">
        <f t="shared" si="357"/>
        <v/>
      </c>
      <c r="UK6" s="82" t="str">
        <f t="shared" si="357"/>
        <v/>
      </c>
      <c r="UL6" s="82" t="str">
        <f t="shared" si="357"/>
        <v/>
      </c>
      <c r="UM6" s="82" t="str">
        <f t="shared" si="357"/>
        <v/>
      </c>
      <c r="UN6" s="82" t="str">
        <f t="shared" si="357"/>
        <v/>
      </c>
      <c r="UO6" s="82" t="str">
        <f t="shared" si="357"/>
        <v/>
      </c>
      <c r="UP6" s="82" t="str">
        <f t="shared" si="357"/>
        <v/>
      </c>
      <c r="UQ6" s="82" t="str">
        <f t="shared" si="357"/>
        <v/>
      </c>
      <c r="UR6" s="82"/>
      <c r="US6" s="82"/>
      <c r="UT6" s="82" t="str">
        <f t="shared" ref="UT6:VD6" si="358">IFERROR(COUNTIFS(UT10:UT900000,"&gt;=0",UT10:UT900000,"&lt;=30")/COUNTIF(UT10:UT900000,"&gt;=0"),"")</f>
        <v/>
      </c>
      <c r="UU6" s="82" t="str">
        <f t="shared" si="358"/>
        <v/>
      </c>
      <c r="UV6" s="82" t="str">
        <f t="shared" si="358"/>
        <v/>
      </c>
      <c r="UW6" s="82" t="str">
        <f t="shared" si="358"/>
        <v/>
      </c>
      <c r="UX6" s="82" t="str">
        <f t="shared" si="358"/>
        <v/>
      </c>
      <c r="UY6" s="82" t="str">
        <f t="shared" si="358"/>
        <v/>
      </c>
      <c r="UZ6" s="82" t="str">
        <f t="shared" si="358"/>
        <v/>
      </c>
      <c r="VA6" s="82" t="str">
        <f t="shared" si="358"/>
        <v/>
      </c>
      <c r="VB6" s="82" t="str">
        <f t="shared" si="358"/>
        <v/>
      </c>
      <c r="VC6" s="82" t="str">
        <f t="shared" si="358"/>
        <v/>
      </c>
      <c r="VD6" s="82" t="str">
        <f t="shared" si="358"/>
        <v/>
      </c>
      <c r="VE6" s="82"/>
      <c r="VF6" s="82"/>
      <c r="VG6" s="82" t="str">
        <f t="shared" ref="VG6:VI6" si="359">IFERROR(COUNTIFS(VG10:VG900000,"&gt;=0",VG10:VG900000,"&lt;=30")/COUNTIF(VG10:VG900000,"&gt;=0"),"")</f>
        <v/>
      </c>
      <c r="VH6" s="82" t="str">
        <f t="shared" si="359"/>
        <v/>
      </c>
      <c r="VI6" s="82" t="str">
        <f t="shared" si="359"/>
        <v/>
      </c>
      <c r="VJ6" s="82"/>
      <c r="VK6" s="82" t="str">
        <f t="shared" ref="VK6:VL6" si="360">IFERROR(COUNTIFS(VK10:VK900000,"&gt;=0",VK10:VK900000,"&lt;=30")/COUNTIF(VK10:VK900000,"&gt;=0"),"")</f>
        <v/>
      </c>
      <c r="VL6" s="82" t="str">
        <f t="shared" si="360"/>
        <v/>
      </c>
      <c r="VM6" s="82"/>
      <c r="VN6" s="82"/>
      <c r="VO6" s="83" t="s">
        <v>109</v>
      </c>
      <c r="VP6" s="83"/>
      <c r="VQ6" s="83"/>
      <c r="VR6" s="84" t="str">
        <f>IFERROR(COUNTIFS(VR10:VR900000,"&gt;=0",VR10:VR900000,"&lt;=30")/COUNTIF(VR10:VR900000,"&gt;=0"),"")</f>
        <v/>
      </c>
      <c r="VS6" s="84" t="str">
        <f t="shared" ref="VS6:WC6" si="361">IFERROR(COUNTIFS(VS10:VS900000,"&gt;=0",VS10:VS900000,"&lt;=30")/COUNTIF(VS10:VS900000,"&gt;=0"),"")</f>
        <v/>
      </c>
      <c r="VT6" s="84" t="str">
        <f t="shared" si="361"/>
        <v/>
      </c>
      <c r="VU6" s="84" t="str">
        <f t="shared" si="361"/>
        <v/>
      </c>
      <c r="VV6" s="84" t="str">
        <f t="shared" si="361"/>
        <v/>
      </c>
      <c r="VW6" s="84" t="str">
        <f t="shared" si="361"/>
        <v/>
      </c>
      <c r="VX6" s="84" t="str">
        <f t="shared" si="361"/>
        <v/>
      </c>
      <c r="VY6" s="84" t="str">
        <f t="shared" si="361"/>
        <v/>
      </c>
      <c r="VZ6" s="84" t="str">
        <f t="shared" si="361"/>
        <v/>
      </c>
      <c r="WA6" s="84" t="str">
        <f t="shared" si="361"/>
        <v/>
      </c>
      <c r="WB6" s="84" t="str">
        <f t="shared" si="361"/>
        <v/>
      </c>
      <c r="WC6" s="84" t="str">
        <f t="shared" si="361"/>
        <v/>
      </c>
      <c r="WD6" s="84"/>
      <c r="WE6" s="84"/>
      <c r="WF6" s="84" t="str">
        <f t="shared" ref="WF6:WP6" si="362">IFERROR(COUNTIFS(WF10:WF900000,"&gt;=0",WF10:WF900000,"&lt;=30")/COUNTIF(WF10:WF900000,"&gt;=0"),"")</f>
        <v/>
      </c>
      <c r="WG6" s="84" t="str">
        <f t="shared" si="362"/>
        <v/>
      </c>
      <c r="WH6" s="84" t="str">
        <f t="shared" si="362"/>
        <v/>
      </c>
      <c r="WI6" s="84" t="str">
        <f t="shared" si="362"/>
        <v/>
      </c>
      <c r="WJ6" s="84" t="str">
        <f t="shared" si="362"/>
        <v/>
      </c>
      <c r="WK6" s="84" t="str">
        <f t="shared" si="362"/>
        <v/>
      </c>
      <c r="WL6" s="84" t="str">
        <f t="shared" si="362"/>
        <v/>
      </c>
      <c r="WM6" s="84" t="str">
        <f t="shared" si="362"/>
        <v/>
      </c>
      <c r="WN6" s="84" t="str">
        <f t="shared" si="362"/>
        <v/>
      </c>
      <c r="WO6" s="84" t="str">
        <f t="shared" si="362"/>
        <v/>
      </c>
      <c r="WP6" s="84" t="str">
        <f t="shared" si="362"/>
        <v/>
      </c>
      <c r="WQ6" s="84"/>
      <c r="WR6" s="84"/>
      <c r="WS6" s="84" t="str">
        <f t="shared" ref="WS6:WU6" si="363">IFERROR(COUNTIFS(WS10:WS900000,"&gt;=0",WS10:WS900000,"&lt;=30")/COUNTIF(WS10:WS900000,"&gt;=0"),"")</f>
        <v/>
      </c>
      <c r="WT6" s="84" t="str">
        <f t="shared" si="363"/>
        <v/>
      </c>
      <c r="WU6" s="84" t="str">
        <f t="shared" si="363"/>
        <v/>
      </c>
      <c r="WV6" s="84"/>
      <c r="WW6" s="84" t="str">
        <f t="shared" ref="WW6:WX6" si="364">IFERROR(COUNTIFS(WW10:WW900000,"&gt;=0",WW10:WW900000,"&lt;=30")/COUNTIF(WW10:WW900000,"&gt;=0"),"")</f>
        <v/>
      </c>
      <c r="WX6" s="84" t="str">
        <f t="shared" si="364"/>
        <v/>
      </c>
      <c r="WY6" s="84"/>
      <c r="WZ6" s="84"/>
      <c r="XA6" s="81" t="s">
        <v>109</v>
      </c>
      <c r="XB6" s="81"/>
      <c r="XC6" s="81"/>
      <c r="XD6" s="82" t="str">
        <f>IFERROR(COUNTIFS(XD10:XD900000,"&gt;=0",XD10:XD900000,"&lt;=30")/COUNTIF(XD10:XD900000,"&gt;=0"),"")</f>
        <v/>
      </c>
      <c r="XE6" s="82" t="str">
        <f t="shared" ref="XE6:XO6" si="365">IFERROR(COUNTIFS(XE10:XE900000,"&gt;=0",XE10:XE900000,"&lt;=30")/COUNTIF(XE10:XE900000,"&gt;=0"),"")</f>
        <v/>
      </c>
      <c r="XF6" s="82" t="str">
        <f t="shared" si="365"/>
        <v/>
      </c>
      <c r="XG6" s="82" t="str">
        <f t="shared" si="365"/>
        <v/>
      </c>
      <c r="XH6" s="82" t="str">
        <f t="shared" si="365"/>
        <v/>
      </c>
      <c r="XI6" s="82" t="str">
        <f t="shared" si="365"/>
        <v/>
      </c>
      <c r="XJ6" s="82" t="str">
        <f t="shared" si="365"/>
        <v/>
      </c>
      <c r="XK6" s="82" t="str">
        <f t="shared" si="365"/>
        <v/>
      </c>
      <c r="XL6" s="82" t="str">
        <f t="shared" si="365"/>
        <v/>
      </c>
      <c r="XM6" s="82" t="str">
        <f t="shared" si="365"/>
        <v/>
      </c>
      <c r="XN6" s="82" t="str">
        <f t="shared" si="365"/>
        <v/>
      </c>
      <c r="XO6" s="82" t="str">
        <f t="shared" si="365"/>
        <v/>
      </c>
      <c r="XP6" s="82"/>
      <c r="XQ6" s="82"/>
      <c r="XR6" s="82" t="str">
        <f t="shared" ref="XR6:YB6" si="366">IFERROR(COUNTIFS(XR10:XR900000,"&gt;=0",XR10:XR900000,"&lt;=30")/COUNTIF(XR10:XR900000,"&gt;=0"),"")</f>
        <v/>
      </c>
      <c r="XS6" s="82" t="str">
        <f t="shared" si="366"/>
        <v/>
      </c>
      <c r="XT6" s="82" t="str">
        <f t="shared" si="366"/>
        <v/>
      </c>
      <c r="XU6" s="82" t="str">
        <f t="shared" si="366"/>
        <v/>
      </c>
      <c r="XV6" s="82" t="str">
        <f t="shared" si="366"/>
        <v/>
      </c>
      <c r="XW6" s="82" t="str">
        <f t="shared" si="366"/>
        <v/>
      </c>
      <c r="XX6" s="82" t="str">
        <f t="shared" si="366"/>
        <v/>
      </c>
      <c r="XY6" s="82" t="str">
        <f t="shared" si="366"/>
        <v/>
      </c>
      <c r="XZ6" s="82" t="str">
        <f t="shared" si="366"/>
        <v/>
      </c>
      <c r="YA6" s="82" t="str">
        <f t="shared" si="366"/>
        <v/>
      </c>
      <c r="YB6" s="82" t="str">
        <f t="shared" si="366"/>
        <v/>
      </c>
      <c r="YC6" s="82"/>
      <c r="YD6" s="82"/>
      <c r="YE6" s="82" t="str">
        <f t="shared" ref="YE6:YG6" si="367">IFERROR(COUNTIFS(YE10:YE900000,"&gt;=0",YE10:YE900000,"&lt;=30")/COUNTIF(YE10:YE900000,"&gt;=0"),"")</f>
        <v/>
      </c>
      <c r="YF6" s="82" t="str">
        <f t="shared" si="367"/>
        <v/>
      </c>
      <c r="YG6" s="82" t="str">
        <f t="shared" si="367"/>
        <v/>
      </c>
      <c r="YH6" s="82"/>
      <c r="YI6" s="82" t="str">
        <f t="shared" ref="YI6:YJ6" si="368">IFERROR(COUNTIFS(YI10:YI900000,"&gt;=0",YI10:YI900000,"&lt;=30")/COUNTIF(YI10:YI900000,"&gt;=0"),"")</f>
        <v/>
      </c>
      <c r="YJ6" s="82" t="str">
        <f t="shared" si="368"/>
        <v/>
      </c>
      <c r="YK6" s="82"/>
      <c r="YL6" s="82"/>
      <c r="YM6" s="83" t="s">
        <v>109</v>
      </c>
      <c r="YN6" s="83"/>
      <c r="YO6" s="83"/>
      <c r="YP6" s="84" t="str">
        <f>IFERROR(COUNTIFS(YP10:YP900000,"&gt;=0",YP10:YP900000,"&lt;=30")/COUNTIF(YP10:YP900000,"&gt;=0"),"")</f>
        <v/>
      </c>
      <c r="YQ6" s="84" t="str">
        <f t="shared" ref="YQ6:ZA6" si="369">IFERROR(COUNTIFS(YQ10:YQ900000,"&gt;=0",YQ10:YQ900000,"&lt;=30")/COUNTIF(YQ10:YQ900000,"&gt;=0"),"")</f>
        <v/>
      </c>
      <c r="YR6" s="84" t="str">
        <f t="shared" si="369"/>
        <v/>
      </c>
      <c r="YS6" s="84" t="str">
        <f t="shared" si="369"/>
        <v/>
      </c>
      <c r="YT6" s="84" t="str">
        <f t="shared" si="369"/>
        <v/>
      </c>
      <c r="YU6" s="84" t="str">
        <f t="shared" si="369"/>
        <v/>
      </c>
      <c r="YV6" s="84" t="str">
        <f t="shared" si="369"/>
        <v/>
      </c>
      <c r="YW6" s="84" t="str">
        <f t="shared" si="369"/>
        <v/>
      </c>
      <c r="YX6" s="84" t="str">
        <f t="shared" si="369"/>
        <v/>
      </c>
      <c r="YY6" s="84" t="str">
        <f t="shared" si="369"/>
        <v/>
      </c>
      <c r="YZ6" s="84" t="str">
        <f t="shared" si="369"/>
        <v/>
      </c>
      <c r="ZA6" s="84" t="str">
        <f t="shared" si="369"/>
        <v/>
      </c>
      <c r="ZB6" s="84"/>
      <c r="ZC6" s="84"/>
      <c r="ZD6" s="84" t="str">
        <f t="shared" ref="ZD6:ZN6" si="370">IFERROR(COUNTIFS(ZD10:ZD900000,"&gt;=0",ZD10:ZD900000,"&lt;=30")/COUNTIF(ZD10:ZD900000,"&gt;=0"),"")</f>
        <v/>
      </c>
      <c r="ZE6" s="84" t="str">
        <f t="shared" si="370"/>
        <v/>
      </c>
      <c r="ZF6" s="84" t="str">
        <f t="shared" si="370"/>
        <v/>
      </c>
      <c r="ZG6" s="84" t="str">
        <f t="shared" si="370"/>
        <v/>
      </c>
      <c r="ZH6" s="84" t="str">
        <f t="shared" si="370"/>
        <v/>
      </c>
      <c r="ZI6" s="84" t="str">
        <f t="shared" si="370"/>
        <v/>
      </c>
      <c r="ZJ6" s="84" t="str">
        <f t="shared" si="370"/>
        <v/>
      </c>
      <c r="ZK6" s="84" t="str">
        <f t="shared" si="370"/>
        <v/>
      </c>
      <c r="ZL6" s="84" t="str">
        <f t="shared" si="370"/>
        <v/>
      </c>
      <c r="ZM6" s="84" t="str">
        <f t="shared" si="370"/>
        <v/>
      </c>
      <c r="ZN6" s="84" t="str">
        <f t="shared" si="370"/>
        <v/>
      </c>
      <c r="ZO6" s="84"/>
      <c r="ZP6" s="84"/>
      <c r="ZQ6" s="84" t="str">
        <f t="shared" ref="ZQ6:ZS6" si="371">IFERROR(COUNTIFS(ZQ10:ZQ900000,"&gt;=0",ZQ10:ZQ900000,"&lt;=30")/COUNTIF(ZQ10:ZQ900000,"&gt;=0"),"")</f>
        <v/>
      </c>
      <c r="ZR6" s="84" t="str">
        <f t="shared" si="371"/>
        <v/>
      </c>
      <c r="ZS6" s="84" t="str">
        <f t="shared" si="371"/>
        <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x14ac:dyDescent="0.25">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x14ac:dyDescent="0.3">
      <c r="A9" s="44"/>
      <c r="B9" s="45"/>
      <c r="C9" s="44"/>
      <c r="D9" s="44"/>
      <c r="E9" s="114"/>
      <c r="F9" s="46"/>
      <c r="G9" s="46"/>
      <c r="H9" s="85" t="s">
        <v>2</v>
      </c>
      <c r="I9" s="85" t="s">
        <v>3</v>
      </c>
      <c r="J9" s="85" t="s">
        <v>1</v>
      </c>
      <c r="K9" s="46"/>
      <c r="L9" s="114"/>
      <c r="M9" s="114"/>
      <c r="N9" s="114"/>
      <c r="O9" s="114"/>
      <c r="P9" s="47"/>
      <c r="Q9" s="102"/>
      <c r="R9" s="102"/>
      <c r="S9" s="102"/>
      <c r="T9" s="110"/>
      <c r="U9" s="86" t="s">
        <v>4</v>
      </c>
      <c r="V9" s="86" t="s">
        <v>4</v>
      </c>
      <c r="W9" s="86" t="s">
        <v>4</v>
      </c>
      <c r="X9" s="86" t="s">
        <v>4</v>
      </c>
      <c r="Y9" s="86" t="s">
        <v>4</v>
      </c>
      <c r="Z9" s="86" t="s">
        <v>4</v>
      </c>
      <c r="AA9" s="86" t="s">
        <v>6</v>
      </c>
      <c r="AB9" s="86" t="s">
        <v>5</v>
      </c>
      <c r="AC9" s="113"/>
      <c r="AD9" s="87" t="s">
        <v>20</v>
      </c>
      <c r="AE9" s="87" t="s">
        <v>21</v>
      </c>
      <c r="AF9" s="106"/>
      <c r="AG9" s="108"/>
      <c r="AH9" s="86" t="s">
        <v>4</v>
      </c>
      <c r="AI9" s="86" t="s">
        <v>4</v>
      </c>
      <c r="AJ9" s="86" t="s">
        <v>4</v>
      </c>
      <c r="AK9" s="86" t="s">
        <v>4</v>
      </c>
      <c r="AL9" s="86" t="s">
        <v>4</v>
      </c>
      <c r="AM9" s="86" t="s">
        <v>4</v>
      </c>
      <c r="AN9" s="86" t="s">
        <v>6</v>
      </c>
      <c r="AO9" s="86" t="s">
        <v>5</v>
      </c>
      <c r="AP9" s="110"/>
      <c r="AQ9" s="87" t="s">
        <v>22</v>
      </c>
      <c r="AR9" s="87" t="s">
        <v>23</v>
      </c>
      <c r="AS9" s="106"/>
      <c r="AT9" s="108"/>
      <c r="AU9" s="102"/>
      <c r="AV9" s="102"/>
      <c r="AW9" s="88" t="s">
        <v>31</v>
      </c>
      <c r="AX9" s="88" t="s">
        <v>32</v>
      </c>
      <c r="AY9" s="104"/>
      <c r="AZ9" s="104"/>
      <c r="BA9" s="106"/>
      <c r="BB9" s="108"/>
      <c r="BC9" s="102"/>
      <c r="BD9" s="102"/>
      <c r="BE9" s="102"/>
      <c r="BF9" s="110"/>
      <c r="BG9" s="86" t="s">
        <v>4</v>
      </c>
      <c r="BH9" s="86" t="s">
        <v>4</v>
      </c>
      <c r="BI9" s="86" t="s">
        <v>4</v>
      </c>
      <c r="BJ9" s="86" t="s">
        <v>4</v>
      </c>
      <c r="BK9" s="86" t="s">
        <v>4</v>
      </c>
      <c r="BL9" s="86" t="s">
        <v>4</v>
      </c>
      <c r="BM9" s="86" t="s">
        <v>6</v>
      </c>
      <c r="BN9" s="86" t="s">
        <v>5</v>
      </c>
      <c r="BO9" s="113"/>
      <c r="BP9" s="87" t="s">
        <v>20</v>
      </c>
      <c r="BQ9" s="87" t="s">
        <v>21</v>
      </c>
      <c r="BR9" s="106"/>
      <c r="BS9" s="108"/>
      <c r="BT9" s="86" t="s">
        <v>4</v>
      </c>
      <c r="BU9" s="86" t="s">
        <v>4</v>
      </c>
      <c r="BV9" s="86" t="s">
        <v>4</v>
      </c>
      <c r="BW9" s="86" t="s">
        <v>4</v>
      </c>
      <c r="BX9" s="86" t="s">
        <v>4</v>
      </c>
      <c r="BY9" s="86" t="s">
        <v>4</v>
      </c>
      <c r="BZ9" s="86" t="s">
        <v>6</v>
      </c>
      <c r="CA9" s="86" t="s">
        <v>5</v>
      </c>
      <c r="CB9" s="110"/>
      <c r="CC9" s="87" t="s">
        <v>22</v>
      </c>
      <c r="CD9" s="87" t="s">
        <v>23</v>
      </c>
      <c r="CE9" s="106"/>
      <c r="CF9" s="108"/>
      <c r="CG9" s="102"/>
      <c r="CH9" s="102"/>
      <c r="CI9" s="88" t="s">
        <v>31</v>
      </c>
      <c r="CJ9" s="88" t="s">
        <v>32</v>
      </c>
      <c r="CK9" s="104"/>
      <c r="CL9" s="104"/>
      <c r="CM9" s="106"/>
      <c r="CN9" s="108"/>
      <c r="CO9" s="102"/>
      <c r="CP9" s="102"/>
      <c r="CQ9" s="102"/>
      <c r="CR9" s="110"/>
      <c r="CS9" s="86" t="s">
        <v>4</v>
      </c>
      <c r="CT9" s="86" t="s">
        <v>4</v>
      </c>
      <c r="CU9" s="86" t="s">
        <v>4</v>
      </c>
      <c r="CV9" s="86" t="s">
        <v>4</v>
      </c>
      <c r="CW9" s="86" t="s">
        <v>4</v>
      </c>
      <c r="CX9" s="86" t="s">
        <v>4</v>
      </c>
      <c r="CY9" s="86" t="s">
        <v>6</v>
      </c>
      <c r="CZ9" s="86" t="s">
        <v>5</v>
      </c>
      <c r="DA9" s="113"/>
      <c r="DB9" s="87" t="s">
        <v>20</v>
      </c>
      <c r="DC9" s="87" t="s">
        <v>21</v>
      </c>
      <c r="DD9" s="106"/>
      <c r="DE9" s="108"/>
      <c r="DF9" s="86" t="s">
        <v>4</v>
      </c>
      <c r="DG9" s="86" t="s">
        <v>4</v>
      </c>
      <c r="DH9" s="86" t="s">
        <v>4</v>
      </c>
      <c r="DI9" s="86" t="s">
        <v>4</v>
      </c>
      <c r="DJ9" s="86" t="s">
        <v>4</v>
      </c>
      <c r="DK9" s="86" t="s">
        <v>4</v>
      </c>
      <c r="DL9" s="86" t="s">
        <v>6</v>
      </c>
      <c r="DM9" s="86" t="s">
        <v>5</v>
      </c>
      <c r="DN9" s="110"/>
      <c r="DO9" s="87" t="s">
        <v>22</v>
      </c>
      <c r="DP9" s="87" t="s">
        <v>23</v>
      </c>
      <c r="DQ9" s="106"/>
      <c r="DR9" s="108"/>
      <c r="DS9" s="102"/>
      <c r="DT9" s="102"/>
      <c r="DU9" s="88" t="s">
        <v>31</v>
      </c>
      <c r="DV9" s="88" t="s">
        <v>32</v>
      </c>
      <c r="DW9" s="104"/>
      <c r="DX9" s="104"/>
      <c r="DY9" s="106"/>
      <c r="DZ9" s="108"/>
      <c r="EA9" s="102"/>
      <c r="EB9" s="102"/>
      <c r="EC9" s="102"/>
      <c r="ED9" s="110"/>
      <c r="EE9" s="86" t="s">
        <v>4</v>
      </c>
      <c r="EF9" s="86" t="s">
        <v>4</v>
      </c>
      <c r="EG9" s="86" t="s">
        <v>4</v>
      </c>
      <c r="EH9" s="86" t="s">
        <v>4</v>
      </c>
      <c r="EI9" s="86" t="s">
        <v>4</v>
      </c>
      <c r="EJ9" s="86" t="s">
        <v>4</v>
      </c>
      <c r="EK9" s="86" t="s">
        <v>6</v>
      </c>
      <c r="EL9" s="86" t="s">
        <v>5</v>
      </c>
      <c r="EM9" s="113"/>
      <c r="EN9" s="87" t="s">
        <v>20</v>
      </c>
      <c r="EO9" s="87" t="s">
        <v>21</v>
      </c>
      <c r="EP9" s="106"/>
      <c r="EQ9" s="108"/>
      <c r="ER9" s="86" t="s">
        <v>4</v>
      </c>
      <c r="ES9" s="86" t="s">
        <v>4</v>
      </c>
      <c r="ET9" s="86" t="s">
        <v>4</v>
      </c>
      <c r="EU9" s="86" t="s">
        <v>4</v>
      </c>
      <c r="EV9" s="86" t="s">
        <v>4</v>
      </c>
      <c r="EW9" s="86" t="s">
        <v>4</v>
      </c>
      <c r="EX9" s="86" t="s">
        <v>6</v>
      </c>
      <c r="EY9" s="86" t="s">
        <v>5</v>
      </c>
      <c r="EZ9" s="110"/>
      <c r="FA9" s="87" t="s">
        <v>22</v>
      </c>
      <c r="FB9" s="87" t="s">
        <v>23</v>
      </c>
      <c r="FC9" s="106"/>
      <c r="FD9" s="108"/>
      <c r="FE9" s="102"/>
      <c r="FF9" s="102"/>
      <c r="FG9" s="88" t="s">
        <v>31</v>
      </c>
      <c r="FH9" s="88" t="s">
        <v>32</v>
      </c>
      <c r="FI9" s="104"/>
      <c r="FJ9" s="104"/>
      <c r="FK9" s="106"/>
      <c r="FL9" s="108"/>
      <c r="FM9" s="102"/>
      <c r="FN9" s="102"/>
      <c r="FO9" s="102"/>
      <c r="FP9" s="110"/>
      <c r="FQ9" s="86" t="s">
        <v>4</v>
      </c>
      <c r="FR9" s="86" t="s">
        <v>4</v>
      </c>
      <c r="FS9" s="86" t="s">
        <v>4</v>
      </c>
      <c r="FT9" s="86" t="s">
        <v>4</v>
      </c>
      <c r="FU9" s="86" t="s">
        <v>4</v>
      </c>
      <c r="FV9" s="86" t="s">
        <v>4</v>
      </c>
      <c r="FW9" s="86" t="s">
        <v>6</v>
      </c>
      <c r="FX9" s="86" t="s">
        <v>5</v>
      </c>
      <c r="FY9" s="113"/>
      <c r="FZ9" s="87" t="s">
        <v>20</v>
      </c>
      <c r="GA9" s="87" t="s">
        <v>21</v>
      </c>
      <c r="GB9" s="106"/>
      <c r="GC9" s="108"/>
      <c r="GD9" s="86" t="s">
        <v>4</v>
      </c>
      <c r="GE9" s="86" t="s">
        <v>4</v>
      </c>
      <c r="GF9" s="86" t="s">
        <v>4</v>
      </c>
      <c r="GG9" s="86" t="s">
        <v>4</v>
      </c>
      <c r="GH9" s="86" t="s">
        <v>4</v>
      </c>
      <c r="GI9" s="86" t="s">
        <v>4</v>
      </c>
      <c r="GJ9" s="86" t="s">
        <v>6</v>
      </c>
      <c r="GK9" s="86" t="s">
        <v>5</v>
      </c>
      <c r="GL9" s="110"/>
      <c r="GM9" s="87" t="s">
        <v>22</v>
      </c>
      <c r="GN9" s="87" t="s">
        <v>23</v>
      </c>
      <c r="GO9" s="106"/>
      <c r="GP9" s="108"/>
      <c r="GQ9" s="102"/>
      <c r="GR9" s="102"/>
      <c r="GS9" s="88" t="s">
        <v>31</v>
      </c>
      <c r="GT9" s="88" t="s">
        <v>32</v>
      </c>
      <c r="GU9" s="104"/>
      <c r="GV9" s="104"/>
      <c r="GW9" s="106"/>
      <c r="GX9" s="108"/>
      <c r="GY9" s="102"/>
      <c r="GZ9" s="102"/>
      <c r="HA9" s="102"/>
      <c r="HB9" s="110"/>
      <c r="HC9" s="86" t="s">
        <v>4</v>
      </c>
      <c r="HD9" s="86" t="s">
        <v>4</v>
      </c>
      <c r="HE9" s="86" t="s">
        <v>4</v>
      </c>
      <c r="HF9" s="86" t="s">
        <v>4</v>
      </c>
      <c r="HG9" s="86" t="s">
        <v>4</v>
      </c>
      <c r="HH9" s="86" t="s">
        <v>4</v>
      </c>
      <c r="HI9" s="86" t="s">
        <v>6</v>
      </c>
      <c r="HJ9" s="86" t="s">
        <v>5</v>
      </c>
      <c r="HK9" s="113"/>
      <c r="HL9" s="87" t="s">
        <v>20</v>
      </c>
      <c r="HM9" s="87" t="s">
        <v>21</v>
      </c>
      <c r="HN9" s="106"/>
      <c r="HO9" s="108"/>
      <c r="HP9" s="86" t="s">
        <v>4</v>
      </c>
      <c r="HQ9" s="86" t="s">
        <v>4</v>
      </c>
      <c r="HR9" s="86" t="s">
        <v>4</v>
      </c>
      <c r="HS9" s="86" t="s">
        <v>4</v>
      </c>
      <c r="HT9" s="86" t="s">
        <v>4</v>
      </c>
      <c r="HU9" s="86" t="s">
        <v>4</v>
      </c>
      <c r="HV9" s="86" t="s">
        <v>6</v>
      </c>
      <c r="HW9" s="86" t="s">
        <v>5</v>
      </c>
      <c r="HX9" s="110"/>
      <c r="HY9" s="87" t="s">
        <v>22</v>
      </c>
      <c r="HZ9" s="87" t="s">
        <v>23</v>
      </c>
      <c r="IA9" s="106"/>
      <c r="IB9" s="108"/>
      <c r="IC9" s="102"/>
      <c r="ID9" s="102"/>
      <c r="IE9" s="88" t="s">
        <v>31</v>
      </c>
      <c r="IF9" s="88" t="s">
        <v>32</v>
      </c>
      <c r="IG9" s="104"/>
      <c r="IH9" s="104"/>
      <c r="II9" s="106"/>
      <c r="IJ9" s="108"/>
      <c r="IK9" s="102"/>
      <c r="IL9" s="102"/>
      <c r="IM9" s="102"/>
      <c r="IN9" s="110"/>
      <c r="IO9" s="86" t="s">
        <v>4</v>
      </c>
      <c r="IP9" s="86" t="s">
        <v>4</v>
      </c>
      <c r="IQ9" s="86" t="s">
        <v>4</v>
      </c>
      <c r="IR9" s="86" t="s">
        <v>4</v>
      </c>
      <c r="IS9" s="86" t="s">
        <v>4</v>
      </c>
      <c r="IT9" s="86" t="s">
        <v>4</v>
      </c>
      <c r="IU9" s="86" t="s">
        <v>6</v>
      </c>
      <c r="IV9" s="86" t="s">
        <v>5</v>
      </c>
      <c r="IW9" s="113"/>
      <c r="IX9" s="87" t="s">
        <v>20</v>
      </c>
      <c r="IY9" s="87" t="s">
        <v>21</v>
      </c>
      <c r="IZ9" s="106"/>
      <c r="JA9" s="108"/>
      <c r="JB9" s="86" t="s">
        <v>4</v>
      </c>
      <c r="JC9" s="86" t="s">
        <v>4</v>
      </c>
      <c r="JD9" s="86" t="s">
        <v>4</v>
      </c>
      <c r="JE9" s="86" t="s">
        <v>4</v>
      </c>
      <c r="JF9" s="86" t="s">
        <v>4</v>
      </c>
      <c r="JG9" s="86" t="s">
        <v>4</v>
      </c>
      <c r="JH9" s="86" t="s">
        <v>6</v>
      </c>
      <c r="JI9" s="86" t="s">
        <v>5</v>
      </c>
      <c r="JJ9" s="110"/>
      <c r="JK9" s="87" t="s">
        <v>22</v>
      </c>
      <c r="JL9" s="87" t="s">
        <v>23</v>
      </c>
      <c r="JM9" s="106"/>
      <c r="JN9" s="108"/>
      <c r="JO9" s="102"/>
      <c r="JP9" s="102"/>
      <c r="JQ9" s="88" t="s">
        <v>31</v>
      </c>
      <c r="JR9" s="88" t="s">
        <v>32</v>
      </c>
      <c r="JS9" s="104"/>
      <c r="JT9" s="104"/>
      <c r="JU9" s="106"/>
      <c r="JV9" s="108"/>
      <c r="JW9" s="102"/>
      <c r="JX9" s="102"/>
      <c r="JY9" s="102"/>
      <c r="JZ9" s="110"/>
      <c r="KA9" s="86" t="s">
        <v>4</v>
      </c>
      <c r="KB9" s="86" t="s">
        <v>4</v>
      </c>
      <c r="KC9" s="86" t="s">
        <v>4</v>
      </c>
      <c r="KD9" s="86" t="s">
        <v>4</v>
      </c>
      <c r="KE9" s="86" t="s">
        <v>4</v>
      </c>
      <c r="KF9" s="86" t="s">
        <v>4</v>
      </c>
      <c r="KG9" s="86" t="s">
        <v>6</v>
      </c>
      <c r="KH9" s="86" t="s">
        <v>5</v>
      </c>
      <c r="KI9" s="113"/>
      <c r="KJ9" s="87" t="s">
        <v>20</v>
      </c>
      <c r="KK9" s="87" t="s">
        <v>21</v>
      </c>
      <c r="KL9" s="106"/>
      <c r="KM9" s="108"/>
      <c r="KN9" s="86" t="s">
        <v>4</v>
      </c>
      <c r="KO9" s="86" t="s">
        <v>4</v>
      </c>
      <c r="KP9" s="86" t="s">
        <v>4</v>
      </c>
      <c r="KQ9" s="86" t="s">
        <v>4</v>
      </c>
      <c r="KR9" s="86" t="s">
        <v>4</v>
      </c>
      <c r="KS9" s="86" t="s">
        <v>4</v>
      </c>
      <c r="KT9" s="86" t="s">
        <v>6</v>
      </c>
      <c r="KU9" s="86" t="s">
        <v>5</v>
      </c>
      <c r="KV9" s="110"/>
      <c r="KW9" s="87" t="s">
        <v>22</v>
      </c>
      <c r="KX9" s="87" t="s">
        <v>23</v>
      </c>
      <c r="KY9" s="106"/>
      <c r="KZ9" s="108"/>
      <c r="LA9" s="102"/>
      <c r="LB9" s="102"/>
      <c r="LC9" s="88" t="s">
        <v>31</v>
      </c>
      <c r="LD9" s="88" t="s">
        <v>32</v>
      </c>
      <c r="LE9" s="104"/>
      <c r="LF9" s="104"/>
      <c r="LG9" s="106"/>
      <c r="LH9" s="108"/>
      <c r="LI9" s="102"/>
      <c r="LJ9" s="102"/>
      <c r="LK9" s="102"/>
      <c r="LL9" s="110"/>
      <c r="LM9" s="86" t="s">
        <v>4</v>
      </c>
      <c r="LN9" s="86" t="s">
        <v>4</v>
      </c>
      <c r="LO9" s="86" t="s">
        <v>4</v>
      </c>
      <c r="LP9" s="86" t="s">
        <v>4</v>
      </c>
      <c r="LQ9" s="86" t="s">
        <v>4</v>
      </c>
      <c r="LR9" s="86" t="s">
        <v>4</v>
      </c>
      <c r="LS9" s="86" t="s">
        <v>6</v>
      </c>
      <c r="LT9" s="86" t="s">
        <v>5</v>
      </c>
      <c r="LU9" s="113"/>
      <c r="LV9" s="87" t="s">
        <v>20</v>
      </c>
      <c r="LW9" s="87" t="s">
        <v>21</v>
      </c>
      <c r="LX9" s="106"/>
      <c r="LY9" s="108"/>
      <c r="LZ9" s="86" t="s">
        <v>4</v>
      </c>
      <c r="MA9" s="86" t="s">
        <v>4</v>
      </c>
      <c r="MB9" s="86" t="s">
        <v>4</v>
      </c>
      <c r="MC9" s="86" t="s">
        <v>4</v>
      </c>
      <c r="MD9" s="86" t="s">
        <v>4</v>
      </c>
      <c r="ME9" s="86" t="s">
        <v>4</v>
      </c>
      <c r="MF9" s="86" t="s">
        <v>6</v>
      </c>
      <c r="MG9" s="86" t="s">
        <v>5</v>
      </c>
      <c r="MH9" s="110"/>
      <c r="MI9" s="87" t="s">
        <v>22</v>
      </c>
      <c r="MJ9" s="87" t="s">
        <v>23</v>
      </c>
      <c r="MK9" s="106"/>
      <c r="ML9" s="108"/>
      <c r="MM9" s="102"/>
      <c r="MN9" s="102"/>
      <c r="MO9" s="88" t="s">
        <v>31</v>
      </c>
      <c r="MP9" s="88" t="s">
        <v>32</v>
      </c>
      <c r="MQ9" s="104"/>
      <c r="MR9" s="104"/>
      <c r="MS9" s="106"/>
      <c r="MT9" s="108"/>
      <c r="MU9" s="102"/>
      <c r="MV9" s="102"/>
      <c r="MW9" s="102"/>
      <c r="MX9" s="110"/>
      <c r="MY9" s="86" t="s">
        <v>4</v>
      </c>
      <c r="MZ9" s="86" t="s">
        <v>4</v>
      </c>
      <c r="NA9" s="86" t="s">
        <v>4</v>
      </c>
      <c r="NB9" s="86" t="s">
        <v>4</v>
      </c>
      <c r="NC9" s="86" t="s">
        <v>4</v>
      </c>
      <c r="ND9" s="86" t="s">
        <v>4</v>
      </c>
      <c r="NE9" s="86" t="s">
        <v>6</v>
      </c>
      <c r="NF9" s="86" t="s">
        <v>5</v>
      </c>
      <c r="NG9" s="113"/>
      <c r="NH9" s="87" t="s">
        <v>20</v>
      </c>
      <c r="NI9" s="87" t="s">
        <v>21</v>
      </c>
      <c r="NJ9" s="106"/>
      <c r="NK9" s="108"/>
      <c r="NL9" s="86" t="s">
        <v>4</v>
      </c>
      <c r="NM9" s="86" t="s">
        <v>4</v>
      </c>
      <c r="NN9" s="86" t="s">
        <v>4</v>
      </c>
      <c r="NO9" s="86" t="s">
        <v>4</v>
      </c>
      <c r="NP9" s="86" t="s">
        <v>4</v>
      </c>
      <c r="NQ9" s="86" t="s">
        <v>4</v>
      </c>
      <c r="NR9" s="86" t="s">
        <v>6</v>
      </c>
      <c r="NS9" s="86" t="s">
        <v>5</v>
      </c>
      <c r="NT9" s="110"/>
      <c r="NU9" s="87" t="s">
        <v>22</v>
      </c>
      <c r="NV9" s="87" t="s">
        <v>23</v>
      </c>
      <c r="NW9" s="106"/>
      <c r="NX9" s="108"/>
      <c r="NY9" s="102"/>
      <c r="NZ9" s="102"/>
      <c r="OA9" s="88" t="s">
        <v>31</v>
      </c>
      <c r="OB9" s="88" t="s">
        <v>32</v>
      </c>
      <c r="OC9" s="104"/>
      <c r="OD9" s="104"/>
      <c r="OE9" s="106"/>
      <c r="OF9" s="108"/>
      <c r="OG9" s="102"/>
      <c r="OH9" s="102"/>
      <c r="OI9" s="102"/>
      <c r="OJ9" s="110"/>
      <c r="OK9" s="86" t="s">
        <v>4</v>
      </c>
      <c r="OL9" s="86" t="s">
        <v>4</v>
      </c>
      <c r="OM9" s="86" t="s">
        <v>4</v>
      </c>
      <c r="ON9" s="86" t="s">
        <v>4</v>
      </c>
      <c r="OO9" s="86" t="s">
        <v>4</v>
      </c>
      <c r="OP9" s="86" t="s">
        <v>4</v>
      </c>
      <c r="OQ9" s="86" t="s">
        <v>6</v>
      </c>
      <c r="OR9" s="86" t="s">
        <v>5</v>
      </c>
      <c r="OS9" s="113"/>
      <c r="OT9" s="87" t="s">
        <v>20</v>
      </c>
      <c r="OU9" s="87" t="s">
        <v>21</v>
      </c>
      <c r="OV9" s="106"/>
      <c r="OW9" s="108"/>
      <c r="OX9" s="86" t="s">
        <v>4</v>
      </c>
      <c r="OY9" s="86" t="s">
        <v>4</v>
      </c>
      <c r="OZ9" s="86" t="s">
        <v>4</v>
      </c>
      <c r="PA9" s="86" t="s">
        <v>4</v>
      </c>
      <c r="PB9" s="86" t="s">
        <v>4</v>
      </c>
      <c r="PC9" s="86" t="s">
        <v>4</v>
      </c>
      <c r="PD9" s="86" t="s">
        <v>6</v>
      </c>
      <c r="PE9" s="86" t="s">
        <v>5</v>
      </c>
      <c r="PF9" s="110"/>
      <c r="PG9" s="87" t="s">
        <v>22</v>
      </c>
      <c r="PH9" s="87" t="s">
        <v>23</v>
      </c>
      <c r="PI9" s="106"/>
      <c r="PJ9" s="108"/>
      <c r="PK9" s="102"/>
      <c r="PL9" s="102"/>
      <c r="PM9" s="88" t="s">
        <v>31</v>
      </c>
      <c r="PN9" s="88" t="s">
        <v>32</v>
      </c>
      <c r="PO9" s="104"/>
      <c r="PP9" s="104"/>
      <c r="PQ9" s="106"/>
      <c r="PR9" s="108"/>
      <c r="PS9" s="102"/>
      <c r="PT9" s="102"/>
      <c r="PU9" s="102"/>
      <c r="PV9" s="110"/>
      <c r="PW9" s="86" t="s">
        <v>4</v>
      </c>
      <c r="PX9" s="86" t="s">
        <v>4</v>
      </c>
      <c r="PY9" s="86" t="s">
        <v>4</v>
      </c>
      <c r="PZ9" s="86" t="s">
        <v>4</v>
      </c>
      <c r="QA9" s="86" t="s">
        <v>4</v>
      </c>
      <c r="QB9" s="86" t="s">
        <v>4</v>
      </c>
      <c r="QC9" s="86" t="s">
        <v>6</v>
      </c>
      <c r="QD9" s="86" t="s">
        <v>5</v>
      </c>
      <c r="QE9" s="113"/>
      <c r="QF9" s="87" t="s">
        <v>20</v>
      </c>
      <c r="QG9" s="87" t="s">
        <v>21</v>
      </c>
      <c r="QH9" s="106"/>
      <c r="QI9" s="108"/>
      <c r="QJ9" s="86" t="s">
        <v>4</v>
      </c>
      <c r="QK9" s="86" t="s">
        <v>4</v>
      </c>
      <c r="QL9" s="86" t="s">
        <v>4</v>
      </c>
      <c r="QM9" s="86" t="s">
        <v>4</v>
      </c>
      <c r="QN9" s="86" t="s">
        <v>4</v>
      </c>
      <c r="QO9" s="86" t="s">
        <v>4</v>
      </c>
      <c r="QP9" s="86" t="s">
        <v>6</v>
      </c>
      <c r="QQ9" s="86" t="s">
        <v>5</v>
      </c>
      <c r="QR9" s="110"/>
      <c r="QS9" s="87" t="s">
        <v>22</v>
      </c>
      <c r="QT9" s="87" t="s">
        <v>23</v>
      </c>
      <c r="QU9" s="106"/>
      <c r="QV9" s="108"/>
      <c r="QW9" s="102"/>
      <c r="QX9" s="102"/>
      <c r="QY9" s="88" t="s">
        <v>31</v>
      </c>
      <c r="QZ9" s="88" t="s">
        <v>32</v>
      </c>
      <c r="RA9" s="104"/>
      <c r="RB9" s="104"/>
      <c r="RC9" s="106"/>
      <c r="RD9" s="108"/>
      <c r="RE9" s="102"/>
      <c r="RF9" s="102"/>
      <c r="RG9" s="102"/>
      <c r="RH9" s="110"/>
      <c r="RI9" s="86" t="s">
        <v>4</v>
      </c>
      <c r="RJ9" s="86" t="s">
        <v>4</v>
      </c>
      <c r="RK9" s="86" t="s">
        <v>4</v>
      </c>
      <c r="RL9" s="86" t="s">
        <v>4</v>
      </c>
      <c r="RM9" s="86" t="s">
        <v>4</v>
      </c>
      <c r="RN9" s="86" t="s">
        <v>4</v>
      </c>
      <c r="RO9" s="86" t="s">
        <v>6</v>
      </c>
      <c r="RP9" s="86" t="s">
        <v>5</v>
      </c>
      <c r="RQ9" s="113"/>
      <c r="RR9" s="87" t="s">
        <v>20</v>
      </c>
      <c r="RS9" s="87" t="s">
        <v>21</v>
      </c>
      <c r="RT9" s="106"/>
      <c r="RU9" s="108"/>
      <c r="RV9" s="86" t="s">
        <v>4</v>
      </c>
      <c r="RW9" s="86" t="s">
        <v>4</v>
      </c>
      <c r="RX9" s="86" t="s">
        <v>4</v>
      </c>
      <c r="RY9" s="86" t="s">
        <v>4</v>
      </c>
      <c r="RZ9" s="86" t="s">
        <v>4</v>
      </c>
      <c r="SA9" s="86" t="s">
        <v>4</v>
      </c>
      <c r="SB9" s="86" t="s">
        <v>6</v>
      </c>
      <c r="SC9" s="86" t="s">
        <v>5</v>
      </c>
      <c r="SD9" s="110"/>
      <c r="SE9" s="87" t="s">
        <v>22</v>
      </c>
      <c r="SF9" s="87" t="s">
        <v>23</v>
      </c>
      <c r="SG9" s="106"/>
      <c r="SH9" s="108"/>
      <c r="SI9" s="102"/>
      <c r="SJ9" s="102"/>
      <c r="SK9" s="88" t="s">
        <v>31</v>
      </c>
      <c r="SL9" s="88" t="s">
        <v>32</v>
      </c>
      <c r="SM9" s="104"/>
      <c r="SN9" s="104"/>
      <c r="SO9" s="106"/>
      <c r="SP9" s="108"/>
      <c r="SQ9" s="102"/>
      <c r="SR9" s="102"/>
      <c r="SS9" s="102"/>
      <c r="ST9" s="110"/>
      <c r="SU9" s="86" t="s">
        <v>4</v>
      </c>
      <c r="SV9" s="86" t="s">
        <v>4</v>
      </c>
      <c r="SW9" s="86" t="s">
        <v>4</v>
      </c>
      <c r="SX9" s="86" t="s">
        <v>4</v>
      </c>
      <c r="SY9" s="86" t="s">
        <v>4</v>
      </c>
      <c r="SZ9" s="86" t="s">
        <v>4</v>
      </c>
      <c r="TA9" s="86" t="s">
        <v>6</v>
      </c>
      <c r="TB9" s="86" t="s">
        <v>5</v>
      </c>
      <c r="TC9" s="113"/>
      <c r="TD9" s="87" t="s">
        <v>20</v>
      </c>
      <c r="TE9" s="87" t="s">
        <v>21</v>
      </c>
      <c r="TF9" s="106"/>
      <c r="TG9" s="108"/>
      <c r="TH9" s="86" t="s">
        <v>4</v>
      </c>
      <c r="TI9" s="86" t="s">
        <v>4</v>
      </c>
      <c r="TJ9" s="86" t="s">
        <v>4</v>
      </c>
      <c r="TK9" s="86" t="s">
        <v>4</v>
      </c>
      <c r="TL9" s="86" t="s">
        <v>4</v>
      </c>
      <c r="TM9" s="86" t="s">
        <v>4</v>
      </c>
      <c r="TN9" s="86" t="s">
        <v>6</v>
      </c>
      <c r="TO9" s="86" t="s">
        <v>5</v>
      </c>
      <c r="TP9" s="110"/>
      <c r="TQ9" s="87" t="s">
        <v>22</v>
      </c>
      <c r="TR9" s="87" t="s">
        <v>23</v>
      </c>
      <c r="TS9" s="106"/>
      <c r="TT9" s="108"/>
      <c r="TU9" s="102"/>
      <c r="TV9" s="102"/>
      <c r="TW9" s="88" t="s">
        <v>31</v>
      </c>
      <c r="TX9" s="88" t="s">
        <v>32</v>
      </c>
      <c r="TY9" s="104"/>
      <c r="TZ9" s="104"/>
      <c r="UA9" s="106"/>
      <c r="UB9" s="108"/>
      <c r="UC9" s="102"/>
      <c r="UD9" s="102"/>
      <c r="UE9" s="102"/>
      <c r="UF9" s="110"/>
      <c r="UG9" s="86" t="s">
        <v>4</v>
      </c>
      <c r="UH9" s="86" t="s">
        <v>4</v>
      </c>
      <c r="UI9" s="86" t="s">
        <v>4</v>
      </c>
      <c r="UJ9" s="86" t="s">
        <v>4</v>
      </c>
      <c r="UK9" s="86" t="s">
        <v>4</v>
      </c>
      <c r="UL9" s="86" t="s">
        <v>4</v>
      </c>
      <c r="UM9" s="86" t="s">
        <v>6</v>
      </c>
      <c r="UN9" s="86" t="s">
        <v>5</v>
      </c>
      <c r="UO9" s="113"/>
      <c r="UP9" s="87" t="s">
        <v>20</v>
      </c>
      <c r="UQ9" s="87" t="s">
        <v>21</v>
      </c>
      <c r="UR9" s="106"/>
      <c r="US9" s="108"/>
      <c r="UT9" s="86" t="s">
        <v>4</v>
      </c>
      <c r="UU9" s="86" t="s">
        <v>4</v>
      </c>
      <c r="UV9" s="86" t="s">
        <v>4</v>
      </c>
      <c r="UW9" s="86" t="s">
        <v>4</v>
      </c>
      <c r="UX9" s="86" t="s">
        <v>4</v>
      </c>
      <c r="UY9" s="86" t="s">
        <v>4</v>
      </c>
      <c r="UZ9" s="86" t="s">
        <v>6</v>
      </c>
      <c r="VA9" s="86" t="s">
        <v>5</v>
      </c>
      <c r="VB9" s="110"/>
      <c r="VC9" s="87" t="s">
        <v>22</v>
      </c>
      <c r="VD9" s="87" t="s">
        <v>23</v>
      </c>
      <c r="VE9" s="106"/>
      <c r="VF9" s="108"/>
      <c r="VG9" s="102"/>
      <c r="VH9" s="102"/>
      <c r="VI9" s="88" t="s">
        <v>31</v>
      </c>
      <c r="VJ9" s="88" t="s">
        <v>32</v>
      </c>
      <c r="VK9" s="104"/>
      <c r="VL9" s="104"/>
      <c r="VM9" s="106"/>
      <c r="VN9" s="108"/>
      <c r="VO9" s="102"/>
      <c r="VP9" s="102"/>
      <c r="VQ9" s="102"/>
      <c r="VR9" s="110"/>
      <c r="VS9" s="86" t="s">
        <v>4</v>
      </c>
      <c r="VT9" s="86" t="s">
        <v>4</v>
      </c>
      <c r="VU9" s="86" t="s">
        <v>4</v>
      </c>
      <c r="VV9" s="86" t="s">
        <v>4</v>
      </c>
      <c r="VW9" s="86" t="s">
        <v>4</v>
      </c>
      <c r="VX9" s="86" t="s">
        <v>4</v>
      </c>
      <c r="VY9" s="86" t="s">
        <v>6</v>
      </c>
      <c r="VZ9" s="86" t="s">
        <v>5</v>
      </c>
      <c r="WA9" s="113"/>
      <c r="WB9" s="87" t="s">
        <v>20</v>
      </c>
      <c r="WC9" s="87" t="s">
        <v>21</v>
      </c>
      <c r="WD9" s="106"/>
      <c r="WE9" s="108"/>
      <c r="WF9" s="86" t="s">
        <v>4</v>
      </c>
      <c r="WG9" s="86" t="s">
        <v>4</v>
      </c>
      <c r="WH9" s="86" t="s">
        <v>4</v>
      </c>
      <c r="WI9" s="86" t="s">
        <v>4</v>
      </c>
      <c r="WJ9" s="86" t="s">
        <v>4</v>
      </c>
      <c r="WK9" s="86" t="s">
        <v>4</v>
      </c>
      <c r="WL9" s="86" t="s">
        <v>6</v>
      </c>
      <c r="WM9" s="86" t="s">
        <v>5</v>
      </c>
      <c r="WN9" s="110"/>
      <c r="WO9" s="87" t="s">
        <v>22</v>
      </c>
      <c r="WP9" s="87" t="s">
        <v>23</v>
      </c>
      <c r="WQ9" s="106"/>
      <c r="WR9" s="108"/>
      <c r="WS9" s="102"/>
      <c r="WT9" s="102"/>
      <c r="WU9" s="88" t="s">
        <v>31</v>
      </c>
      <c r="WV9" s="88" t="s">
        <v>32</v>
      </c>
      <c r="WW9" s="104"/>
      <c r="WX9" s="104"/>
      <c r="WY9" s="106"/>
      <c r="WZ9" s="108"/>
      <c r="XA9" s="102"/>
      <c r="XB9" s="102"/>
      <c r="XC9" s="102"/>
      <c r="XD9" s="110"/>
      <c r="XE9" s="86" t="s">
        <v>4</v>
      </c>
      <c r="XF9" s="86" t="s">
        <v>4</v>
      </c>
      <c r="XG9" s="86" t="s">
        <v>4</v>
      </c>
      <c r="XH9" s="86" t="s">
        <v>4</v>
      </c>
      <c r="XI9" s="86" t="s">
        <v>4</v>
      </c>
      <c r="XJ9" s="86" t="s">
        <v>4</v>
      </c>
      <c r="XK9" s="86" t="s">
        <v>6</v>
      </c>
      <c r="XL9" s="86" t="s">
        <v>5</v>
      </c>
      <c r="XM9" s="113"/>
      <c r="XN9" s="87" t="s">
        <v>20</v>
      </c>
      <c r="XO9" s="87" t="s">
        <v>21</v>
      </c>
      <c r="XP9" s="106"/>
      <c r="XQ9" s="108"/>
      <c r="XR9" s="86" t="s">
        <v>4</v>
      </c>
      <c r="XS9" s="86" t="s">
        <v>4</v>
      </c>
      <c r="XT9" s="86" t="s">
        <v>4</v>
      </c>
      <c r="XU9" s="86" t="s">
        <v>4</v>
      </c>
      <c r="XV9" s="86" t="s">
        <v>4</v>
      </c>
      <c r="XW9" s="86" t="s">
        <v>4</v>
      </c>
      <c r="XX9" s="86" t="s">
        <v>6</v>
      </c>
      <c r="XY9" s="86" t="s">
        <v>5</v>
      </c>
      <c r="XZ9" s="110"/>
      <c r="YA9" s="87" t="s">
        <v>22</v>
      </c>
      <c r="YB9" s="87" t="s">
        <v>23</v>
      </c>
      <c r="YC9" s="106"/>
      <c r="YD9" s="108"/>
      <c r="YE9" s="102"/>
      <c r="YF9" s="102"/>
      <c r="YG9" s="88" t="s">
        <v>31</v>
      </c>
      <c r="YH9" s="88" t="s">
        <v>32</v>
      </c>
      <c r="YI9" s="104"/>
      <c r="YJ9" s="104"/>
      <c r="YK9" s="106"/>
      <c r="YL9" s="108"/>
      <c r="YM9" s="102"/>
      <c r="YN9" s="102"/>
      <c r="YO9" s="102"/>
      <c r="YP9" s="110"/>
      <c r="YQ9" s="86" t="s">
        <v>4</v>
      </c>
      <c r="YR9" s="86" t="s">
        <v>4</v>
      </c>
      <c r="YS9" s="86" t="s">
        <v>4</v>
      </c>
      <c r="YT9" s="86" t="s">
        <v>4</v>
      </c>
      <c r="YU9" s="86" t="s">
        <v>4</v>
      </c>
      <c r="YV9" s="86" t="s">
        <v>4</v>
      </c>
      <c r="YW9" s="86" t="s">
        <v>6</v>
      </c>
      <c r="YX9" s="86" t="s">
        <v>5</v>
      </c>
      <c r="YY9" s="113"/>
      <c r="YZ9" s="87" t="s">
        <v>20</v>
      </c>
      <c r="ZA9" s="87" t="s">
        <v>21</v>
      </c>
      <c r="ZB9" s="106"/>
      <c r="ZC9" s="108"/>
      <c r="ZD9" s="86" t="s">
        <v>4</v>
      </c>
      <c r="ZE9" s="86" t="s">
        <v>4</v>
      </c>
      <c r="ZF9" s="86" t="s">
        <v>4</v>
      </c>
      <c r="ZG9" s="86" t="s">
        <v>4</v>
      </c>
      <c r="ZH9" s="86" t="s">
        <v>4</v>
      </c>
      <c r="ZI9" s="86" t="s">
        <v>4</v>
      </c>
      <c r="ZJ9" s="86" t="s">
        <v>6</v>
      </c>
      <c r="ZK9" s="86" t="s">
        <v>5</v>
      </c>
      <c r="ZL9" s="110"/>
      <c r="ZM9" s="87" t="s">
        <v>22</v>
      </c>
      <c r="ZN9" s="87" t="s">
        <v>23</v>
      </c>
      <c r="ZO9" s="106"/>
      <c r="ZP9" s="108"/>
      <c r="ZQ9" s="102"/>
      <c r="ZR9" s="102"/>
      <c r="ZS9" s="88" t="s">
        <v>31</v>
      </c>
      <c r="ZT9" s="88" t="s">
        <v>32</v>
      </c>
      <c r="ZU9" s="104"/>
      <c r="ZV9" s="104"/>
      <c r="ZW9" s="106"/>
      <c r="ZX9" s="108"/>
      <c r="ZY9" s="102"/>
      <c r="ZZ9" s="102"/>
      <c r="AAA9" s="102"/>
      <c r="AAB9" s="110"/>
      <c r="AAC9" s="86" t="s">
        <v>4</v>
      </c>
      <c r="AAD9" s="86" t="s">
        <v>4</v>
      </c>
      <c r="AAE9" s="86" t="s">
        <v>4</v>
      </c>
      <c r="AAF9" s="86" t="s">
        <v>4</v>
      </c>
      <c r="AAG9" s="86" t="s">
        <v>4</v>
      </c>
      <c r="AAH9" s="86" t="s">
        <v>4</v>
      </c>
      <c r="AAI9" s="86" t="s">
        <v>6</v>
      </c>
      <c r="AAJ9" s="86" t="s">
        <v>5</v>
      </c>
      <c r="AAK9" s="113"/>
      <c r="AAL9" s="87" t="s">
        <v>20</v>
      </c>
      <c r="AAM9" s="87" t="s">
        <v>21</v>
      </c>
      <c r="AAN9" s="106"/>
      <c r="AAO9" s="108"/>
      <c r="AAP9" s="86" t="s">
        <v>4</v>
      </c>
      <c r="AAQ9" s="86" t="s">
        <v>4</v>
      </c>
      <c r="AAR9" s="86" t="s">
        <v>4</v>
      </c>
      <c r="AAS9" s="86" t="s">
        <v>4</v>
      </c>
      <c r="AAT9" s="86" t="s">
        <v>4</v>
      </c>
      <c r="AAU9" s="86" t="s">
        <v>4</v>
      </c>
      <c r="AAV9" s="86" t="s">
        <v>6</v>
      </c>
      <c r="AAW9" s="86" t="s">
        <v>5</v>
      </c>
      <c r="AAX9" s="110"/>
      <c r="AAY9" s="87" t="s">
        <v>22</v>
      </c>
      <c r="AAZ9" s="87" t="s">
        <v>23</v>
      </c>
      <c r="ABA9" s="106"/>
      <c r="ABB9" s="108"/>
      <c r="ABC9" s="102"/>
      <c r="ABD9" s="102"/>
      <c r="ABE9" s="88" t="s">
        <v>31</v>
      </c>
      <c r="ABF9" s="88" t="s">
        <v>32</v>
      </c>
      <c r="ABG9" s="104"/>
      <c r="ABH9" s="104"/>
      <c r="ABI9" s="106"/>
      <c r="ABJ9" s="108"/>
      <c r="ABK9" s="102"/>
      <c r="ABL9" s="102"/>
      <c r="ABM9" s="102"/>
      <c r="ABN9" s="110"/>
      <c r="ABO9" s="86" t="s">
        <v>4</v>
      </c>
      <c r="ABP9" s="86" t="s">
        <v>4</v>
      </c>
      <c r="ABQ9" s="86" t="s">
        <v>4</v>
      </c>
      <c r="ABR9" s="86" t="s">
        <v>4</v>
      </c>
      <c r="ABS9" s="86" t="s">
        <v>4</v>
      </c>
      <c r="ABT9" s="86" t="s">
        <v>4</v>
      </c>
      <c r="ABU9" s="86" t="s">
        <v>6</v>
      </c>
      <c r="ABV9" s="86" t="s">
        <v>5</v>
      </c>
      <c r="ABW9" s="113"/>
      <c r="ABX9" s="87" t="s">
        <v>20</v>
      </c>
      <c r="ABY9" s="87" t="s">
        <v>21</v>
      </c>
      <c r="ABZ9" s="106"/>
      <c r="ACA9" s="108"/>
      <c r="ACB9" s="86" t="s">
        <v>4</v>
      </c>
      <c r="ACC9" s="86" t="s">
        <v>4</v>
      </c>
      <c r="ACD9" s="86" t="s">
        <v>4</v>
      </c>
      <c r="ACE9" s="86" t="s">
        <v>4</v>
      </c>
      <c r="ACF9" s="86" t="s">
        <v>4</v>
      </c>
      <c r="ACG9" s="86" t="s">
        <v>4</v>
      </c>
      <c r="ACH9" s="86" t="s">
        <v>6</v>
      </c>
      <c r="ACI9" s="86" t="s">
        <v>5</v>
      </c>
      <c r="ACJ9" s="110"/>
      <c r="ACK9" s="87" t="s">
        <v>22</v>
      </c>
      <c r="ACL9" s="87" t="s">
        <v>23</v>
      </c>
      <c r="ACM9" s="106"/>
      <c r="ACN9" s="108"/>
      <c r="ACO9" s="102"/>
      <c r="ACP9" s="102"/>
      <c r="ACQ9" s="88" t="s">
        <v>31</v>
      </c>
      <c r="ACR9" s="88" t="s">
        <v>32</v>
      </c>
      <c r="ACS9" s="104"/>
      <c r="ACT9" s="104"/>
      <c r="ACU9" s="106"/>
      <c r="ACV9" s="108"/>
      <c r="ACW9" s="102"/>
      <c r="ACX9" s="102"/>
      <c r="ACY9" s="102"/>
      <c r="ACZ9" s="110"/>
      <c r="ADA9" s="86" t="s">
        <v>4</v>
      </c>
      <c r="ADB9" s="86" t="s">
        <v>4</v>
      </c>
      <c r="ADC9" s="86" t="s">
        <v>4</v>
      </c>
      <c r="ADD9" s="86" t="s">
        <v>4</v>
      </c>
      <c r="ADE9" s="86" t="s">
        <v>4</v>
      </c>
      <c r="ADF9" s="86" t="s">
        <v>4</v>
      </c>
      <c r="ADG9" s="86" t="s">
        <v>6</v>
      </c>
      <c r="ADH9" s="86" t="s">
        <v>5</v>
      </c>
      <c r="ADI9" s="113"/>
      <c r="ADJ9" s="87" t="s">
        <v>20</v>
      </c>
      <c r="ADK9" s="87" t="s">
        <v>21</v>
      </c>
      <c r="ADL9" s="106"/>
      <c r="ADM9" s="108"/>
      <c r="ADN9" s="86" t="s">
        <v>4</v>
      </c>
      <c r="ADO9" s="86" t="s">
        <v>4</v>
      </c>
      <c r="ADP9" s="86" t="s">
        <v>4</v>
      </c>
      <c r="ADQ9" s="86" t="s">
        <v>4</v>
      </c>
      <c r="ADR9" s="86" t="s">
        <v>4</v>
      </c>
      <c r="ADS9" s="86" t="s">
        <v>4</v>
      </c>
      <c r="ADT9" s="86" t="s">
        <v>6</v>
      </c>
      <c r="ADU9" s="86" t="s">
        <v>5</v>
      </c>
      <c r="ADV9" s="110"/>
      <c r="ADW9" s="87" t="s">
        <v>22</v>
      </c>
      <c r="ADX9" s="87" t="s">
        <v>23</v>
      </c>
      <c r="ADY9" s="106"/>
      <c r="ADZ9" s="108"/>
      <c r="AEA9" s="102"/>
      <c r="AEB9" s="102"/>
      <c r="AEC9" s="88" t="s">
        <v>31</v>
      </c>
      <c r="AED9" s="88" t="s">
        <v>32</v>
      </c>
      <c r="AEE9" s="104"/>
      <c r="AEF9" s="104"/>
      <c r="AEG9" s="106"/>
      <c r="AEH9" s="108"/>
      <c r="AEI9" s="102"/>
      <c r="AEJ9" s="102"/>
      <c r="AEK9" s="102"/>
      <c r="AEL9" s="110"/>
      <c r="AEM9" s="86" t="s">
        <v>4</v>
      </c>
      <c r="AEN9" s="86" t="s">
        <v>4</v>
      </c>
      <c r="AEO9" s="86" t="s">
        <v>4</v>
      </c>
      <c r="AEP9" s="86" t="s">
        <v>4</v>
      </c>
      <c r="AEQ9" s="86" t="s">
        <v>4</v>
      </c>
      <c r="AER9" s="86" t="s">
        <v>4</v>
      </c>
      <c r="AES9" s="86" t="s">
        <v>6</v>
      </c>
      <c r="AET9" s="86" t="s">
        <v>5</v>
      </c>
      <c r="AEU9" s="113"/>
      <c r="AEV9" s="87" t="s">
        <v>20</v>
      </c>
      <c r="AEW9" s="87" t="s">
        <v>21</v>
      </c>
      <c r="AEX9" s="106"/>
      <c r="AEY9" s="108"/>
      <c r="AEZ9" s="86" t="s">
        <v>4</v>
      </c>
      <c r="AFA9" s="86" t="s">
        <v>4</v>
      </c>
      <c r="AFB9" s="86" t="s">
        <v>4</v>
      </c>
      <c r="AFC9" s="86" t="s">
        <v>4</v>
      </c>
      <c r="AFD9" s="86" t="s">
        <v>4</v>
      </c>
      <c r="AFE9" s="86" t="s">
        <v>4</v>
      </c>
      <c r="AFF9" s="86" t="s">
        <v>6</v>
      </c>
      <c r="AFG9" s="86" t="s">
        <v>5</v>
      </c>
      <c r="AFH9" s="110"/>
      <c r="AFI9" s="87" t="s">
        <v>22</v>
      </c>
      <c r="AFJ9" s="87" t="s">
        <v>23</v>
      </c>
      <c r="AFK9" s="106"/>
      <c r="AFL9" s="108"/>
      <c r="AFM9" s="102"/>
      <c r="AFN9" s="102"/>
      <c r="AFO9" s="88" t="s">
        <v>31</v>
      </c>
      <c r="AFP9" s="88" t="s">
        <v>32</v>
      </c>
      <c r="AFQ9" s="104"/>
      <c r="AFR9" s="104"/>
      <c r="AFS9" s="106"/>
      <c r="AFT9" s="108"/>
      <c r="AFU9" s="102"/>
      <c r="AFV9" s="102"/>
      <c r="AFW9" s="102"/>
      <c r="AFX9" s="110"/>
      <c r="AFY9" s="86" t="s">
        <v>4</v>
      </c>
      <c r="AFZ9" s="86" t="s">
        <v>4</v>
      </c>
      <c r="AGA9" s="86" t="s">
        <v>4</v>
      </c>
      <c r="AGB9" s="86" t="s">
        <v>4</v>
      </c>
      <c r="AGC9" s="86" t="s">
        <v>4</v>
      </c>
      <c r="AGD9" s="86" t="s">
        <v>4</v>
      </c>
      <c r="AGE9" s="86" t="s">
        <v>6</v>
      </c>
      <c r="AGF9" s="86" t="s">
        <v>5</v>
      </c>
      <c r="AGG9" s="113"/>
      <c r="AGH9" s="87" t="s">
        <v>20</v>
      </c>
      <c r="AGI9" s="87" t="s">
        <v>21</v>
      </c>
      <c r="AGJ9" s="106"/>
      <c r="AGK9" s="108"/>
      <c r="AGL9" s="86" t="s">
        <v>4</v>
      </c>
      <c r="AGM9" s="86" t="s">
        <v>4</v>
      </c>
      <c r="AGN9" s="86" t="s">
        <v>4</v>
      </c>
      <c r="AGO9" s="86" t="s">
        <v>4</v>
      </c>
      <c r="AGP9" s="86" t="s">
        <v>4</v>
      </c>
      <c r="AGQ9" s="86" t="s">
        <v>4</v>
      </c>
      <c r="AGR9" s="86" t="s">
        <v>6</v>
      </c>
      <c r="AGS9" s="86" t="s">
        <v>5</v>
      </c>
      <c r="AGT9" s="110"/>
      <c r="AGU9" s="87" t="s">
        <v>22</v>
      </c>
      <c r="AGV9" s="87" t="s">
        <v>23</v>
      </c>
      <c r="AGW9" s="106"/>
      <c r="AGX9" s="108"/>
      <c r="AGY9" s="102"/>
      <c r="AGZ9" s="102"/>
      <c r="AHA9" s="88" t="s">
        <v>31</v>
      </c>
      <c r="AHB9" s="88" t="s">
        <v>32</v>
      </c>
      <c r="AHC9" s="104"/>
      <c r="AHD9" s="104"/>
      <c r="AHE9" s="106"/>
      <c r="AHF9" s="108"/>
      <c r="AHG9" s="102"/>
      <c r="AHH9" s="102"/>
      <c r="AHI9" s="102"/>
      <c r="AHJ9" s="110"/>
      <c r="AHK9" s="86" t="s">
        <v>4</v>
      </c>
      <c r="AHL9" s="86" t="s">
        <v>4</v>
      </c>
      <c r="AHM9" s="86" t="s">
        <v>4</v>
      </c>
      <c r="AHN9" s="86" t="s">
        <v>4</v>
      </c>
      <c r="AHO9" s="86" t="s">
        <v>4</v>
      </c>
      <c r="AHP9" s="86" t="s">
        <v>4</v>
      </c>
      <c r="AHQ9" s="86" t="s">
        <v>6</v>
      </c>
      <c r="AHR9" s="86" t="s">
        <v>5</v>
      </c>
      <c r="AHS9" s="113"/>
      <c r="AHT9" s="87" t="s">
        <v>20</v>
      </c>
      <c r="AHU9" s="87" t="s">
        <v>21</v>
      </c>
      <c r="AHV9" s="106"/>
      <c r="AHW9" s="108"/>
      <c r="AHX9" s="86" t="s">
        <v>4</v>
      </c>
      <c r="AHY9" s="86" t="s">
        <v>4</v>
      </c>
      <c r="AHZ9" s="86" t="s">
        <v>4</v>
      </c>
      <c r="AIA9" s="86" t="s">
        <v>4</v>
      </c>
      <c r="AIB9" s="86" t="s">
        <v>4</v>
      </c>
      <c r="AIC9" s="86" t="s">
        <v>4</v>
      </c>
      <c r="AID9" s="86" t="s">
        <v>6</v>
      </c>
      <c r="AIE9" s="86" t="s">
        <v>5</v>
      </c>
      <c r="AIF9" s="110"/>
      <c r="AIG9" s="87" t="s">
        <v>22</v>
      </c>
      <c r="AIH9" s="87" t="s">
        <v>23</v>
      </c>
      <c r="AII9" s="106"/>
      <c r="AIJ9" s="108"/>
      <c r="AIK9" s="102"/>
      <c r="AIL9" s="102"/>
      <c r="AIM9" s="88" t="s">
        <v>31</v>
      </c>
      <c r="AIN9" s="88" t="s">
        <v>32</v>
      </c>
      <c r="AIO9" s="104"/>
      <c r="AIP9" s="104"/>
      <c r="AIQ9" s="106"/>
      <c r="AIR9" s="108"/>
    </row>
    <row r="10" spans="1:928" ht="18" customHeight="1" x14ac:dyDescent="0.25">
      <c r="A10" s="89" t="str">
        <f>IF(H10="","",$A$9)</f>
        <v/>
      </c>
      <c r="B10" s="89" t="str">
        <f>IF(H10="","",$B$9)</f>
        <v/>
      </c>
      <c r="C10" s="89" t="str">
        <f>IF(H10="","",$C$9)</f>
        <v/>
      </c>
      <c r="D10" s="89" t="str">
        <f>IF(H10="","",$D$9)</f>
        <v/>
      </c>
      <c r="E10" s="40"/>
      <c r="F10" s="89" t="str">
        <f>IF(H10="","",$F$9)</f>
        <v/>
      </c>
      <c r="G10" s="89" t="str">
        <f>IF(H10="","",$G$9)</f>
        <v/>
      </c>
      <c r="H10" s="36"/>
      <c r="I10" s="36"/>
      <c r="J10" s="40"/>
      <c r="K10" s="90" t="str">
        <f>IF(H10="","",$K$9)</f>
        <v/>
      </c>
      <c r="L10" s="40"/>
      <c r="M10" s="40"/>
      <c r="N10" s="40"/>
      <c r="O10" s="42"/>
      <c r="P10" s="91" t="str">
        <f>IF(H10="","",$P$9)</f>
        <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
      </c>
      <c r="B11" s="89" t="str">
        <f t="shared" ref="B11:B59" si="398">IF(H11="","",$B$9)</f>
        <v/>
      </c>
      <c r="C11" s="89" t="str">
        <f t="shared" ref="C11:C59" si="399">IF(H11="","",$C$9)</f>
        <v/>
      </c>
      <c r="D11" s="89" t="str">
        <f t="shared" ref="D11:D59" si="400">IF(H11="","",$D$9)</f>
        <v/>
      </c>
      <c r="E11" s="40"/>
      <c r="F11" s="89" t="str">
        <f t="shared" ref="F11:F59" si="401">IF(H11="","",$F$9)</f>
        <v/>
      </c>
      <c r="G11" s="89" t="str">
        <f t="shared" ref="G11:G59" si="402">IF(H11="","",$G$9)</f>
        <v/>
      </c>
      <c r="H11" s="36"/>
      <c r="I11" s="37"/>
      <c r="J11" s="41"/>
      <c r="K11" s="90" t="str">
        <f t="shared" ref="K11:K59" si="403">IF(H11="","",$K$9)</f>
        <v/>
      </c>
      <c r="L11" s="41"/>
      <c r="M11" s="41"/>
      <c r="N11" s="41"/>
      <c r="O11" s="43"/>
      <c r="P11" s="91" t="str">
        <f t="shared" ref="P11:P59" si="404">IF(H11="","",$P$9)</f>
        <v/>
      </c>
      <c r="Q11" s="4"/>
      <c r="R11" s="39"/>
      <c r="S11" s="39"/>
      <c r="T11" s="1"/>
      <c r="U11" s="1"/>
      <c r="V11" s="1"/>
      <c r="W11" s="1"/>
      <c r="X11" s="1"/>
      <c r="Y11" s="1"/>
      <c r="Z11" s="1"/>
      <c r="AA11" s="55"/>
      <c r="AB11" s="1"/>
      <c r="AC11" s="56"/>
      <c r="AD11" s="1"/>
      <c r="AE11" s="1"/>
      <c r="AF11" s="2"/>
      <c r="AG11" s="55"/>
      <c r="AH11" s="1"/>
      <c r="AI11" s="1"/>
      <c r="AJ11" s="1"/>
      <c r="AK11" s="1"/>
      <c r="AL11" s="1"/>
      <c r="AM11" s="1"/>
      <c r="AN11" s="55"/>
      <c r="AO11" s="1"/>
      <c r="AP11" s="56"/>
      <c r="AQ11" s="1"/>
      <c r="AR11" s="1"/>
      <c r="AS11" s="2"/>
      <c r="AT11" s="55"/>
      <c r="AU11" s="55"/>
      <c r="AV11" s="55"/>
      <c r="AW11" s="56"/>
      <c r="AX11" s="57"/>
      <c r="AY11" s="55"/>
      <c r="AZ11" s="1"/>
      <c r="BA11" s="58"/>
      <c r="BB11" s="59"/>
      <c r="BC11" s="4"/>
      <c r="BD11" s="39"/>
      <c r="BE11" s="39"/>
      <c r="BF11" s="1"/>
      <c r="BG11" s="1"/>
      <c r="BH11" s="1"/>
      <c r="BI11" s="1"/>
      <c r="BJ11" s="1"/>
      <c r="BK11" s="1"/>
      <c r="BL11" s="1"/>
      <c r="BM11" s="55"/>
      <c r="BN11" s="1"/>
      <c r="BO11" s="56"/>
      <c r="BP11" s="1"/>
      <c r="BQ11" s="1"/>
      <c r="BR11" s="2"/>
      <c r="BS11" s="55"/>
      <c r="BT11" s="1"/>
      <c r="BU11" s="1"/>
      <c r="BV11" s="1"/>
      <c r="BW11" s="1"/>
      <c r="BX11" s="1"/>
      <c r="BY11" s="1"/>
      <c r="BZ11" s="55"/>
      <c r="CA11" s="1"/>
      <c r="CB11" s="56"/>
      <c r="CC11" s="1"/>
      <c r="CD11" s="1"/>
      <c r="CE11" s="2"/>
      <c r="CF11" s="55"/>
      <c r="CG11" s="55"/>
      <c r="CH11" s="55"/>
      <c r="CI11" s="56"/>
      <c r="CJ11" s="57"/>
      <c r="CK11" s="55"/>
      <c r="CL11" s="1"/>
      <c r="CM11" s="58"/>
      <c r="CN11" s="59"/>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c r="EB11" s="39"/>
      <c r="EC11" s="39"/>
      <c r="ED11" s="1"/>
      <c r="EE11" s="1"/>
      <c r="EF11" s="1"/>
      <c r="EG11" s="1"/>
      <c r="EH11" s="1"/>
      <c r="EI11" s="1"/>
      <c r="EJ11" s="1"/>
      <c r="EK11" s="55"/>
      <c r="EL11" s="1"/>
      <c r="EM11" s="56"/>
      <c r="EN11" s="1"/>
      <c r="EO11" s="1"/>
      <c r="EP11" s="2"/>
      <c r="EQ11" s="55"/>
      <c r="ER11" s="1"/>
      <c r="ES11" s="1"/>
      <c r="ET11" s="1"/>
      <c r="EU11" s="1"/>
      <c r="EV11" s="1"/>
      <c r="EW11" s="1"/>
      <c r="EX11" s="55"/>
      <c r="EY11" s="1"/>
      <c r="EZ11" s="56"/>
      <c r="FA11" s="1"/>
      <c r="FB11" s="1"/>
      <c r="FC11" s="2"/>
      <c r="FD11" s="55"/>
      <c r="FE11" s="55"/>
      <c r="FF11" s="55"/>
      <c r="FG11" s="56"/>
      <c r="FH11" s="57"/>
      <c r="FI11" s="55"/>
      <c r="FJ11" s="1"/>
      <c r="FK11" s="58"/>
      <c r="FL11" s="59"/>
      <c r="FM11" s="4"/>
      <c r="FN11" s="39"/>
      <c r="FO11" s="39"/>
      <c r="FP11" s="1"/>
      <c r="FQ11" s="1"/>
      <c r="FR11" s="1"/>
      <c r="FS11" s="1"/>
      <c r="FT11" s="1"/>
      <c r="FU11" s="1"/>
      <c r="FV11" s="1"/>
      <c r="FW11" s="55"/>
      <c r="FX11" s="1"/>
      <c r="FY11" s="56"/>
      <c r="FZ11" s="1"/>
      <c r="GA11" s="1"/>
      <c r="GB11" s="2"/>
      <c r="GC11" s="55"/>
      <c r="GD11" s="1"/>
      <c r="GE11" s="1"/>
      <c r="GF11" s="1"/>
      <c r="GG11" s="1"/>
      <c r="GH11" s="1"/>
      <c r="GI11" s="1"/>
      <c r="GJ11" s="55"/>
      <c r="GK11" s="1"/>
      <c r="GL11" s="56"/>
      <c r="GM11" s="1"/>
      <c r="GN11" s="1"/>
      <c r="GO11" s="2"/>
      <c r="GP11" s="55"/>
      <c r="GQ11" s="55"/>
      <c r="GR11" s="55"/>
      <c r="GS11" s="56"/>
      <c r="GT11" s="57"/>
      <c r="GU11" s="55"/>
      <c r="GV11" s="1"/>
      <c r="GW11" s="58"/>
      <c r="GX11" s="59"/>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c r="JX11" s="39"/>
      <c r="JY11" s="39"/>
      <c r="JZ11" s="1"/>
      <c r="KA11" s="1"/>
      <c r="KB11" s="1"/>
      <c r="KC11" s="1"/>
      <c r="KD11" s="1"/>
      <c r="KE11" s="1"/>
      <c r="KF11" s="1"/>
      <c r="KG11" s="55"/>
      <c r="KH11" s="1"/>
      <c r="KI11" s="56"/>
      <c r="KJ11" s="1"/>
      <c r="KK11" s="1"/>
      <c r="KL11" s="2"/>
      <c r="KM11" s="55"/>
      <c r="KN11" s="1"/>
      <c r="KO11" s="1"/>
      <c r="KP11" s="1"/>
      <c r="KQ11" s="1"/>
      <c r="KR11" s="1"/>
      <c r="KS11" s="1"/>
      <c r="KT11" s="55"/>
      <c r="KU11" s="1"/>
      <c r="KV11" s="56"/>
      <c r="KW11" s="1"/>
      <c r="KX11" s="1"/>
      <c r="KY11" s="2"/>
      <c r="KZ11" s="55"/>
      <c r="LA11" s="55"/>
      <c r="LB11" s="55"/>
      <c r="LC11" s="56"/>
      <c r="LD11" s="57"/>
      <c r="LE11" s="55"/>
      <c r="LF11" s="1"/>
      <c r="LG11" s="58"/>
      <c r="LH11" s="59"/>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c r="PT11" s="39"/>
      <c r="PU11" s="39"/>
      <c r="PV11" s="1"/>
      <c r="PW11" s="1"/>
      <c r="PX11" s="1"/>
      <c r="PY11" s="1"/>
      <c r="PZ11" s="1"/>
      <c r="QA11" s="1"/>
      <c r="QB11" s="1"/>
      <c r="QC11" s="55"/>
      <c r="QD11" s="1"/>
      <c r="QE11" s="56"/>
      <c r="QF11" s="1"/>
      <c r="QG11" s="1"/>
      <c r="QH11" s="2"/>
      <c r="QI11" s="55"/>
      <c r="QJ11" s="1"/>
      <c r="QK11" s="1"/>
      <c r="QL11" s="1"/>
      <c r="QM11" s="1"/>
      <c r="QN11" s="1"/>
      <c r="QO11" s="1"/>
      <c r="QP11" s="55"/>
      <c r="QQ11" s="1"/>
      <c r="QR11" s="56"/>
      <c r="QS11" s="1"/>
      <c r="QT11" s="1"/>
      <c r="QU11" s="2"/>
      <c r="QV11" s="55"/>
      <c r="QW11" s="55"/>
      <c r="QX11" s="55"/>
      <c r="QY11" s="56"/>
      <c r="QZ11" s="57"/>
      <c r="RA11" s="55"/>
      <c r="RB11" s="1"/>
      <c r="RC11" s="58"/>
      <c r="RD11" s="59"/>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c r="UD11" s="39"/>
      <c r="UE11" s="39"/>
      <c r="UF11" s="1"/>
      <c r="UG11" s="1"/>
      <c r="UH11" s="1"/>
      <c r="UI11" s="1"/>
      <c r="UJ11" s="1"/>
      <c r="UK11" s="1"/>
      <c r="UL11" s="1"/>
      <c r="UM11" s="55"/>
      <c r="UN11" s="1"/>
      <c r="UO11" s="56"/>
      <c r="UP11" s="1"/>
      <c r="UQ11" s="1"/>
      <c r="UR11" s="2"/>
      <c r="US11" s="55"/>
      <c r="UT11" s="1"/>
      <c r="UU11" s="1"/>
      <c r="UV11" s="1"/>
      <c r="UW11" s="1"/>
      <c r="UX11" s="1"/>
      <c r="UY11" s="1"/>
      <c r="UZ11" s="55"/>
      <c r="VA11" s="1"/>
      <c r="VB11" s="56"/>
      <c r="VC11" s="1"/>
      <c r="VD11" s="1"/>
      <c r="VE11" s="2"/>
      <c r="VF11" s="55"/>
      <c r="VG11" s="55"/>
      <c r="VH11" s="55"/>
      <c r="VI11" s="56"/>
      <c r="VJ11" s="57"/>
      <c r="VK11" s="55"/>
      <c r="VL11" s="1"/>
      <c r="VM11" s="58"/>
      <c r="VN11" s="59"/>
      <c r="VO11" s="4"/>
      <c r="VP11" s="39"/>
      <c r="VQ11" s="39"/>
      <c r="VR11" s="1"/>
      <c r="VS11" s="1"/>
      <c r="VT11" s="1"/>
      <c r="VU11" s="1"/>
      <c r="VV11" s="1"/>
      <c r="VW11" s="1"/>
      <c r="VX11" s="1"/>
      <c r="VY11" s="55"/>
      <c r="VZ11" s="1"/>
      <c r="WA11" s="56"/>
      <c r="WB11" s="1"/>
      <c r="WC11" s="1"/>
      <c r="WD11" s="2"/>
      <c r="WE11" s="55"/>
      <c r="WF11" s="1"/>
      <c r="WG11" s="1"/>
      <c r="WH11" s="1"/>
      <c r="WI11" s="1"/>
      <c r="WJ11" s="1"/>
      <c r="WK11" s="1"/>
      <c r="WL11" s="55"/>
      <c r="WM11" s="1"/>
      <c r="WN11" s="56"/>
      <c r="WO11" s="1"/>
      <c r="WP11" s="1"/>
      <c r="WQ11" s="2"/>
      <c r="WR11" s="55"/>
      <c r="WS11" s="55"/>
      <c r="WT11" s="55"/>
      <c r="WU11" s="56"/>
      <c r="WV11" s="57"/>
      <c r="WW11" s="55"/>
      <c r="WX11" s="1"/>
      <c r="WY11" s="58"/>
      <c r="WZ11" s="59"/>
      <c r="XA11" s="4"/>
      <c r="XB11" s="39"/>
      <c r="XC11" s="39"/>
      <c r="XD11" s="1"/>
      <c r="XE11" s="1"/>
      <c r="XF11" s="1"/>
      <c r="XG11" s="1"/>
      <c r="XH11" s="1"/>
      <c r="XI11" s="1"/>
      <c r="XJ11" s="1"/>
      <c r="XK11" s="55"/>
      <c r="XL11" s="1"/>
      <c r="XM11" s="56"/>
      <c r="XN11" s="1"/>
      <c r="XO11" s="1"/>
      <c r="XP11" s="2"/>
      <c r="XQ11" s="55"/>
      <c r="XR11" s="1"/>
      <c r="XS11" s="1"/>
      <c r="XT11" s="1"/>
      <c r="XU11" s="1"/>
      <c r="XV11" s="1"/>
      <c r="XW11" s="1"/>
      <c r="XX11" s="55"/>
      <c r="XY11" s="1"/>
      <c r="XZ11" s="56"/>
      <c r="YA11" s="1"/>
      <c r="YB11" s="1"/>
      <c r="YC11" s="2"/>
      <c r="YD11" s="55"/>
      <c r="YE11" s="55"/>
      <c r="YF11" s="55"/>
      <c r="YG11" s="56"/>
      <c r="YH11" s="57"/>
      <c r="YI11" s="55"/>
      <c r="YJ11" s="1"/>
      <c r="YK11" s="58"/>
      <c r="YL11" s="59"/>
      <c r="YM11" s="4"/>
      <c r="YN11" s="39"/>
      <c r="YO11" s="39"/>
      <c r="YP11" s="1"/>
      <c r="YQ11" s="1"/>
      <c r="YR11" s="1"/>
      <c r="YS11" s="1"/>
      <c r="YT11" s="1"/>
      <c r="YU11" s="1"/>
      <c r="YV11" s="1"/>
      <c r="YW11" s="55"/>
      <c r="YX11" s="1"/>
      <c r="YY11" s="56"/>
      <c r="YZ11" s="1"/>
      <c r="ZA11" s="1"/>
      <c r="ZB11" s="2"/>
      <c r="ZC11" s="55"/>
      <c r="ZD11" s="1"/>
      <c r="ZE11" s="1"/>
      <c r="ZF11" s="1"/>
      <c r="ZG11" s="1"/>
      <c r="ZH11" s="1"/>
      <c r="ZI11" s="1"/>
      <c r="ZJ11" s="55"/>
      <c r="ZK11" s="1"/>
      <c r="ZL11" s="56"/>
      <c r="ZM11" s="1"/>
      <c r="ZN11" s="1"/>
      <c r="ZO11" s="2"/>
      <c r="ZP11" s="55"/>
      <c r="ZQ11" s="55"/>
      <c r="ZR11" s="55"/>
      <c r="ZS11" s="56"/>
      <c r="ZT11" s="57"/>
      <c r="ZU11" s="55"/>
      <c r="ZV11" s="1"/>
      <c r="ZW11" s="58"/>
      <c r="ZX11" s="59"/>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
      </c>
      <c r="B12" s="89" t="str">
        <f t="shared" si="398"/>
        <v/>
      </c>
      <c r="C12" s="89" t="str">
        <f t="shared" si="399"/>
        <v/>
      </c>
      <c r="D12" s="89" t="str">
        <f t="shared" si="400"/>
        <v/>
      </c>
      <c r="E12" s="40"/>
      <c r="F12" s="89" t="str">
        <f t="shared" si="401"/>
        <v/>
      </c>
      <c r="G12" s="89" t="str">
        <f t="shared" si="402"/>
        <v/>
      </c>
      <c r="H12" s="36"/>
      <c r="I12" s="37"/>
      <c r="J12" s="41"/>
      <c r="K12" s="90" t="str">
        <f t="shared" si="403"/>
        <v/>
      </c>
      <c r="L12" s="41"/>
      <c r="M12" s="41"/>
      <c r="N12" s="41"/>
      <c r="O12" s="43"/>
      <c r="P12" s="91" t="str">
        <f t="shared" si="404"/>
        <v/>
      </c>
      <c r="Q12" s="4"/>
      <c r="R12" s="39"/>
      <c r="S12" s="39"/>
      <c r="T12" s="1"/>
      <c r="U12" s="1"/>
      <c r="V12" s="1"/>
      <c r="W12" s="1"/>
      <c r="X12" s="1"/>
      <c r="Y12" s="1"/>
      <c r="Z12" s="1"/>
      <c r="AA12" s="55"/>
      <c r="AB12" s="1"/>
      <c r="AC12" s="56"/>
      <c r="AD12" s="1"/>
      <c r="AE12" s="1"/>
      <c r="AF12" s="2"/>
      <c r="AG12" s="55"/>
      <c r="AH12" s="1"/>
      <c r="AI12" s="1"/>
      <c r="AJ12" s="1"/>
      <c r="AK12" s="1"/>
      <c r="AL12" s="1"/>
      <c r="AM12" s="1"/>
      <c r="AN12" s="55"/>
      <c r="AO12" s="1"/>
      <c r="AP12" s="56"/>
      <c r="AQ12" s="1"/>
      <c r="AR12" s="1"/>
      <c r="AS12" s="2"/>
      <c r="AT12" s="55"/>
      <c r="AU12" s="55"/>
      <c r="AV12" s="55"/>
      <c r="AW12" s="56"/>
      <c r="AX12" s="57"/>
      <c r="AY12" s="55"/>
      <c r="AZ12" s="1"/>
      <c r="BA12" s="58"/>
      <c r="BB12" s="59"/>
      <c r="BC12" s="4"/>
      <c r="BD12" s="39"/>
      <c r="BE12" s="39"/>
      <c r="BF12" s="1"/>
      <c r="BG12" s="1"/>
      <c r="BH12" s="1"/>
      <c r="BI12" s="1"/>
      <c r="BJ12" s="1"/>
      <c r="BK12" s="1"/>
      <c r="BL12" s="1"/>
      <c r="BM12" s="55"/>
      <c r="BN12" s="1"/>
      <c r="BO12" s="56"/>
      <c r="BP12" s="1"/>
      <c r="BQ12" s="1"/>
      <c r="BR12" s="2"/>
      <c r="BS12" s="55"/>
      <c r="BT12" s="1"/>
      <c r="BU12" s="1"/>
      <c r="BV12" s="1"/>
      <c r="BW12" s="1"/>
      <c r="BX12" s="1"/>
      <c r="BY12" s="1"/>
      <c r="BZ12" s="55"/>
      <c r="CA12" s="1"/>
      <c r="CB12" s="56"/>
      <c r="CC12" s="1"/>
      <c r="CD12" s="1"/>
      <c r="CE12" s="2"/>
      <c r="CF12" s="55"/>
      <c r="CG12" s="55"/>
      <c r="CH12" s="55"/>
      <c r="CI12" s="56"/>
      <c r="CJ12" s="57"/>
      <c r="CK12" s="55"/>
      <c r="CL12" s="1"/>
      <c r="CM12" s="58"/>
      <c r="CN12" s="59"/>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c r="EB12" s="39"/>
      <c r="EC12" s="39"/>
      <c r="ED12" s="1"/>
      <c r="EE12" s="1"/>
      <c r="EF12" s="1"/>
      <c r="EG12" s="1"/>
      <c r="EH12" s="1"/>
      <c r="EI12" s="1"/>
      <c r="EJ12" s="1"/>
      <c r="EK12" s="55"/>
      <c r="EL12" s="1"/>
      <c r="EM12" s="56"/>
      <c r="EN12" s="1"/>
      <c r="EO12" s="1"/>
      <c r="EP12" s="2"/>
      <c r="EQ12" s="55"/>
      <c r="ER12" s="1"/>
      <c r="ES12" s="1"/>
      <c r="ET12" s="1"/>
      <c r="EU12" s="1"/>
      <c r="EV12" s="1"/>
      <c r="EW12" s="1"/>
      <c r="EX12" s="55"/>
      <c r="EY12" s="1"/>
      <c r="EZ12" s="56"/>
      <c r="FA12" s="1"/>
      <c r="FB12" s="1"/>
      <c r="FC12" s="2"/>
      <c r="FD12" s="55"/>
      <c r="FE12" s="55"/>
      <c r="FF12" s="55"/>
      <c r="FG12" s="56"/>
      <c r="FH12" s="57"/>
      <c r="FI12" s="55"/>
      <c r="FJ12" s="1"/>
      <c r="FK12" s="58"/>
      <c r="FL12" s="59"/>
      <c r="FM12" s="4"/>
      <c r="FN12" s="39"/>
      <c r="FO12" s="39"/>
      <c r="FP12" s="1"/>
      <c r="FQ12" s="1"/>
      <c r="FR12" s="1"/>
      <c r="FS12" s="1"/>
      <c r="FT12" s="1"/>
      <c r="FU12" s="1"/>
      <c r="FV12" s="1"/>
      <c r="FW12" s="55"/>
      <c r="FX12" s="1"/>
      <c r="FY12" s="56"/>
      <c r="FZ12" s="1"/>
      <c r="GA12" s="1"/>
      <c r="GB12" s="2"/>
      <c r="GC12" s="55"/>
      <c r="GD12" s="1"/>
      <c r="GE12" s="1"/>
      <c r="GF12" s="1"/>
      <c r="GG12" s="1"/>
      <c r="GH12" s="1"/>
      <c r="GI12" s="1"/>
      <c r="GJ12" s="55"/>
      <c r="GK12" s="1"/>
      <c r="GL12" s="56"/>
      <c r="GM12" s="1"/>
      <c r="GN12" s="1"/>
      <c r="GO12" s="2"/>
      <c r="GP12" s="55"/>
      <c r="GQ12" s="55"/>
      <c r="GR12" s="55"/>
      <c r="GS12" s="56"/>
      <c r="GT12" s="57"/>
      <c r="GU12" s="55"/>
      <c r="GV12" s="1"/>
      <c r="GW12" s="58"/>
      <c r="GX12" s="59"/>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c r="JX12" s="39"/>
      <c r="JY12" s="39"/>
      <c r="JZ12" s="1"/>
      <c r="KA12" s="1"/>
      <c r="KB12" s="1"/>
      <c r="KC12" s="1"/>
      <c r="KD12" s="1"/>
      <c r="KE12" s="1"/>
      <c r="KF12" s="1"/>
      <c r="KG12" s="55"/>
      <c r="KH12" s="1"/>
      <c r="KI12" s="56"/>
      <c r="KJ12" s="1"/>
      <c r="KK12" s="1"/>
      <c r="KL12" s="2"/>
      <c r="KM12" s="55"/>
      <c r="KN12" s="1"/>
      <c r="KO12" s="1"/>
      <c r="KP12" s="1"/>
      <c r="KQ12" s="1"/>
      <c r="KR12" s="1"/>
      <c r="KS12" s="1"/>
      <c r="KT12" s="55"/>
      <c r="KU12" s="1"/>
      <c r="KV12" s="56"/>
      <c r="KW12" s="1"/>
      <c r="KX12" s="1"/>
      <c r="KY12" s="2"/>
      <c r="KZ12" s="55"/>
      <c r="LA12" s="55"/>
      <c r="LB12" s="55"/>
      <c r="LC12" s="56"/>
      <c r="LD12" s="57"/>
      <c r="LE12" s="55"/>
      <c r="LF12" s="1"/>
      <c r="LG12" s="58"/>
      <c r="LH12" s="59"/>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c r="PT12" s="39"/>
      <c r="PU12" s="39"/>
      <c r="PV12" s="1"/>
      <c r="PW12" s="1"/>
      <c r="PX12" s="1"/>
      <c r="PY12" s="1"/>
      <c r="PZ12" s="1"/>
      <c r="QA12" s="1"/>
      <c r="QB12" s="1"/>
      <c r="QC12" s="55"/>
      <c r="QD12" s="1"/>
      <c r="QE12" s="56"/>
      <c r="QF12" s="1"/>
      <c r="QG12" s="1"/>
      <c r="QH12" s="2"/>
      <c r="QI12" s="55"/>
      <c r="QJ12" s="1"/>
      <c r="QK12" s="1"/>
      <c r="QL12" s="1"/>
      <c r="QM12" s="1"/>
      <c r="QN12" s="1"/>
      <c r="QO12" s="1"/>
      <c r="QP12" s="55"/>
      <c r="QQ12" s="1"/>
      <c r="QR12" s="56"/>
      <c r="QS12" s="1"/>
      <c r="QT12" s="1"/>
      <c r="QU12" s="2"/>
      <c r="QV12" s="55"/>
      <c r="QW12" s="55"/>
      <c r="QX12" s="55"/>
      <c r="QY12" s="56"/>
      <c r="QZ12" s="57"/>
      <c r="RA12" s="55"/>
      <c r="RB12" s="1"/>
      <c r="RC12" s="58"/>
      <c r="RD12" s="59"/>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c r="UD12" s="39"/>
      <c r="UE12" s="39"/>
      <c r="UF12" s="1"/>
      <c r="UG12" s="1"/>
      <c r="UH12" s="1"/>
      <c r="UI12" s="1"/>
      <c r="UJ12" s="1"/>
      <c r="UK12" s="1"/>
      <c r="UL12" s="1"/>
      <c r="UM12" s="55"/>
      <c r="UN12" s="1"/>
      <c r="UO12" s="56"/>
      <c r="UP12" s="1"/>
      <c r="UQ12" s="1"/>
      <c r="UR12" s="2"/>
      <c r="US12" s="55"/>
      <c r="UT12" s="1"/>
      <c r="UU12" s="1"/>
      <c r="UV12" s="1"/>
      <c r="UW12" s="1"/>
      <c r="UX12" s="1"/>
      <c r="UY12" s="1"/>
      <c r="UZ12" s="55"/>
      <c r="VA12" s="1"/>
      <c r="VB12" s="56"/>
      <c r="VC12" s="1"/>
      <c r="VD12" s="1"/>
      <c r="VE12" s="2"/>
      <c r="VF12" s="55"/>
      <c r="VG12" s="55"/>
      <c r="VH12" s="55"/>
      <c r="VI12" s="56"/>
      <c r="VJ12" s="57"/>
      <c r="VK12" s="55"/>
      <c r="VL12" s="1"/>
      <c r="VM12" s="58"/>
      <c r="VN12" s="59"/>
      <c r="VO12" s="4"/>
      <c r="VP12" s="39"/>
      <c r="VQ12" s="39"/>
      <c r="VR12" s="1"/>
      <c r="VS12" s="1"/>
      <c r="VT12" s="1"/>
      <c r="VU12" s="1"/>
      <c r="VV12" s="1"/>
      <c r="VW12" s="1"/>
      <c r="VX12" s="1"/>
      <c r="VY12" s="55"/>
      <c r="VZ12" s="1"/>
      <c r="WA12" s="56"/>
      <c r="WB12" s="1"/>
      <c r="WC12" s="1"/>
      <c r="WD12" s="2"/>
      <c r="WE12" s="55"/>
      <c r="WF12" s="1"/>
      <c r="WG12" s="1"/>
      <c r="WH12" s="1"/>
      <c r="WI12" s="1"/>
      <c r="WJ12" s="1"/>
      <c r="WK12" s="1"/>
      <c r="WL12" s="55"/>
      <c r="WM12" s="1"/>
      <c r="WN12" s="56"/>
      <c r="WO12" s="1"/>
      <c r="WP12" s="1"/>
      <c r="WQ12" s="2"/>
      <c r="WR12" s="55"/>
      <c r="WS12" s="55"/>
      <c r="WT12" s="55"/>
      <c r="WU12" s="56"/>
      <c r="WV12" s="57"/>
      <c r="WW12" s="55"/>
      <c r="WX12" s="1"/>
      <c r="WY12" s="58"/>
      <c r="WZ12" s="59"/>
      <c r="XA12" s="4"/>
      <c r="XB12" s="39"/>
      <c r="XC12" s="39"/>
      <c r="XD12" s="1"/>
      <c r="XE12" s="1"/>
      <c r="XF12" s="1"/>
      <c r="XG12" s="1"/>
      <c r="XH12" s="1"/>
      <c r="XI12" s="1"/>
      <c r="XJ12" s="1"/>
      <c r="XK12" s="55"/>
      <c r="XL12" s="1"/>
      <c r="XM12" s="56"/>
      <c r="XN12" s="1"/>
      <c r="XO12" s="1"/>
      <c r="XP12" s="2"/>
      <c r="XQ12" s="55"/>
      <c r="XR12" s="1"/>
      <c r="XS12" s="1"/>
      <c r="XT12" s="1"/>
      <c r="XU12" s="1"/>
      <c r="XV12" s="1"/>
      <c r="XW12" s="1"/>
      <c r="XX12" s="55"/>
      <c r="XY12" s="1"/>
      <c r="XZ12" s="56"/>
      <c r="YA12" s="1"/>
      <c r="YB12" s="1"/>
      <c r="YC12" s="2"/>
      <c r="YD12" s="55"/>
      <c r="YE12" s="55"/>
      <c r="YF12" s="55"/>
      <c r="YG12" s="56"/>
      <c r="YH12" s="57"/>
      <c r="YI12" s="55"/>
      <c r="YJ12" s="1"/>
      <c r="YK12" s="58"/>
      <c r="YL12" s="59"/>
      <c r="YM12" s="4"/>
      <c r="YN12" s="39"/>
      <c r="YO12" s="39"/>
      <c r="YP12" s="1"/>
      <c r="YQ12" s="1"/>
      <c r="YR12" s="1"/>
      <c r="YS12" s="1"/>
      <c r="YT12" s="1"/>
      <c r="YU12" s="1"/>
      <c r="YV12" s="1"/>
      <c r="YW12" s="55"/>
      <c r="YX12" s="1"/>
      <c r="YY12" s="56"/>
      <c r="YZ12" s="1"/>
      <c r="ZA12" s="1"/>
      <c r="ZB12" s="2"/>
      <c r="ZC12" s="55"/>
      <c r="ZD12" s="1"/>
      <c r="ZE12" s="1"/>
      <c r="ZF12" s="1"/>
      <c r="ZG12" s="1"/>
      <c r="ZH12" s="1"/>
      <c r="ZI12" s="1"/>
      <c r="ZJ12" s="55"/>
      <c r="ZK12" s="1"/>
      <c r="ZL12" s="56"/>
      <c r="ZM12" s="1"/>
      <c r="ZN12" s="1"/>
      <c r="ZO12" s="2"/>
      <c r="ZP12" s="55"/>
      <c r="ZQ12" s="55"/>
      <c r="ZR12" s="55"/>
      <c r="ZS12" s="56"/>
      <c r="ZT12" s="57"/>
      <c r="ZU12" s="55"/>
      <c r="ZV12" s="1"/>
      <c r="ZW12" s="58"/>
      <c r="ZX12" s="59"/>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
      </c>
      <c r="B13" s="89" t="str">
        <f t="shared" si="398"/>
        <v/>
      </c>
      <c r="C13" s="89" t="str">
        <f t="shared" si="399"/>
        <v/>
      </c>
      <c r="D13" s="89" t="str">
        <f t="shared" si="400"/>
        <v/>
      </c>
      <c r="E13" s="40"/>
      <c r="F13" s="89" t="str">
        <f t="shared" si="401"/>
        <v/>
      </c>
      <c r="G13" s="89" t="str">
        <f t="shared" si="402"/>
        <v/>
      </c>
      <c r="H13" s="36"/>
      <c r="I13" s="37"/>
      <c r="J13" s="41"/>
      <c r="K13" s="90" t="str">
        <f t="shared" si="403"/>
        <v/>
      </c>
      <c r="L13" s="41"/>
      <c r="M13" s="41"/>
      <c r="N13" s="41"/>
      <c r="O13" s="43"/>
      <c r="P13" s="91" t="str">
        <f t="shared" si="404"/>
        <v/>
      </c>
      <c r="Q13" s="4"/>
      <c r="R13" s="39"/>
      <c r="S13" s="39"/>
      <c r="T13" s="1"/>
      <c r="U13" s="1"/>
      <c r="V13" s="1"/>
      <c r="W13" s="1"/>
      <c r="X13" s="1"/>
      <c r="Y13" s="1"/>
      <c r="Z13" s="1"/>
      <c r="AA13" s="55"/>
      <c r="AB13" s="1"/>
      <c r="AC13" s="56"/>
      <c r="AD13" s="1"/>
      <c r="AE13" s="1"/>
      <c r="AF13" s="2"/>
      <c r="AG13" s="55"/>
      <c r="AH13" s="1"/>
      <c r="AI13" s="1"/>
      <c r="AJ13" s="1"/>
      <c r="AK13" s="1"/>
      <c r="AL13" s="1"/>
      <c r="AM13" s="1"/>
      <c r="AN13" s="55"/>
      <c r="AO13" s="1"/>
      <c r="AP13" s="56"/>
      <c r="AQ13" s="1"/>
      <c r="AR13" s="1"/>
      <c r="AS13" s="2"/>
      <c r="AT13" s="55"/>
      <c r="AU13" s="55"/>
      <c r="AV13" s="55"/>
      <c r="AW13" s="56"/>
      <c r="AX13" s="57"/>
      <c r="AY13" s="55"/>
      <c r="AZ13" s="1"/>
      <c r="BA13" s="58"/>
      <c r="BB13" s="59"/>
      <c r="BC13" s="4"/>
      <c r="BD13" s="39"/>
      <c r="BE13" s="39"/>
      <c r="BF13" s="1"/>
      <c r="BG13" s="1"/>
      <c r="BH13" s="1"/>
      <c r="BI13" s="1"/>
      <c r="BJ13" s="1"/>
      <c r="BK13" s="1"/>
      <c r="BL13" s="1"/>
      <c r="BM13" s="55"/>
      <c r="BN13" s="1"/>
      <c r="BO13" s="56"/>
      <c r="BP13" s="1"/>
      <c r="BQ13" s="1"/>
      <c r="BR13" s="2"/>
      <c r="BS13" s="55"/>
      <c r="BT13" s="1"/>
      <c r="BU13" s="1"/>
      <c r="BV13" s="1"/>
      <c r="BW13" s="1"/>
      <c r="BX13" s="1"/>
      <c r="BY13" s="1"/>
      <c r="BZ13" s="55"/>
      <c r="CA13" s="1"/>
      <c r="CB13" s="56"/>
      <c r="CC13" s="1"/>
      <c r="CD13" s="1"/>
      <c r="CE13" s="2"/>
      <c r="CF13" s="55"/>
      <c r="CG13" s="55"/>
      <c r="CH13" s="55"/>
      <c r="CI13" s="56"/>
      <c r="CJ13" s="57"/>
      <c r="CK13" s="55"/>
      <c r="CL13" s="1"/>
      <c r="CM13" s="58"/>
      <c r="CN13" s="59"/>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c r="EB13" s="39"/>
      <c r="EC13" s="39"/>
      <c r="ED13" s="1"/>
      <c r="EE13" s="1"/>
      <c r="EF13" s="1"/>
      <c r="EG13" s="1"/>
      <c r="EH13" s="1"/>
      <c r="EI13" s="1"/>
      <c r="EJ13" s="1"/>
      <c r="EK13" s="55"/>
      <c r="EL13" s="1"/>
      <c r="EM13" s="56"/>
      <c r="EN13" s="1"/>
      <c r="EO13" s="1"/>
      <c r="EP13" s="2"/>
      <c r="EQ13" s="55"/>
      <c r="ER13" s="1"/>
      <c r="ES13" s="1"/>
      <c r="ET13" s="1"/>
      <c r="EU13" s="1"/>
      <c r="EV13" s="1"/>
      <c r="EW13" s="1"/>
      <c r="EX13" s="55"/>
      <c r="EY13" s="1"/>
      <c r="EZ13" s="56"/>
      <c r="FA13" s="1"/>
      <c r="FB13" s="1"/>
      <c r="FC13" s="2"/>
      <c r="FD13" s="55"/>
      <c r="FE13" s="55"/>
      <c r="FF13" s="55"/>
      <c r="FG13" s="56"/>
      <c r="FH13" s="57"/>
      <c r="FI13" s="55"/>
      <c r="FJ13" s="1"/>
      <c r="FK13" s="58"/>
      <c r="FL13" s="59"/>
      <c r="FM13" s="4"/>
      <c r="FN13" s="39"/>
      <c r="FO13" s="39"/>
      <c r="FP13" s="1"/>
      <c r="FQ13" s="1"/>
      <c r="FR13" s="1"/>
      <c r="FS13" s="1"/>
      <c r="FT13" s="1"/>
      <c r="FU13" s="1"/>
      <c r="FV13" s="1"/>
      <c r="FW13" s="55"/>
      <c r="FX13" s="1"/>
      <c r="FY13" s="56"/>
      <c r="FZ13" s="1"/>
      <c r="GA13" s="1"/>
      <c r="GB13" s="2"/>
      <c r="GC13" s="55"/>
      <c r="GD13" s="1"/>
      <c r="GE13" s="1"/>
      <c r="GF13" s="1"/>
      <c r="GG13" s="1"/>
      <c r="GH13" s="1"/>
      <c r="GI13" s="1"/>
      <c r="GJ13" s="55"/>
      <c r="GK13" s="1"/>
      <c r="GL13" s="56"/>
      <c r="GM13" s="1"/>
      <c r="GN13" s="1"/>
      <c r="GO13" s="2"/>
      <c r="GP13" s="55"/>
      <c r="GQ13" s="55"/>
      <c r="GR13" s="55"/>
      <c r="GS13" s="56"/>
      <c r="GT13" s="57"/>
      <c r="GU13" s="55"/>
      <c r="GV13" s="1"/>
      <c r="GW13" s="58"/>
      <c r="GX13" s="59"/>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c r="JX13" s="39"/>
      <c r="JY13" s="39"/>
      <c r="JZ13" s="1"/>
      <c r="KA13" s="1"/>
      <c r="KB13" s="1"/>
      <c r="KC13" s="1"/>
      <c r="KD13" s="1"/>
      <c r="KE13" s="1"/>
      <c r="KF13" s="1"/>
      <c r="KG13" s="55"/>
      <c r="KH13" s="1"/>
      <c r="KI13" s="56"/>
      <c r="KJ13" s="1"/>
      <c r="KK13" s="1"/>
      <c r="KL13" s="2"/>
      <c r="KM13" s="55"/>
      <c r="KN13" s="1"/>
      <c r="KO13" s="1"/>
      <c r="KP13" s="1"/>
      <c r="KQ13" s="1"/>
      <c r="KR13" s="1"/>
      <c r="KS13" s="1"/>
      <c r="KT13" s="55"/>
      <c r="KU13" s="1"/>
      <c r="KV13" s="56"/>
      <c r="KW13" s="1"/>
      <c r="KX13" s="1"/>
      <c r="KY13" s="2"/>
      <c r="KZ13" s="55"/>
      <c r="LA13" s="55"/>
      <c r="LB13" s="55"/>
      <c r="LC13" s="56"/>
      <c r="LD13" s="57"/>
      <c r="LE13" s="55"/>
      <c r="LF13" s="1"/>
      <c r="LG13" s="58"/>
      <c r="LH13" s="59"/>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c r="PT13" s="39"/>
      <c r="PU13" s="39"/>
      <c r="PV13" s="1"/>
      <c r="PW13" s="1"/>
      <c r="PX13" s="1"/>
      <c r="PY13" s="1"/>
      <c r="PZ13" s="1"/>
      <c r="QA13" s="1"/>
      <c r="QB13" s="1"/>
      <c r="QC13" s="55"/>
      <c r="QD13" s="1"/>
      <c r="QE13" s="56"/>
      <c r="QF13" s="1"/>
      <c r="QG13" s="1"/>
      <c r="QH13" s="2"/>
      <c r="QI13" s="55"/>
      <c r="QJ13" s="1"/>
      <c r="QK13" s="1"/>
      <c r="QL13" s="1"/>
      <c r="QM13" s="1"/>
      <c r="QN13" s="1"/>
      <c r="QO13" s="1"/>
      <c r="QP13" s="55"/>
      <c r="QQ13" s="1"/>
      <c r="QR13" s="56"/>
      <c r="QS13" s="1"/>
      <c r="QT13" s="1"/>
      <c r="QU13" s="2"/>
      <c r="QV13" s="55"/>
      <c r="QW13" s="55"/>
      <c r="QX13" s="55"/>
      <c r="QY13" s="56"/>
      <c r="QZ13" s="57"/>
      <c r="RA13" s="55"/>
      <c r="RB13" s="1"/>
      <c r="RC13" s="58"/>
      <c r="RD13" s="59"/>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c r="UD13" s="39"/>
      <c r="UE13" s="39"/>
      <c r="UF13" s="1"/>
      <c r="UG13" s="1"/>
      <c r="UH13" s="1"/>
      <c r="UI13" s="1"/>
      <c r="UJ13" s="1"/>
      <c r="UK13" s="1"/>
      <c r="UL13" s="1"/>
      <c r="UM13" s="55"/>
      <c r="UN13" s="1"/>
      <c r="UO13" s="56"/>
      <c r="UP13" s="1"/>
      <c r="UQ13" s="1"/>
      <c r="UR13" s="2"/>
      <c r="US13" s="55"/>
      <c r="UT13" s="1"/>
      <c r="UU13" s="1"/>
      <c r="UV13" s="1"/>
      <c r="UW13" s="1"/>
      <c r="UX13" s="1"/>
      <c r="UY13" s="1"/>
      <c r="UZ13" s="55"/>
      <c r="VA13" s="1"/>
      <c r="VB13" s="56"/>
      <c r="VC13" s="1"/>
      <c r="VD13" s="1"/>
      <c r="VE13" s="2"/>
      <c r="VF13" s="55"/>
      <c r="VG13" s="55"/>
      <c r="VH13" s="55"/>
      <c r="VI13" s="56"/>
      <c r="VJ13" s="57"/>
      <c r="VK13" s="55"/>
      <c r="VL13" s="1"/>
      <c r="VM13" s="58"/>
      <c r="VN13" s="59"/>
      <c r="VO13" s="4"/>
      <c r="VP13" s="39"/>
      <c r="VQ13" s="39"/>
      <c r="VR13" s="1"/>
      <c r="VS13" s="1"/>
      <c r="VT13" s="1"/>
      <c r="VU13" s="1"/>
      <c r="VV13" s="1"/>
      <c r="VW13" s="1"/>
      <c r="VX13" s="1"/>
      <c r="VY13" s="55"/>
      <c r="VZ13" s="1"/>
      <c r="WA13" s="56"/>
      <c r="WB13" s="1"/>
      <c r="WC13" s="1"/>
      <c r="WD13" s="2"/>
      <c r="WE13" s="55"/>
      <c r="WF13" s="1"/>
      <c r="WG13" s="1"/>
      <c r="WH13" s="1"/>
      <c r="WI13" s="1"/>
      <c r="WJ13" s="1"/>
      <c r="WK13" s="1"/>
      <c r="WL13" s="55"/>
      <c r="WM13" s="1"/>
      <c r="WN13" s="56"/>
      <c r="WO13" s="1"/>
      <c r="WP13" s="1"/>
      <c r="WQ13" s="2"/>
      <c r="WR13" s="55"/>
      <c r="WS13" s="55"/>
      <c r="WT13" s="55"/>
      <c r="WU13" s="56"/>
      <c r="WV13" s="57"/>
      <c r="WW13" s="55"/>
      <c r="WX13" s="1"/>
      <c r="WY13" s="58"/>
      <c r="WZ13" s="59"/>
      <c r="XA13" s="4"/>
      <c r="XB13" s="39"/>
      <c r="XC13" s="39"/>
      <c r="XD13" s="1"/>
      <c r="XE13" s="1"/>
      <c r="XF13" s="1"/>
      <c r="XG13" s="1"/>
      <c r="XH13" s="1"/>
      <c r="XI13" s="1"/>
      <c r="XJ13" s="1"/>
      <c r="XK13" s="55"/>
      <c r="XL13" s="1"/>
      <c r="XM13" s="56"/>
      <c r="XN13" s="1"/>
      <c r="XO13" s="1"/>
      <c r="XP13" s="2"/>
      <c r="XQ13" s="55"/>
      <c r="XR13" s="1"/>
      <c r="XS13" s="1"/>
      <c r="XT13" s="1"/>
      <c r="XU13" s="1"/>
      <c r="XV13" s="1"/>
      <c r="XW13" s="1"/>
      <c r="XX13" s="55"/>
      <c r="XY13" s="1"/>
      <c r="XZ13" s="56"/>
      <c r="YA13" s="1"/>
      <c r="YB13" s="1"/>
      <c r="YC13" s="2"/>
      <c r="YD13" s="55"/>
      <c r="YE13" s="55"/>
      <c r="YF13" s="55"/>
      <c r="YG13" s="56"/>
      <c r="YH13" s="57"/>
      <c r="YI13" s="55"/>
      <c r="YJ13" s="1"/>
      <c r="YK13" s="58"/>
      <c r="YL13" s="59"/>
      <c r="YM13" s="4"/>
      <c r="YN13" s="39"/>
      <c r="YO13" s="39"/>
      <c r="YP13" s="1"/>
      <c r="YQ13" s="1"/>
      <c r="YR13" s="1"/>
      <c r="YS13" s="1"/>
      <c r="YT13" s="1"/>
      <c r="YU13" s="1"/>
      <c r="YV13" s="1"/>
      <c r="YW13" s="55"/>
      <c r="YX13" s="1"/>
      <c r="YY13" s="56"/>
      <c r="YZ13" s="1"/>
      <c r="ZA13" s="1"/>
      <c r="ZB13" s="2"/>
      <c r="ZC13" s="55"/>
      <c r="ZD13" s="1"/>
      <c r="ZE13" s="1"/>
      <c r="ZF13" s="1"/>
      <c r="ZG13" s="1"/>
      <c r="ZH13" s="1"/>
      <c r="ZI13" s="1"/>
      <c r="ZJ13" s="55"/>
      <c r="ZK13" s="1"/>
      <c r="ZL13" s="56"/>
      <c r="ZM13" s="1"/>
      <c r="ZN13" s="1"/>
      <c r="ZO13" s="2"/>
      <c r="ZP13" s="55"/>
      <c r="ZQ13" s="55"/>
      <c r="ZR13" s="55"/>
      <c r="ZS13" s="56"/>
      <c r="ZT13" s="57"/>
      <c r="ZU13" s="55"/>
      <c r="ZV13" s="1"/>
      <c r="ZW13" s="58"/>
      <c r="ZX13" s="59"/>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
      </c>
      <c r="B14" s="89" t="str">
        <f t="shared" si="398"/>
        <v/>
      </c>
      <c r="C14" s="89" t="str">
        <f t="shared" si="399"/>
        <v/>
      </c>
      <c r="D14" s="89" t="str">
        <f t="shared" si="400"/>
        <v/>
      </c>
      <c r="E14" s="40"/>
      <c r="F14" s="89" t="str">
        <f t="shared" si="401"/>
        <v/>
      </c>
      <c r="G14" s="89" t="str">
        <f t="shared" si="402"/>
        <v/>
      </c>
      <c r="H14" s="36"/>
      <c r="I14" s="37"/>
      <c r="J14" s="41"/>
      <c r="K14" s="90" t="str">
        <f t="shared" si="403"/>
        <v/>
      </c>
      <c r="L14" s="41"/>
      <c r="M14" s="41"/>
      <c r="N14" s="41"/>
      <c r="O14" s="43"/>
      <c r="P14" s="91" t="str">
        <f t="shared" si="404"/>
        <v/>
      </c>
      <c r="Q14" s="4"/>
      <c r="R14" s="39"/>
      <c r="S14" s="39"/>
      <c r="T14" s="1"/>
      <c r="U14" s="1"/>
      <c r="V14" s="1"/>
      <c r="W14" s="1"/>
      <c r="X14" s="1"/>
      <c r="Y14" s="1"/>
      <c r="Z14" s="1"/>
      <c r="AA14" s="55"/>
      <c r="AB14" s="1"/>
      <c r="AC14" s="56"/>
      <c r="AD14" s="1"/>
      <c r="AE14" s="1"/>
      <c r="AF14" s="2"/>
      <c r="AG14" s="55"/>
      <c r="AH14" s="1"/>
      <c r="AI14" s="1"/>
      <c r="AJ14" s="1"/>
      <c r="AK14" s="1"/>
      <c r="AL14" s="1"/>
      <c r="AM14" s="1"/>
      <c r="AN14" s="55"/>
      <c r="AO14" s="1"/>
      <c r="AP14" s="56"/>
      <c r="AQ14" s="1"/>
      <c r="AR14" s="1"/>
      <c r="AS14" s="2"/>
      <c r="AT14" s="55"/>
      <c r="AU14" s="55"/>
      <c r="AV14" s="55"/>
      <c r="AW14" s="56"/>
      <c r="AX14" s="57"/>
      <c r="AY14" s="55"/>
      <c r="AZ14" s="1"/>
      <c r="BA14" s="58"/>
      <c r="BB14" s="59"/>
      <c r="BC14" s="4"/>
      <c r="BD14" s="39"/>
      <c r="BE14" s="39"/>
      <c r="BF14" s="1"/>
      <c r="BG14" s="1"/>
      <c r="BH14" s="1"/>
      <c r="BI14" s="1"/>
      <c r="BJ14" s="1"/>
      <c r="BK14" s="1"/>
      <c r="BL14" s="1"/>
      <c r="BM14" s="55"/>
      <c r="BN14" s="1"/>
      <c r="BO14" s="56"/>
      <c r="BP14" s="1"/>
      <c r="BQ14" s="1"/>
      <c r="BR14" s="2"/>
      <c r="BS14" s="55"/>
      <c r="BT14" s="1"/>
      <c r="BU14" s="1"/>
      <c r="BV14" s="1"/>
      <c r="BW14" s="1"/>
      <c r="BX14" s="1"/>
      <c r="BY14" s="1"/>
      <c r="BZ14" s="55"/>
      <c r="CA14" s="1"/>
      <c r="CB14" s="56"/>
      <c r="CC14" s="1"/>
      <c r="CD14" s="1"/>
      <c r="CE14" s="2"/>
      <c r="CF14" s="55"/>
      <c r="CG14" s="55"/>
      <c r="CH14" s="55"/>
      <c r="CI14" s="56"/>
      <c r="CJ14" s="57"/>
      <c r="CK14" s="55"/>
      <c r="CL14" s="1"/>
      <c r="CM14" s="58"/>
      <c r="CN14" s="59"/>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c r="EB14" s="39"/>
      <c r="EC14" s="39"/>
      <c r="ED14" s="1"/>
      <c r="EE14" s="1"/>
      <c r="EF14" s="1"/>
      <c r="EG14" s="1"/>
      <c r="EH14" s="1"/>
      <c r="EI14" s="1"/>
      <c r="EJ14" s="1"/>
      <c r="EK14" s="55"/>
      <c r="EL14" s="1"/>
      <c r="EM14" s="56"/>
      <c r="EN14" s="1"/>
      <c r="EO14" s="1"/>
      <c r="EP14" s="2"/>
      <c r="EQ14" s="55"/>
      <c r="ER14" s="1"/>
      <c r="ES14" s="1"/>
      <c r="ET14" s="1"/>
      <c r="EU14" s="1"/>
      <c r="EV14" s="1"/>
      <c r="EW14" s="1"/>
      <c r="EX14" s="55"/>
      <c r="EY14" s="1"/>
      <c r="EZ14" s="56"/>
      <c r="FA14" s="1"/>
      <c r="FB14" s="1"/>
      <c r="FC14" s="2"/>
      <c r="FD14" s="55"/>
      <c r="FE14" s="55"/>
      <c r="FF14" s="55"/>
      <c r="FG14" s="56"/>
      <c r="FH14" s="57"/>
      <c r="FI14" s="55"/>
      <c r="FJ14" s="1"/>
      <c r="FK14" s="58"/>
      <c r="FL14" s="59"/>
      <c r="FM14" s="4"/>
      <c r="FN14" s="39"/>
      <c r="FO14" s="39"/>
      <c r="FP14" s="1"/>
      <c r="FQ14" s="1"/>
      <c r="FR14" s="1"/>
      <c r="FS14" s="1"/>
      <c r="FT14" s="1"/>
      <c r="FU14" s="1"/>
      <c r="FV14" s="1"/>
      <c r="FW14" s="55"/>
      <c r="FX14" s="1"/>
      <c r="FY14" s="56"/>
      <c r="FZ14" s="1"/>
      <c r="GA14" s="1"/>
      <c r="GB14" s="2"/>
      <c r="GC14" s="55"/>
      <c r="GD14" s="1"/>
      <c r="GE14" s="1"/>
      <c r="GF14" s="1"/>
      <c r="GG14" s="1"/>
      <c r="GH14" s="1"/>
      <c r="GI14" s="1"/>
      <c r="GJ14" s="55"/>
      <c r="GK14" s="1"/>
      <c r="GL14" s="56"/>
      <c r="GM14" s="1"/>
      <c r="GN14" s="1"/>
      <c r="GO14" s="2"/>
      <c r="GP14" s="55"/>
      <c r="GQ14" s="55"/>
      <c r="GR14" s="55"/>
      <c r="GS14" s="56"/>
      <c r="GT14" s="57"/>
      <c r="GU14" s="55"/>
      <c r="GV14" s="1"/>
      <c r="GW14" s="58"/>
      <c r="GX14" s="59"/>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c r="JX14" s="39"/>
      <c r="JY14" s="39"/>
      <c r="JZ14" s="1"/>
      <c r="KA14" s="1"/>
      <c r="KB14" s="1"/>
      <c r="KC14" s="1"/>
      <c r="KD14" s="1"/>
      <c r="KE14" s="1"/>
      <c r="KF14" s="1"/>
      <c r="KG14" s="55"/>
      <c r="KH14" s="1"/>
      <c r="KI14" s="56"/>
      <c r="KJ14" s="1"/>
      <c r="KK14" s="1"/>
      <c r="KL14" s="2"/>
      <c r="KM14" s="55"/>
      <c r="KN14" s="1"/>
      <c r="KO14" s="1"/>
      <c r="KP14" s="1"/>
      <c r="KQ14" s="1"/>
      <c r="KR14" s="1"/>
      <c r="KS14" s="1"/>
      <c r="KT14" s="55"/>
      <c r="KU14" s="1"/>
      <c r="KV14" s="56"/>
      <c r="KW14" s="1"/>
      <c r="KX14" s="1"/>
      <c r="KY14" s="2"/>
      <c r="KZ14" s="55"/>
      <c r="LA14" s="55"/>
      <c r="LB14" s="55"/>
      <c r="LC14" s="56"/>
      <c r="LD14" s="57"/>
      <c r="LE14" s="55"/>
      <c r="LF14" s="1"/>
      <c r="LG14" s="58"/>
      <c r="LH14" s="59"/>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c r="PT14" s="39"/>
      <c r="PU14" s="39"/>
      <c r="PV14" s="1"/>
      <c r="PW14" s="1"/>
      <c r="PX14" s="1"/>
      <c r="PY14" s="1"/>
      <c r="PZ14" s="1"/>
      <c r="QA14" s="1"/>
      <c r="QB14" s="1"/>
      <c r="QC14" s="55"/>
      <c r="QD14" s="1"/>
      <c r="QE14" s="56"/>
      <c r="QF14" s="1"/>
      <c r="QG14" s="1"/>
      <c r="QH14" s="2"/>
      <c r="QI14" s="55"/>
      <c r="QJ14" s="1"/>
      <c r="QK14" s="1"/>
      <c r="QL14" s="1"/>
      <c r="QM14" s="1"/>
      <c r="QN14" s="1"/>
      <c r="QO14" s="1"/>
      <c r="QP14" s="55"/>
      <c r="QQ14" s="1"/>
      <c r="QR14" s="56"/>
      <c r="QS14" s="1"/>
      <c r="QT14" s="1"/>
      <c r="QU14" s="2"/>
      <c r="QV14" s="55"/>
      <c r="QW14" s="55"/>
      <c r="QX14" s="55"/>
      <c r="QY14" s="56"/>
      <c r="QZ14" s="57"/>
      <c r="RA14" s="55"/>
      <c r="RB14" s="1"/>
      <c r="RC14" s="58"/>
      <c r="RD14" s="59"/>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c r="UD14" s="39"/>
      <c r="UE14" s="39"/>
      <c r="UF14" s="1"/>
      <c r="UG14" s="1"/>
      <c r="UH14" s="1"/>
      <c r="UI14" s="1"/>
      <c r="UJ14" s="1"/>
      <c r="UK14" s="1"/>
      <c r="UL14" s="1"/>
      <c r="UM14" s="55"/>
      <c r="UN14" s="1"/>
      <c r="UO14" s="56"/>
      <c r="UP14" s="1"/>
      <c r="UQ14" s="1"/>
      <c r="UR14" s="2"/>
      <c r="US14" s="55"/>
      <c r="UT14" s="1"/>
      <c r="UU14" s="1"/>
      <c r="UV14" s="1"/>
      <c r="UW14" s="1"/>
      <c r="UX14" s="1"/>
      <c r="UY14" s="1"/>
      <c r="UZ14" s="55"/>
      <c r="VA14" s="1"/>
      <c r="VB14" s="56"/>
      <c r="VC14" s="1"/>
      <c r="VD14" s="1"/>
      <c r="VE14" s="2"/>
      <c r="VF14" s="55"/>
      <c r="VG14" s="55"/>
      <c r="VH14" s="55"/>
      <c r="VI14" s="56"/>
      <c r="VJ14" s="57"/>
      <c r="VK14" s="55"/>
      <c r="VL14" s="1"/>
      <c r="VM14" s="58"/>
      <c r="VN14" s="59"/>
      <c r="VO14" s="4"/>
      <c r="VP14" s="39"/>
      <c r="VQ14" s="39"/>
      <c r="VR14" s="1"/>
      <c r="VS14" s="1"/>
      <c r="VT14" s="1"/>
      <c r="VU14" s="1"/>
      <c r="VV14" s="1"/>
      <c r="VW14" s="1"/>
      <c r="VX14" s="1"/>
      <c r="VY14" s="55"/>
      <c r="VZ14" s="1"/>
      <c r="WA14" s="56"/>
      <c r="WB14" s="1"/>
      <c r="WC14" s="1"/>
      <c r="WD14" s="2"/>
      <c r="WE14" s="55"/>
      <c r="WF14" s="1"/>
      <c r="WG14" s="1"/>
      <c r="WH14" s="1"/>
      <c r="WI14" s="1"/>
      <c r="WJ14" s="1"/>
      <c r="WK14" s="1"/>
      <c r="WL14" s="55"/>
      <c r="WM14" s="1"/>
      <c r="WN14" s="56"/>
      <c r="WO14" s="1"/>
      <c r="WP14" s="1"/>
      <c r="WQ14" s="2"/>
      <c r="WR14" s="55"/>
      <c r="WS14" s="55"/>
      <c r="WT14" s="55"/>
      <c r="WU14" s="56"/>
      <c r="WV14" s="57"/>
      <c r="WW14" s="55"/>
      <c r="WX14" s="1"/>
      <c r="WY14" s="58"/>
      <c r="WZ14" s="59"/>
      <c r="XA14" s="4"/>
      <c r="XB14" s="39"/>
      <c r="XC14" s="39"/>
      <c r="XD14" s="1"/>
      <c r="XE14" s="1"/>
      <c r="XF14" s="1"/>
      <c r="XG14" s="1"/>
      <c r="XH14" s="1"/>
      <c r="XI14" s="1"/>
      <c r="XJ14" s="1"/>
      <c r="XK14" s="55"/>
      <c r="XL14" s="1"/>
      <c r="XM14" s="56"/>
      <c r="XN14" s="1"/>
      <c r="XO14" s="1"/>
      <c r="XP14" s="2"/>
      <c r="XQ14" s="55"/>
      <c r="XR14" s="1"/>
      <c r="XS14" s="1"/>
      <c r="XT14" s="1"/>
      <c r="XU14" s="1"/>
      <c r="XV14" s="1"/>
      <c r="XW14" s="1"/>
      <c r="XX14" s="55"/>
      <c r="XY14" s="1"/>
      <c r="XZ14" s="56"/>
      <c r="YA14" s="1"/>
      <c r="YB14" s="1"/>
      <c r="YC14" s="2"/>
      <c r="YD14" s="55"/>
      <c r="YE14" s="55"/>
      <c r="YF14" s="55"/>
      <c r="YG14" s="56"/>
      <c r="YH14" s="57"/>
      <c r="YI14" s="55"/>
      <c r="YJ14" s="1"/>
      <c r="YK14" s="58"/>
      <c r="YL14" s="59"/>
      <c r="YM14" s="4"/>
      <c r="YN14" s="39"/>
      <c r="YO14" s="39"/>
      <c r="YP14" s="1"/>
      <c r="YQ14" s="1"/>
      <c r="YR14" s="1"/>
      <c r="YS14" s="1"/>
      <c r="YT14" s="1"/>
      <c r="YU14" s="1"/>
      <c r="YV14" s="1"/>
      <c r="YW14" s="55"/>
      <c r="YX14" s="1"/>
      <c r="YY14" s="56"/>
      <c r="YZ14" s="1"/>
      <c r="ZA14" s="1"/>
      <c r="ZB14" s="2"/>
      <c r="ZC14" s="55"/>
      <c r="ZD14" s="1"/>
      <c r="ZE14" s="1"/>
      <c r="ZF14" s="1"/>
      <c r="ZG14" s="1"/>
      <c r="ZH14" s="1"/>
      <c r="ZI14" s="1"/>
      <c r="ZJ14" s="55"/>
      <c r="ZK14" s="1"/>
      <c r="ZL14" s="56"/>
      <c r="ZM14" s="1"/>
      <c r="ZN14" s="1"/>
      <c r="ZO14" s="2"/>
      <c r="ZP14" s="55"/>
      <c r="ZQ14" s="55"/>
      <c r="ZR14" s="55"/>
      <c r="ZS14" s="56"/>
      <c r="ZT14" s="57"/>
      <c r="ZU14" s="55"/>
      <c r="ZV14" s="1"/>
      <c r="ZW14" s="58"/>
      <c r="ZX14" s="59"/>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
      </c>
      <c r="B15" s="89" t="str">
        <f t="shared" si="398"/>
        <v/>
      </c>
      <c r="C15" s="89" t="str">
        <f t="shared" si="399"/>
        <v/>
      </c>
      <c r="D15" s="89" t="str">
        <f t="shared" si="400"/>
        <v/>
      </c>
      <c r="E15" s="40"/>
      <c r="F15" s="89" t="str">
        <f t="shared" si="401"/>
        <v/>
      </c>
      <c r="G15" s="89" t="str">
        <f t="shared" si="402"/>
        <v/>
      </c>
      <c r="H15" s="36"/>
      <c r="I15" s="37"/>
      <c r="J15" s="41"/>
      <c r="K15" s="90" t="str">
        <f t="shared" si="403"/>
        <v/>
      </c>
      <c r="L15" s="41"/>
      <c r="M15" s="41"/>
      <c r="N15" s="41"/>
      <c r="O15" s="43"/>
      <c r="P15" s="91" t="str">
        <f t="shared" si="404"/>
        <v/>
      </c>
      <c r="Q15" s="4"/>
      <c r="R15" s="39"/>
      <c r="S15" s="39"/>
      <c r="T15" s="1"/>
      <c r="U15" s="1"/>
      <c r="V15" s="1"/>
      <c r="W15" s="1"/>
      <c r="X15" s="1"/>
      <c r="Y15" s="1"/>
      <c r="Z15" s="1"/>
      <c r="AA15" s="55"/>
      <c r="AB15" s="1"/>
      <c r="AC15" s="56"/>
      <c r="AD15" s="1"/>
      <c r="AE15" s="1"/>
      <c r="AF15" s="2"/>
      <c r="AG15" s="55"/>
      <c r="AH15" s="1"/>
      <c r="AI15" s="1"/>
      <c r="AJ15" s="1"/>
      <c r="AK15" s="1"/>
      <c r="AL15" s="1"/>
      <c r="AM15" s="1"/>
      <c r="AN15" s="55"/>
      <c r="AO15" s="1"/>
      <c r="AP15" s="56"/>
      <c r="AQ15" s="1"/>
      <c r="AR15" s="1"/>
      <c r="AS15" s="2"/>
      <c r="AT15" s="55"/>
      <c r="AU15" s="55"/>
      <c r="AV15" s="55"/>
      <c r="AW15" s="56"/>
      <c r="AX15" s="57"/>
      <c r="AY15" s="55"/>
      <c r="AZ15" s="1"/>
      <c r="BA15" s="58"/>
      <c r="BB15" s="59"/>
      <c r="BC15" s="4"/>
      <c r="BD15" s="39"/>
      <c r="BE15" s="39"/>
      <c r="BF15" s="1"/>
      <c r="BG15" s="1"/>
      <c r="BH15" s="1"/>
      <c r="BI15" s="1"/>
      <c r="BJ15" s="1"/>
      <c r="BK15" s="1"/>
      <c r="BL15" s="1"/>
      <c r="BM15" s="55"/>
      <c r="BN15" s="1"/>
      <c r="BO15" s="56"/>
      <c r="BP15" s="1"/>
      <c r="BQ15" s="1"/>
      <c r="BR15" s="2"/>
      <c r="BS15" s="55"/>
      <c r="BT15" s="1"/>
      <c r="BU15" s="1"/>
      <c r="BV15" s="1"/>
      <c r="BW15" s="1"/>
      <c r="BX15" s="1"/>
      <c r="BY15" s="1"/>
      <c r="BZ15" s="55"/>
      <c r="CA15" s="1"/>
      <c r="CB15" s="56"/>
      <c r="CC15" s="1"/>
      <c r="CD15" s="1"/>
      <c r="CE15" s="2"/>
      <c r="CF15" s="55"/>
      <c r="CG15" s="55"/>
      <c r="CH15" s="55"/>
      <c r="CI15" s="56"/>
      <c r="CJ15" s="57"/>
      <c r="CK15" s="55"/>
      <c r="CL15" s="1"/>
      <c r="CM15" s="58"/>
      <c r="CN15" s="59"/>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c r="EB15" s="39"/>
      <c r="EC15" s="39"/>
      <c r="ED15" s="1"/>
      <c r="EE15" s="1"/>
      <c r="EF15" s="1"/>
      <c r="EG15" s="1"/>
      <c r="EH15" s="1"/>
      <c r="EI15" s="1"/>
      <c r="EJ15" s="1"/>
      <c r="EK15" s="55"/>
      <c r="EL15" s="1"/>
      <c r="EM15" s="56"/>
      <c r="EN15" s="1"/>
      <c r="EO15" s="1"/>
      <c r="EP15" s="2"/>
      <c r="EQ15" s="55"/>
      <c r="ER15" s="1"/>
      <c r="ES15" s="1"/>
      <c r="ET15" s="1"/>
      <c r="EU15" s="1"/>
      <c r="EV15" s="1"/>
      <c r="EW15" s="1"/>
      <c r="EX15" s="55"/>
      <c r="EY15" s="1"/>
      <c r="EZ15" s="56"/>
      <c r="FA15" s="1"/>
      <c r="FB15" s="1"/>
      <c r="FC15" s="2"/>
      <c r="FD15" s="55"/>
      <c r="FE15" s="55"/>
      <c r="FF15" s="55"/>
      <c r="FG15" s="56"/>
      <c r="FH15" s="57"/>
      <c r="FI15" s="55"/>
      <c r="FJ15" s="1"/>
      <c r="FK15" s="58"/>
      <c r="FL15" s="59"/>
      <c r="FM15" s="4"/>
      <c r="FN15" s="39"/>
      <c r="FO15" s="39"/>
      <c r="FP15" s="1"/>
      <c r="FQ15" s="1"/>
      <c r="FR15" s="1"/>
      <c r="FS15" s="1"/>
      <c r="FT15" s="1"/>
      <c r="FU15" s="1"/>
      <c r="FV15" s="1"/>
      <c r="FW15" s="55"/>
      <c r="FX15" s="1"/>
      <c r="FY15" s="56"/>
      <c r="FZ15" s="1"/>
      <c r="GA15" s="1"/>
      <c r="GB15" s="2"/>
      <c r="GC15" s="55"/>
      <c r="GD15" s="1"/>
      <c r="GE15" s="1"/>
      <c r="GF15" s="1"/>
      <c r="GG15" s="1"/>
      <c r="GH15" s="1"/>
      <c r="GI15" s="1"/>
      <c r="GJ15" s="55"/>
      <c r="GK15" s="1"/>
      <c r="GL15" s="56"/>
      <c r="GM15" s="1"/>
      <c r="GN15" s="1"/>
      <c r="GO15" s="2"/>
      <c r="GP15" s="55"/>
      <c r="GQ15" s="55"/>
      <c r="GR15" s="55"/>
      <c r="GS15" s="56"/>
      <c r="GT15" s="57"/>
      <c r="GU15" s="55"/>
      <c r="GV15" s="1"/>
      <c r="GW15" s="58"/>
      <c r="GX15" s="59"/>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c r="JX15" s="39"/>
      <c r="JY15" s="39"/>
      <c r="JZ15" s="1"/>
      <c r="KA15" s="1"/>
      <c r="KB15" s="1"/>
      <c r="KC15" s="1"/>
      <c r="KD15" s="1"/>
      <c r="KE15" s="1"/>
      <c r="KF15" s="1"/>
      <c r="KG15" s="55"/>
      <c r="KH15" s="1"/>
      <c r="KI15" s="56"/>
      <c r="KJ15" s="1"/>
      <c r="KK15" s="1"/>
      <c r="KL15" s="2"/>
      <c r="KM15" s="55"/>
      <c r="KN15" s="1"/>
      <c r="KO15" s="1"/>
      <c r="KP15" s="1"/>
      <c r="KQ15" s="1"/>
      <c r="KR15" s="1"/>
      <c r="KS15" s="1"/>
      <c r="KT15" s="55"/>
      <c r="KU15" s="1"/>
      <c r="KV15" s="56"/>
      <c r="KW15" s="1"/>
      <c r="KX15" s="1"/>
      <c r="KY15" s="2"/>
      <c r="KZ15" s="55"/>
      <c r="LA15" s="55"/>
      <c r="LB15" s="55"/>
      <c r="LC15" s="56"/>
      <c r="LD15" s="57"/>
      <c r="LE15" s="55"/>
      <c r="LF15" s="1"/>
      <c r="LG15" s="58"/>
      <c r="LH15" s="59"/>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c r="PT15" s="39"/>
      <c r="PU15" s="39"/>
      <c r="PV15" s="1"/>
      <c r="PW15" s="1"/>
      <c r="PX15" s="1"/>
      <c r="PY15" s="1"/>
      <c r="PZ15" s="1"/>
      <c r="QA15" s="1"/>
      <c r="QB15" s="1"/>
      <c r="QC15" s="55"/>
      <c r="QD15" s="1"/>
      <c r="QE15" s="56"/>
      <c r="QF15" s="1"/>
      <c r="QG15" s="1"/>
      <c r="QH15" s="2"/>
      <c r="QI15" s="55"/>
      <c r="QJ15" s="1"/>
      <c r="QK15" s="1"/>
      <c r="QL15" s="1"/>
      <c r="QM15" s="1"/>
      <c r="QN15" s="1"/>
      <c r="QO15" s="1"/>
      <c r="QP15" s="55"/>
      <c r="QQ15" s="1"/>
      <c r="QR15" s="56"/>
      <c r="QS15" s="1"/>
      <c r="QT15" s="1"/>
      <c r="QU15" s="2"/>
      <c r="QV15" s="55"/>
      <c r="QW15" s="55"/>
      <c r="QX15" s="55"/>
      <c r="QY15" s="56"/>
      <c r="QZ15" s="57"/>
      <c r="RA15" s="55"/>
      <c r="RB15" s="1"/>
      <c r="RC15" s="58"/>
      <c r="RD15" s="59"/>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c r="UD15" s="39"/>
      <c r="UE15" s="39"/>
      <c r="UF15" s="1"/>
      <c r="UG15" s="1"/>
      <c r="UH15" s="1"/>
      <c r="UI15" s="1"/>
      <c r="UJ15" s="1"/>
      <c r="UK15" s="1"/>
      <c r="UL15" s="1"/>
      <c r="UM15" s="55"/>
      <c r="UN15" s="1"/>
      <c r="UO15" s="56"/>
      <c r="UP15" s="1"/>
      <c r="UQ15" s="1"/>
      <c r="UR15" s="2"/>
      <c r="US15" s="55"/>
      <c r="UT15" s="1"/>
      <c r="UU15" s="1"/>
      <c r="UV15" s="1"/>
      <c r="UW15" s="1"/>
      <c r="UX15" s="1"/>
      <c r="UY15" s="1"/>
      <c r="UZ15" s="55"/>
      <c r="VA15" s="1"/>
      <c r="VB15" s="56"/>
      <c r="VC15" s="1"/>
      <c r="VD15" s="1"/>
      <c r="VE15" s="2"/>
      <c r="VF15" s="55"/>
      <c r="VG15" s="55"/>
      <c r="VH15" s="55"/>
      <c r="VI15" s="56"/>
      <c r="VJ15" s="57"/>
      <c r="VK15" s="55"/>
      <c r="VL15" s="1"/>
      <c r="VM15" s="58"/>
      <c r="VN15" s="59"/>
      <c r="VO15" s="4"/>
      <c r="VP15" s="39"/>
      <c r="VQ15" s="39"/>
      <c r="VR15" s="1"/>
      <c r="VS15" s="1"/>
      <c r="VT15" s="1"/>
      <c r="VU15" s="1"/>
      <c r="VV15" s="1"/>
      <c r="VW15" s="1"/>
      <c r="VX15" s="1"/>
      <c r="VY15" s="55"/>
      <c r="VZ15" s="1"/>
      <c r="WA15" s="56"/>
      <c r="WB15" s="1"/>
      <c r="WC15" s="1"/>
      <c r="WD15" s="2"/>
      <c r="WE15" s="55"/>
      <c r="WF15" s="1"/>
      <c r="WG15" s="1"/>
      <c r="WH15" s="1"/>
      <c r="WI15" s="1"/>
      <c r="WJ15" s="1"/>
      <c r="WK15" s="1"/>
      <c r="WL15" s="55"/>
      <c r="WM15" s="1"/>
      <c r="WN15" s="56"/>
      <c r="WO15" s="1"/>
      <c r="WP15" s="1"/>
      <c r="WQ15" s="2"/>
      <c r="WR15" s="55"/>
      <c r="WS15" s="55"/>
      <c r="WT15" s="55"/>
      <c r="WU15" s="56"/>
      <c r="WV15" s="57"/>
      <c r="WW15" s="55"/>
      <c r="WX15" s="1"/>
      <c r="WY15" s="58"/>
      <c r="WZ15" s="59"/>
      <c r="XA15" s="4"/>
      <c r="XB15" s="39"/>
      <c r="XC15" s="39"/>
      <c r="XD15" s="1"/>
      <c r="XE15" s="1"/>
      <c r="XF15" s="1"/>
      <c r="XG15" s="1"/>
      <c r="XH15" s="1"/>
      <c r="XI15" s="1"/>
      <c r="XJ15" s="1"/>
      <c r="XK15" s="55"/>
      <c r="XL15" s="1"/>
      <c r="XM15" s="56"/>
      <c r="XN15" s="1"/>
      <c r="XO15" s="1"/>
      <c r="XP15" s="2"/>
      <c r="XQ15" s="55"/>
      <c r="XR15" s="1"/>
      <c r="XS15" s="1"/>
      <c r="XT15" s="1"/>
      <c r="XU15" s="1"/>
      <c r="XV15" s="1"/>
      <c r="XW15" s="1"/>
      <c r="XX15" s="55"/>
      <c r="XY15" s="1"/>
      <c r="XZ15" s="56"/>
      <c r="YA15" s="1"/>
      <c r="YB15" s="1"/>
      <c r="YC15" s="2"/>
      <c r="YD15" s="55"/>
      <c r="YE15" s="55"/>
      <c r="YF15" s="55"/>
      <c r="YG15" s="56"/>
      <c r="YH15" s="57"/>
      <c r="YI15" s="55"/>
      <c r="YJ15" s="1"/>
      <c r="YK15" s="58"/>
      <c r="YL15" s="59"/>
      <c r="YM15" s="4"/>
      <c r="YN15" s="39"/>
      <c r="YO15" s="39"/>
      <c r="YP15" s="1"/>
      <c r="YQ15" s="1"/>
      <c r="YR15" s="1"/>
      <c r="YS15" s="1"/>
      <c r="YT15" s="1"/>
      <c r="YU15" s="1"/>
      <c r="YV15" s="1"/>
      <c r="YW15" s="55"/>
      <c r="YX15" s="1"/>
      <c r="YY15" s="56"/>
      <c r="YZ15" s="1"/>
      <c r="ZA15" s="1"/>
      <c r="ZB15" s="2"/>
      <c r="ZC15" s="55"/>
      <c r="ZD15" s="1"/>
      <c r="ZE15" s="1"/>
      <c r="ZF15" s="1"/>
      <c r="ZG15" s="1"/>
      <c r="ZH15" s="1"/>
      <c r="ZI15" s="1"/>
      <c r="ZJ15" s="55"/>
      <c r="ZK15" s="1"/>
      <c r="ZL15" s="56"/>
      <c r="ZM15" s="1"/>
      <c r="ZN15" s="1"/>
      <c r="ZO15" s="2"/>
      <c r="ZP15" s="55"/>
      <c r="ZQ15" s="55"/>
      <c r="ZR15" s="55"/>
      <c r="ZS15" s="56"/>
      <c r="ZT15" s="57"/>
      <c r="ZU15" s="55"/>
      <c r="ZV15" s="1"/>
      <c r="ZW15" s="58"/>
      <c r="ZX15" s="59"/>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
      </c>
      <c r="B16" s="89" t="str">
        <f t="shared" si="398"/>
        <v/>
      </c>
      <c r="C16" s="89" t="str">
        <f t="shared" si="399"/>
        <v/>
      </c>
      <c r="D16" s="89" t="str">
        <f t="shared" si="400"/>
        <v/>
      </c>
      <c r="E16" s="40"/>
      <c r="F16" s="89" t="str">
        <f t="shared" si="401"/>
        <v/>
      </c>
      <c r="G16" s="89" t="str">
        <f t="shared" si="402"/>
        <v/>
      </c>
      <c r="H16" s="36"/>
      <c r="I16" s="37"/>
      <c r="J16" s="41"/>
      <c r="K16" s="90" t="str">
        <f t="shared" si="403"/>
        <v/>
      </c>
      <c r="L16" s="41"/>
      <c r="M16" s="41"/>
      <c r="N16" s="41"/>
      <c r="O16" s="43"/>
      <c r="P16" s="91" t="str">
        <f t="shared" si="404"/>
        <v/>
      </c>
      <c r="Q16" s="4"/>
      <c r="R16" s="39"/>
      <c r="S16" s="39"/>
      <c r="T16" s="1"/>
      <c r="U16" s="1"/>
      <c r="V16" s="1"/>
      <c r="W16" s="1"/>
      <c r="X16" s="1"/>
      <c r="Y16" s="1"/>
      <c r="Z16" s="1"/>
      <c r="AA16" s="55"/>
      <c r="AB16" s="1"/>
      <c r="AC16" s="56"/>
      <c r="AD16" s="1"/>
      <c r="AE16" s="1"/>
      <c r="AF16" s="2"/>
      <c r="AG16" s="55"/>
      <c r="AH16" s="1"/>
      <c r="AI16" s="1"/>
      <c r="AJ16" s="1"/>
      <c r="AK16" s="1"/>
      <c r="AL16" s="1"/>
      <c r="AM16" s="1"/>
      <c r="AN16" s="55"/>
      <c r="AO16" s="1"/>
      <c r="AP16" s="56"/>
      <c r="AQ16" s="1"/>
      <c r="AR16" s="1"/>
      <c r="AS16" s="2"/>
      <c r="AT16" s="55"/>
      <c r="AU16" s="55"/>
      <c r="AV16" s="55"/>
      <c r="AW16" s="56"/>
      <c r="AX16" s="57"/>
      <c r="AY16" s="55"/>
      <c r="AZ16" s="1"/>
      <c r="BA16" s="58"/>
      <c r="BB16" s="59"/>
      <c r="BC16" s="4"/>
      <c r="BD16" s="39"/>
      <c r="BE16" s="39"/>
      <c r="BF16" s="1"/>
      <c r="BG16" s="1"/>
      <c r="BH16" s="1"/>
      <c r="BI16" s="1"/>
      <c r="BJ16" s="1"/>
      <c r="BK16" s="1"/>
      <c r="BL16" s="1"/>
      <c r="BM16" s="55"/>
      <c r="BN16" s="1"/>
      <c r="BO16" s="56"/>
      <c r="BP16" s="1"/>
      <c r="BQ16" s="1"/>
      <c r="BR16" s="2"/>
      <c r="BS16" s="55"/>
      <c r="BT16" s="1"/>
      <c r="BU16" s="1"/>
      <c r="BV16" s="1"/>
      <c r="BW16" s="1"/>
      <c r="BX16" s="1"/>
      <c r="BY16" s="1"/>
      <c r="BZ16" s="55"/>
      <c r="CA16" s="1"/>
      <c r="CB16" s="56"/>
      <c r="CC16" s="1"/>
      <c r="CD16" s="1"/>
      <c r="CE16" s="2"/>
      <c r="CF16" s="55"/>
      <c r="CG16" s="55"/>
      <c r="CH16" s="55"/>
      <c r="CI16" s="56"/>
      <c r="CJ16" s="57"/>
      <c r="CK16" s="55"/>
      <c r="CL16" s="1"/>
      <c r="CM16" s="58"/>
      <c r="CN16" s="59"/>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c r="EB16" s="39"/>
      <c r="EC16" s="39"/>
      <c r="ED16" s="1"/>
      <c r="EE16" s="1"/>
      <c r="EF16" s="1"/>
      <c r="EG16" s="1"/>
      <c r="EH16" s="1"/>
      <c r="EI16" s="1"/>
      <c r="EJ16" s="1"/>
      <c r="EK16" s="55"/>
      <c r="EL16" s="1"/>
      <c r="EM16" s="56"/>
      <c r="EN16" s="1"/>
      <c r="EO16" s="1"/>
      <c r="EP16" s="2"/>
      <c r="EQ16" s="55"/>
      <c r="ER16" s="1"/>
      <c r="ES16" s="1"/>
      <c r="ET16" s="1"/>
      <c r="EU16" s="1"/>
      <c r="EV16" s="1"/>
      <c r="EW16" s="1"/>
      <c r="EX16" s="55"/>
      <c r="EY16" s="1"/>
      <c r="EZ16" s="56"/>
      <c r="FA16" s="1"/>
      <c r="FB16" s="1"/>
      <c r="FC16" s="2"/>
      <c r="FD16" s="55"/>
      <c r="FE16" s="55"/>
      <c r="FF16" s="55"/>
      <c r="FG16" s="56"/>
      <c r="FH16" s="57"/>
      <c r="FI16" s="55"/>
      <c r="FJ16" s="1"/>
      <c r="FK16" s="58"/>
      <c r="FL16" s="59"/>
      <c r="FM16" s="4"/>
      <c r="FN16" s="39"/>
      <c r="FO16" s="39"/>
      <c r="FP16" s="1"/>
      <c r="FQ16" s="1"/>
      <c r="FR16" s="1"/>
      <c r="FS16" s="1"/>
      <c r="FT16" s="1"/>
      <c r="FU16" s="1"/>
      <c r="FV16" s="1"/>
      <c r="FW16" s="55"/>
      <c r="FX16" s="1"/>
      <c r="FY16" s="56"/>
      <c r="FZ16" s="1"/>
      <c r="GA16" s="1"/>
      <c r="GB16" s="2"/>
      <c r="GC16" s="55"/>
      <c r="GD16" s="1"/>
      <c r="GE16" s="1"/>
      <c r="GF16" s="1"/>
      <c r="GG16" s="1"/>
      <c r="GH16" s="1"/>
      <c r="GI16" s="1"/>
      <c r="GJ16" s="55"/>
      <c r="GK16" s="1"/>
      <c r="GL16" s="56"/>
      <c r="GM16" s="1"/>
      <c r="GN16" s="1"/>
      <c r="GO16" s="2"/>
      <c r="GP16" s="55"/>
      <c r="GQ16" s="55"/>
      <c r="GR16" s="55"/>
      <c r="GS16" s="56"/>
      <c r="GT16" s="57"/>
      <c r="GU16" s="55"/>
      <c r="GV16" s="1"/>
      <c r="GW16" s="58"/>
      <c r="GX16" s="59"/>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c r="JX16" s="39"/>
      <c r="JY16" s="39"/>
      <c r="JZ16" s="1"/>
      <c r="KA16" s="1"/>
      <c r="KB16" s="1"/>
      <c r="KC16" s="1"/>
      <c r="KD16" s="1"/>
      <c r="KE16" s="1"/>
      <c r="KF16" s="1"/>
      <c r="KG16" s="55"/>
      <c r="KH16" s="1"/>
      <c r="KI16" s="56"/>
      <c r="KJ16" s="1"/>
      <c r="KK16" s="1"/>
      <c r="KL16" s="2"/>
      <c r="KM16" s="55"/>
      <c r="KN16" s="1"/>
      <c r="KO16" s="1"/>
      <c r="KP16" s="1"/>
      <c r="KQ16" s="1"/>
      <c r="KR16" s="1"/>
      <c r="KS16" s="1"/>
      <c r="KT16" s="55"/>
      <c r="KU16" s="1"/>
      <c r="KV16" s="56"/>
      <c r="KW16" s="1"/>
      <c r="KX16" s="1"/>
      <c r="KY16" s="2"/>
      <c r="KZ16" s="55"/>
      <c r="LA16" s="55"/>
      <c r="LB16" s="55"/>
      <c r="LC16" s="56"/>
      <c r="LD16" s="57"/>
      <c r="LE16" s="55"/>
      <c r="LF16" s="1"/>
      <c r="LG16" s="58"/>
      <c r="LH16" s="59"/>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c r="PT16" s="39"/>
      <c r="PU16" s="39"/>
      <c r="PV16" s="1"/>
      <c r="PW16" s="1"/>
      <c r="PX16" s="1"/>
      <c r="PY16" s="1"/>
      <c r="PZ16" s="1"/>
      <c r="QA16" s="1"/>
      <c r="QB16" s="1"/>
      <c r="QC16" s="55"/>
      <c r="QD16" s="1"/>
      <c r="QE16" s="56"/>
      <c r="QF16" s="1"/>
      <c r="QG16" s="1"/>
      <c r="QH16" s="2"/>
      <c r="QI16" s="55"/>
      <c r="QJ16" s="1"/>
      <c r="QK16" s="1"/>
      <c r="QL16" s="1"/>
      <c r="QM16" s="1"/>
      <c r="QN16" s="1"/>
      <c r="QO16" s="1"/>
      <c r="QP16" s="55"/>
      <c r="QQ16" s="1"/>
      <c r="QR16" s="56"/>
      <c r="QS16" s="1"/>
      <c r="QT16" s="1"/>
      <c r="QU16" s="2"/>
      <c r="QV16" s="55"/>
      <c r="QW16" s="55"/>
      <c r="QX16" s="55"/>
      <c r="QY16" s="56"/>
      <c r="QZ16" s="57"/>
      <c r="RA16" s="55"/>
      <c r="RB16" s="1"/>
      <c r="RC16" s="58"/>
      <c r="RD16" s="59"/>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c r="UD16" s="39"/>
      <c r="UE16" s="39"/>
      <c r="UF16" s="1"/>
      <c r="UG16" s="1"/>
      <c r="UH16" s="1"/>
      <c r="UI16" s="1"/>
      <c r="UJ16" s="1"/>
      <c r="UK16" s="1"/>
      <c r="UL16" s="1"/>
      <c r="UM16" s="55"/>
      <c r="UN16" s="1"/>
      <c r="UO16" s="56"/>
      <c r="UP16" s="1"/>
      <c r="UQ16" s="1"/>
      <c r="UR16" s="2"/>
      <c r="US16" s="55"/>
      <c r="UT16" s="1"/>
      <c r="UU16" s="1"/>
      <c r="UV16" s="1"/>
      <c r="UW16" s="1"/>
      <c r="UX16" s="1"/>
      <c r="UY16" s="1"/>
      <c r="UZ16" s="55"/>
      <c r="VA16" s="1"/>
      <c r="VB16" s="56"/>
      <c r="VC16" s="1"/>
      <c r="VD16" s="1"/>
      <c r="VE16" s="2"/>
      <c r="VF16" s="55"/>
      <c r="VG16" s="55"/>
      <c r="VH16" s="55"/>
      <c r="VI16" s="56"/>
      <c r="VJ16" s="57"/>
      <c r="VK16" s="55"/>
      <c r="VL16" s="1"/>
      <c r="VM16" s="58"/>
      <c r="VN16" s="59"/>
      <c r="VO16" s="4"/>
      <c r="VP16" s="39"/>
      <c r="VQ16" s="39"/>
      <c r="VR16" s="1"/>
      <c r="VS16" s="1"/>
      <c r="VT16" s="1"/>
      <c r="VU16" s="1"/>
      <c r="VV16" s="1"/>
      <c r="VW16" s="1"/>
      <c r="VX16" s="1"/>
      <c r="VY16" s="55"/>
      <c r="VZ16" s="1"/>
      <c r="WA16" s="56"/>
      <c r="WB16" s="1"/>
      <c r="WC16" s="1"/>
      <c r="WD16" s="2"/>
      <c r="WE16" s="55"/>
      <c r="WF16" s="1"/>
      <c r="WG16" s="1"/>
      <c r="WH16" s="1"/>
      <c r="WI16" s="1"/>
      <c r="WJ16" s="1"/>
      <c r="WK16" s="1"/>
      <c r="WL16" s="55"/>
      <c r="WM16" s="1"/>
      <c r="WN16" s="56"/>
      <c r="WO16" s="1"/>
      <c r="WP16" s="1"/>
      <c r="WQ16" s="2"/>
      <c r="WR16" s="55"/>
      <c r="WS16" s="55"/>
      <c r="WT16" s="55"/>
      <c r="WU16" s="56"/>
      <c r="WV16" s="57"/>
      <c r="WW16" s="55"/>
      <c r="WX16" s="1"/>
      <c r="WY16" s="58"/>
      <c r="WZ16" s="59"/>
      <c r="XA16" s="4"/>
      <c r="XB16" s="39"/>
      <c r="XC16" s="39"/>
      <c r="XD16" s="1"/>
      <c r="XE16" s="1"/>
      <c r="XF16" s="1"/>
      <c r="XG16" s="1"/>
      <c r="XH16" s="1"/>
      <c r="XI16" s="1"/>
      <c r="XJ16" s="1"/>
      <c r="XK16" s="55"/>
      <c r="XL16" s="1"/>
      <c r="XM16" s="56"/>
      <c r="XN16" s="1"/>
      <c r="XO16" s="1"/>
      <c r="XP16" s="2"/>
      <c r="XQ16" s="55"/>
      <c r="XR16" s="1"/>
      <c r="XS16" s="1"/>
      <c r="XT16" s="1"/>
      <c r="XU16" s="1"/>
      <c r="XV16" s="1"/>
      <c r="XW16" s="1"/>
      <c r="XX16" s="55"/>
      <c r="XY16" s="1"/>
      <c r="XZ16" s="56"/>
      <c r="YA16" s="1"/>
      <c r="YB16" s="1"/>
      <c r="YC16" s="2"/>
      <c r="YD16" s="55"/>
      <c r="YE16" s="55"/>
      <c r="YF16" s="55"/>
      <c r="YG16" s="56"/>
      <c r="YH16" s="57"/>
      <c r="YI16" s="55"/>
      <c r="YJ16" s="1"/>
      <c r="YK16" s="58"/>
      <c r="YL16" s="59"/>
      <c r="YM16" s="4"/>
      <c r="YN16" s="39"/>
      <c r="YO16" s="39"/>
      <c r="YP16" s="1"/>
      <c r="YQ16" s="1"/>
      <c r="YR16" s="1"/>
      <c r="YS16" s="1"/>
      <c r="YT16" s="1"/>
      <c r="YU16" s="1"/>
      <c r="YV16" s="1"/>
      <c r="YW16" s="55"/>
      <c r="YX16" s="1"/>
      <c r="YY16" s="56"/>
      <c r="YZ16" s="1"/>
      <c r="ZA16" s="1"/>
      <c r="ZB16" s="2"/>
      <c r="ZC16" s="55"/>
      <c r="ZD16" s="1"/>
      <c r="ZE16" s="1"/>
      <c r="ZF16" s="1"/>
      <c r="ZG16" s="1"/>
      <c r="ZH16" s="1"/>
      <c r="ZI16" s="1"/>
      <c r="ZJ16" s="55"/>
      <c r="ZK16" s="1"/>
      <c r="ZL16" s="56"/>
      <c r="ZM16" s="1"/>
      <c r="ZN16" s="1"/>
      <c r="ZO16" s="2"/>
      <c r="ZP16" s="55"/>
      <c r="ZQ16" s="55"/>
      <c r="ZR16" s="55"/>
      <c r="ZS16" s="56"/>
      <c r="ZT16" s="57"/>
      <c r="ZU16" s="55"/>
      <c r="ZV16" s="1"/>
      <c r="ZW16" s="58"/>
      <c r="ZX16" s="59"/>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
      </c>
      <c r="B17" s="89" t="str">
        <f t="shared" si="398"/>
        <v/>
      </c>
      <c r="C17" s="89" t="str">
        <f t="shared" si="399"/>
        <v/>
      </c>
      <c r="D17" s="89" t="str">
        <f t="shared" si="400"/>
        <v/>
      </c>
      <c r="E17" s="40"/>
      <c r="F17" s="89" t="str">
        <f t="shared" si="401"/>
        <v/>
      </c>
      <c r="G17" s="89" t="str">
        <f t="shared" si="402"/>
        <v/>
      </c>
      <c r="H17" s="36"/>
      <c r="I17" s="37"/>
      <c r="J17" s="41"/>
      <c r="K17" s="90" t="str">
        <f t="shared" si="403"/>
        <v/>
      </c>
      <c r="L17" s="41"/>
      <c r="M17" s="41"/>
      <c r="N17" s="41"/>
      <c r="O17" s="43"/>
      <c r="P17" s="91" t="str">
        <f t="shared" si="404"/>
        <v/>
      </c>
      <c r="Q17" s="4"/>
      <c r="R17" s="39"/>
      <c r="S17" s="39"/>
      <c r="T17" s="1"/>
      <c r="U17" s="1"/>
      <c r="V17" s="1"/>
      <c r="W17" s="1"/>
      <c r="X17" s="1"/>
      <c r="Y17" s="1"/>
      <c r="Z17" s="1"/>
      <c r="AA17" s="55"/>
      <c r="AB17" s="1"/>
      <c r="AC17" s="56"/>
      <c r="AD17" s="1"/>
      <c r="AE17" s="1"/>
      <c r="AF17" s="2"/>
      <c r="AG17" s="55"/>
      <c r="AH17" s="1"/>
      <c r="AI17" s="1"/>
      <c r="AJ17" s="1"/>
      <c r="AK17" s="1"/>
      <c r="AL17" s="1"/>
      <c r="AM17" s="1"/>
      <c r="AN17" s="55"/>
      <c r="AO17" s="1"/>
      <c r="AP17" s="56"/>
      <c r="AQ17" s="1"/>
      <c r="AR17" s="1"/>
      <c r="AS17" s="2"/>
      <c r="AT17" s="55"/>
      <c r="AU17" s="55"/>
      <c r="AV17" s="55"/>
      <c r="AW17" s="56"/>
      <c r="AX17" s="57"/>
      <c r="AY17" s="55"/>
      <c r="AZ17" s="1"/>
      <c r="BA17" s="58"/>
      <c r="BB17" s="59"/>
      <c r="BC17" s="4"/>
      <c r="BD17" s="39"/>
      <c r="BE17" s="39"/>
      <c r="BF17" s="1"/>
      <c r="BG17" s="1"/>
      <c r="BH17" s="1"/>
      <c r="BI17" s="1"/>
      <c r="BJ17" s="1"/>
      <c r="BK17" s="1"/>
      <c r="BL17" s="1"/>
      <c r="BM17" s="55"/>
      <c r="BN17" s="1"/>
      <c r="BO17" s="56"/>
      <c r="BP17" s="1"/>
      <c r="BQ17" s="1"/>
      <c r="BR17" s="2"/>
      <c r="BS17" s="55"/>
      <c r="BT17" s="1"/>
      <c r="BU17" s="1"/>
      <c r="BV17" s="1"/>
      <c r="BW17" s="1"/>
      <c r="BX17" s="1"/>
      <c r="BY17" s="1"/>
      <c r="BZ17" s="55"/>
      <c r="CA17" s="1"/>
      <c r="CB17" s="56"/>
      <c r="CC17" s="1"/>
      <c r="CD17" s="1"/>
      <c r="CE17" s="2"/>
      <c r="CF17" s="55"/>
      <c r="CG17" s="55"/>
      <c r="CH17" s="55"/>
      <c r="CI17" s="56"/>
      <c r="CJ17" s="57"/>
      <c r="CK17" s="55"/>
      <c r="CL17" s="1"/>
      <c r="CM17" s="58"/>
      <c r="CN17" s="59"/>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c r="EB17" s="39"/>
      <c r="EC17" s="39"/>
      <c r="ED17" s="1"/>
      <c r="EE17" s="1"/>
      <c r="EF17" s="1"/>
      <c r="EG17" s="1"/>
      <c r="EH17" s="1"/>
      <c r="EI17" s="1"/>
      <c r="EJ17" s="1"/>
      <c r="EK17" s="55"/>
      <c r="EL17" s="1"/>
      <c r="EM17" s="56"/>
      <c r="EN17" s="1"/>
      <c r="EO17" s="1"/>
      <c r="EP17" s="2"/>
      <c r="EQ17" s="55"/>
      <c r="ER17" s="1"/>
      <c r="ES17" s="1"/>
      <c r="ET17" s="1"/>
      <c r="EU17" s="1"/>
      <c r="EV17" s="1"/>
      <c r="EW17" s="1"/>
      <c r="EX17" s="55"/>
      <c r="EY17" s="1"/>
      <c r="EZ17" s="56"/>
      <c r="FA17" s="1"/>
      <c r="FB17" s="1"/>
      <c r="FC17" s="2"/>
      <c r="FD17" s="55"/>
      <c r="FE17" s="55"/>
      <c r="FF17" s="55"/>
      <c r="FG17" s="56"/>
      <c r="FH17" s="57"/>
      <c r="FI17" s="55"/>
      <c r="FJ17" s="1"/>
      <c r="FK17" s="58"/>
      <c r="FL17" s="59"/>
      <c r="FM17" s="4"/>
      <c r="FN17" s="39"/>
      <c r="FO17" s="39"/>
      <c r="FP17" s="1"/>
      <c r="FQ17" s="1"/>
      <c r="FR17" s="1"/>
      <c r="FS17" s="1"/>
      <c r="FT17" s="1"/>
      <c r="FU17" s="1"/>
      <c r="FV17" s="1"/>
      <c r="FW17" s="55"/>
      <c r="FX17" s="1"/>
      <c r="FY17" s="56"/>
      <c r="FZ17" s="1"/>
      <c r="GA17" s="1"/>
      <c r="GB17" s="2"/>
      <c r="GC17" s="55"/>
      <c r="GD17" s="1"/>
      <c r="GE17" s="1"/>
      <c r="GF17" s="1"/>
      <c r="GG17" s="1"/>
      <c r="GH17" s="1"/>
      <c r="GI17" s="1"/>
      <c r="GJ17" s="55"/>
      <c r="GK17" s="1"/>
      <c r="GL17" s="56"/>
      <c r="GM17" s="1"/>
      <c r="GN17" s="1"/>
      <c r="GO17" s="2"/>
      <c r="GP17" s="55"/>
      <c r="GQ17" s="55"/>
      <c r="GR17" s="55"/>
      <c r="GS17" s="56"/>
      <c r="GT17" s="57"/>
      <c r="GU17" s="55"/>
      <c r="GV17" s="1"/>
      <c r="GW17" s="58"/>
      <c r="GX17" s="59"/>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c r="JX17" s="39"/>
      <c r="JY17" s="39"/>
      <c r="JZ17" s="1"/>
      <c r="KA17" s="1"/>
      <c r="KB17" s="1"/>
      <c r="KC17" s="1"/>
      <c r="KD17" s="1"/>
      <c r="KE17" s="1"/>
      <c r="KF17" s="1"/>
      <c r="KG17" s="55"/>
      <c r="KH17" s="1"/>
      <c r="KI17" s="56"/>
      <c r="KJ17" s="1"/>
      <c r="KK17" s="1"/>
      <c r="KL17" s="2"/>
      <c r="KM17" s="55"/>
      <c r="KN17" s="1"/>
      <c r="KO17" s="1"/>
      <c r="KP17" s="1"/>
      <c r="KQ17" s="1"/>
      <c r="KR17" s="1"/>
      <c r="KS17" s="1"/>
      <c r="KT17" s="55"/>
      <c r="KU17" s="1"/>
      <c r="KV17" s="56"/>
      <c r="KW17" s="1"/>
      <c r="KX17" s="1"/>
      <c r="KY17" s="2"/>
      <c r="KZ17" s="55"/>
      <c r="LA17" s="55"/>
      <c r="LB17" s="55"/>
      <c r="LC17" s="56"/>
      <c r="LD17" s="57"/>
      <c r="LE17" s="55"/>
      <c r="LF17" s="1"/>
      <c r="LG17" s="58"/>
      <c r="LH17" s="59"/>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c r="PT17" s="39"/>
      <c r="PU17" s="39"/>
      <c r="PV17" s="1"/>
      <c r="PW17" s="1"/>
      <c r="PX17" s="1"/>
      <c r="PY17" s="1"/>
      <c r="PZ17" s="1"/>
      <c r="QA17" s="1"/>
      <c r="QB17" s="1"/>
      <c r="QC17" s="55"/>
      <c r="QD17" s="1"/>
      <c r="QE17" s="56"/>
      <c r="QF17" s="1"/>
      <c r="QG17" s="1"/>
      <c r="QH17" s="2"/>
      <c r="QI17" s="55"/>
      <c r="QJ17" s="1"/>
      <c r="QK17" s="1"/>
      <c r="QL17" s="1"/>
      <c r="QM17" s="1"/>
      <c r="QN17" s="1"/>
      <c r="QO17" s="1"/>
      <c r="QP17" s="55"/>
      <c r="QQ17" s="1"/>
      <c r="QR17" s="56"/>
      <c r="QS17" s="1"/>
      <c r="QT17" s="1"/>
      <c r="QU17" s="2"/>
      <c r="QV17" s="55"/>
      <c r="QW17" s="55"/>
      <c r="QX17" s="55"/>
      <c r="QY17" s="56"/>
      <c r="QZ17" s="57"/>
      <c r="RA17" s="55"/>
      <c r="RB17" s="1"/>
      <c r="RC17" s="58"/>
      <c r="RD17" s="59"/>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c r="UD17" s="39"/>
      <c r="UE17" s="39"/>
      <c r="UF17" s="1"/>
      <c r="UG17" s="1"/>
      <c r="UH17" s="1"/>
      <c r="UI17" s="1"/>
      <c r="UJ17" s="1"/>
      <c r="UK17" s="1"/>
      <c r="UL17" s="1"/>
      <c r="UM17" s="55"/>
      <c r="UN17" s="1"/>
      <c r="UO17" s="56"/>
      <c r="UP17" s="1"/>
      <c r="UQ17" s="1"/>
      <c r="UR17" s="2"/>
      <c r="US17" s="55"/>
      <c r="UT17" s="1"/>
      <c r="UU17" s="1"/>
      <c r="UV17" s="1"/>
      <c r="UW17" s="1"/>
      <c r="UX17" s="1"/>
      <c r="UY17" s="1"/>
      <c r="UZ17" s="55"/>
      <c r="VA17" s="1"/>
      <c r="VB17" s="56"/>
      <c r="VC17" s="1"/>
      <c r="VD17" s="1"/>
      <c r="VE17" s="2"/>
      <c r="VF17" s="55"/>
      <c r="VG17" s="55"/>
      <c r="VH17" s="55"/>
      <c r="VI17" s="56"/>
      <c r="VJ17" s="57"/>
      <c r="VK17" s="55"/>
      <c r="VL17" s="1"/>
      <c r="VM17" s="58"/>
      <c r="VN17" s="59"/>
      <c r="VO17" s="4"/>
      <c r="VP17" s="39"/>
      <c r="VQ17" s="39"/>
      <c r="VR17" s="1"/>
      <c r="VS17" s="1"/>
      <c r="VT17" s="1"/>
      <c r="VU17" s="1"/>
      <c r="VV17" s="1"/>
      <c r="VW17" s="1"/>
      <c r="VX17" s="1"/>
      <c r="VY17" s="55"/>
      <c r="VZ17" s="1"/>
      <c r="WA17" s="56"/>
      <c r="WB17" s="1"/>
      <c r="WC17" s="1"/>
      <c r="WD17" s="2"/>
      <c r="WE17" s="55"/>
      <c r="WF17" s="1"/>
      <c r="WG17" s="1"/>
      <c r="WH17" s="1"/>
      <c r="WI17" s="1"/>
      <c r="WJ17" s="1"/>
      <c r="WK17" s="1"/>
      <c r="WL17" s="55"/>
      <c r="WM17" s="1"/>
      <c r="WN17" s="56"/>
      <c r="WO17" s="1"/>
      <c r="WP17" s="1"/>
      <c r="WQ17" s="2"/>
      <c r="WR17" s="55"/>
      <c r="WS17" s="55"/>
      <c r="WT17" s="55"/>
      <c r="WU17" s="56"/>
      <c r="WV17" s="57"/>
      <c r="WW17" s="55"/>
      <c r="WX17" s="1"/>
      <c r="WY17" s="58"/>
      <c r="WZ17" s="59"/>
      <c r="XA17" s="4"/>
      <c r="XB17" s="39"/>
      <c r="XC17" s="39"/>
      <c r="XD17" s="1"/>
      <c r="XE17" s="1"/>
      <c r="XF17" s="1"/>
      <c r="XG17" s="1"/>
      <c r="XH17" s="1"/>
      <c r="XI17" s="1"/>
      <c r="XJ17" s="1"/>
      <c r="XK17" s="55"/>
      <c r="XL17" s="1"/>
      <c r="XM17" s="56"/>
      <c r="XN17" s="1"/>
      <c r="XO17" s="1"/>
      <c r="XP17" s="2"/>
      <c r="XQ17" s="55"/>
      <c r="XR17" s="1"/>
      <c r="XS17" s="1"/>
      <c r="XT17" s="1"/>
      <c r="XU17" s="1"/>
      <c r="XV17" s="1"/>
      <c r="XW17" s="1"/>
      <c r="XX17" s="55"/>
      <c r="XY17" s="1"/>
      <c r="XZ17" s="56"/>
      <c r="YA17" s="1"/>
      <c r="YB17" s="1"/>
      <c r="YC17" s="2"/>
      <c r="YD17" s="55"/>
      <c r="YE17" s="55"/>
      <c r="YF17" s="55"/>
      <c r="YG17" s="56"/>
      <c r="YH17" s="57"/>
      <c r="YI17" s="55"/>
      <c r="YJ17" s="1"/>
      <c r="YK17" s="58"/>
      <c r="YL17" s="59"/>
      <c r="YM17" s="4"/>
      <c r="YN17" s="39"/>
      <c r="YO17" s="39"/>
      <c r="YP17" s="1"/>
      <c r="YQ17" s="1"/>
      <c r="YR17" s="1"/>
      <c r="YS17" s="1"/>
      <c r="YT17" s="1"/>
      <c r="YU17" s="1"/>
      <c r="YV17" s="1"/>
      <c r="YW17" s="55"/>
      <c r="YX17" s="1"/>
      <c r="YY17" s="56"/>
      <c r="YZ17" s="1"/>
      <c r="ZA17" s="1"/>
      <c r="ZB17" s="2"/>
      <c r="ZC17" s="55"/>
      <c r="ZD17" s="1"/>
      <c r="ZE17" s="1"/>
      <c r="ZF17" s="1"/>
      <c r="ZG17" s="1"/>
      <c r="ZH17" s="1"/>
      <c r="ZI17" s="1"/>
      <c r="ZJ17" s="55"/>
      <c r="ZK17" s="1"/>
      <c r="ZL17" s="56"/>
      <c r="ZM17" s="1"/>
      <c r="ZN17" s="1"/>
      <c r="ZO17" s="2"/>
      <c r="ZP17" s="55"/>
      <c r="ZQ17" s="55"/>
      <c r="ZR17" s="55"/>
      <c r="ZS17" s="56"/>
      <c r="ZT17" s="57"/>
      <c r="ZU17" s="55"/>
      <c r="ZV17" s="1"/>
      <c r="ZW17" s="58"/>
      <c r="ZX17" s="59"/>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
      </c>
      <c r="B18" s="89" t="str">
        <f t="shared" si="398"/>
        <v/>
      </c>
      <c r="C18" s="89" t="str">
        <f t="shared" si="399"/>
        <v/>
      </c>
      <c r="D18" s="89" t="str">
        <f t="shared" si="400"/>
        <v/>
      </c>
      <c r="E18" s="40"/>
      <c r="F18" s="89" t="str">
        <f t="shared" si="401"/>
        <v/>
      </c>
      <c r="G18" s="89" t="str">
        <f t="shared" si="402"/>
        <v/>
      </c>
      <c r="H18" s="36"/>
      <c r="I18" s="37"/>
      <c r="J18" s="41"/>
      <c r="K18" s="90" t="str">
        <f t="shared" si="403"/>
        <v/>
      </c>
      <c r="L18" s="41"/>
      <c r="M18" s="41"/>
      <c r="N18" s="41"/>
      <c r="O18" s="43"/>
      <c r="P18" s="91" t="str">
        <f t="shared" si="404"/>
        <v/>
      </c>
      <c r="Q18" s="4"/>
      <c r="R18" s="39"/>
      <c r="S18" s="39"/>
      <c r="T18" s="1"/>
      <c r="U18" s="1"/>
      <c r="V18" s="1"/>
      <c r="W18" s="1"/>
      <c r="X18" s="1"/>
      <c r="Y18" s="1"/>
      <c r="Z18" s="1"/>
      <c r="AA18" s="55"/>
      <c r="AB18" s="1"/>
      <c r="AC18" s="56"/>
      <c r="AD18" s="1"/>
      <c r="AE18" s="1"/>
      <c r="AF18" s="2"/>
      <c r="AG18" s="55"/>
      <c r="AH18" s="1"/>
      <c r="AI18" s="1"/>
      <c r="AJ18" s="1"/>
      <c r="AK18" s="1"/>
      <c r="AL18" s="1"/>
      <c r="AM18" s="1"/>
      <c r="AN18" s="55"/>
      <c r="AO18" s="1"/>
      <c r="AP18" s="56"/>
      <c r="AQ18" s="1"/>
      <c r="AR18" s="1"/>
      <c r="AS18" s="2"/>
      <c r="AT18" s="55"/>
      <c r="AU18" s="55"/>
      <c r="AV18" s="55"/>
      <c r="AW18" s="56"/>
      <c r="AX18" s="57"/>
      <c r="AY18" s="55"/>
      <c r="AZ18" s="1"/>
      <c r="BA18" s="58"/>
      <c r="BB18" s="59"/>
      <c r="BC18" s="4"/>
      <c r="BD18" s="39"/>
      <c r="BE18" s="39"/>
      <c r="BF18" s="1"/>
      <c r="BG18" s="1"/>
      <c r="BH18" s="1"/>
      <c r="BI18" s="1"/>
      <c r="BJ18" s="1"/>
      <c r="BK18" s="1"/>
      <c r="BL18" s="1"/>
      <c r="BM18" s="55"/>
      <c r="BN18" s="1"/>
      <c r="BO18" s="56"/>
      <c r="BP18" s="1"/>
      <c r="BQ18" s="1"/>
      <c r="BR18" s="2"/>
      <c r="BS18" s="55"/>
      <c r="BT18" s="1"/>
      <c r="BU18" s="1"/>
      <c r="BV18" s="1"/>
      <c r="BW18" s="1"/>
      <c r="BX18" s="1"/>
      <c r="BY18" s="1"/>
      <c r="BZ18" s="55"/>
      <c r="CA18" s="1"/>
      <c r="CB18" s="56"/>
      <c r="CC18" s="1"/>
      <c r="CD18" s="1"/>
      <c r="CE18" s="2"/>
      <c r="CF18" s="55"/>
      <c r="CG18" s="55"/>
      <c r="CH18" s="55"/>
      <c r="CI18" s="56"/>
      <c r="CJ18" s="57"/>
      <c r="CK18" s="55"/>
      <c r="CL18" s="1"/>
      <c r="CM18" s="58"/>
      <c r="CN18" s="59"/>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c r="EB18" s="39"/>
      <c r="EC18" s="39"/>
      <c r="ED18" s="1"/>
      <c r="EE18" s="1"/>
      <c r="EF18" s="1"/>
      <c r="EG18" s="1"/>
      <c r="EH18" s="1"/>
      <c r="EI18" s="1"/>
      <c r="EJ18" s="1"/>
      <c r="EK18" s="55"/>
      <c r="EL18" s="1"/>
      <c r="EM18" s="56"/>
      <c r="EN18" s="1"/>
      <c r="EO18" s="1"/>
      <c r="EP18" s="2"/>
      <c r="EQ18" s="55"/>
      <c r="ER18" s="1"/>
      <c r="ES18" s="1"/>
      <c r="ET18" s="1"/>
      <c r="EU18" s="1"/>
      <c r="EV18" s="1"/>
      <c r="EW18" s="1"/>
      <c r="EX18" s="55"/>
      <c r="EY18" s="1"/>
      <c r="EZ18" s="56"/>
      <c r="FA18" s="1"/>
      <c r="FB18" s="1"/>
      <c r="FC18" s="2"/>
      <c r="FD18" s="55"/>
      <c r="FE18" s="55"/>
      <c r="FF18" s="55"/>
      <c r="FG18" s="56"/>
      <c r="FH18" s="57"/>
      <c r="FI18" s="55"/>
      <c r="FJ18" s="1"/>
      <c r="FK18" s="58"/>
      <c r="FL18" s="59"/>
      <c r="FM18" s="4"/>
      <c r="FN18" s="39"/>
      <c r="FO18" s="39"/>
      <c r="FP18" s="1"/>
      <c r="FQ18" s="1"/>
      <c r="FR18" s="1"/>
      <c r="FS18" s="1"/>
      <c r="FT18" s="1"/>
      <c r="FU18" s="1"/>
      <c r="FV18" s="1"/>
      <c r="FW18" s="55"/>
      <c r="FX18" s="1"/>
      <c r="FY18" s="56"/>
      <c r="FZ18" s="1"/>
      <c r="GA18" s="1"/>
      <c r="GB18" s="2"/>
      <c r="GC18" s="55"/>
      <c r="GD18" s="1"/>
      <c r="GE18" s="1"/>
      <c r="GF18" s="1"/>
      <c r="GG18" s="1"/>
      <c r="GH18" s="1"/>
      <c r="GI18" s="1"/>
      <c r="GJ18" s="55"/>
      <c r="GK18" s="1"/>
      <c r="GL18" s="56"/>
      <c r="GM18" s="1"/>
      <c r="GN18" s="1"/>
      <c r="GO18" s="2"/>
      <c r="GP18" s="55"/>
      <c r="GQ18" s="55"/>
      <c r="GR18" s="55"/>
      <c r="GS18" s="56"/>
      <c r="GT18" s="57"/>
      <c r="GU18" s="55"/>
      <c r="GV18" s="1"/>
      <c r="GW18" s="58"/>
      <c r="GX18" s="59"/>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c r="JX18" s="39"/>
      <c r="JY18" s="39"/>
      <c r="JZ18" s="1"/>
      <c r="KA18" s="1"/>
      <c r="KB18" s="1"/>
      <c r="KC18" s="1"/>
      <c r="KD18" s="1"/>
      <c r="KE18" s="1"/>
      <c r="KF18" s="1"/>
      <c r="KG18" s="55"/>
      <c r="KH18" s="1"/>
      <c r="KI18" s="56"/>
      <c r="KJ18" s="1"/>
      <c r="KK18" s="1"/>
      <c r="KL18" s="2"/>
      <c r="KM18" s="55"/>
      <c r="KN18" s="1"/>
      <c r="KO18" s="1"/>
      <c r="KP18" s="1"/>
      <c r="KQ18" s="1"/>
      <c r="KR18" s="1"/>
      <c r="KS18" s="1"/>
      <c r="KT18" s="55"/>
      <c r="KU18" s="1"/>
      <c r="KV18" s="56"/>
      <c r="KW18" s="1"/>
      <c r="KX18" s="1"/>
      <c r="KY18" s="2"/>
      <c r="KZ18" s="55"/>
      <c r="LA18" s="55"/>
      <c r="LB18" s="55"/>
      <c r="LC18" s="56"/>
      <c r="LD18" s="57"/>
      <c r="LE18" s="55"/>
      <c r="LF18" s="1"/>
      <c r="LG18" s="58"/>
      <c r="LH18" s="59"/>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c r="PT18" s="39"/>
      <c r="PU18" s="39"/>
      <c r="PV18" s="1"/>
      <c r="PW18" s="1"/>
      <c r="PX18" s="1"/>
      <c r="PY18" s="1"/>
      <c r="PZ18" s="1"/>
      <c r="QA18" s="1"/>
      <c r="QB18" s="1"/>
      <c r="QC18" s="55"/>
      <c r="QD18" s="1"/>
      <c r="QE18" s="56"/>
      <c r="QF18" s="1"/>
      <c r="QG18" s="1"/>
      <c r="QH18" s="2"/>
      <c r="QI18" s="55"/>
      <c r="QJ18" s="1"/>
      <c r="QK18" s="1"/>
      <c r="QL18" s="1"/>
      <c r="QM18" s="1"/>
      <c r="QN18" s="1"/>
      <c r="QO18" s="1"/>
      <c r="QP18" s="55"/>
      <c r="QQ18" s="1"/>
      <c r="QR18" s="56"/>
      <c r="QS18" s="1"/>
      <c r="QT18" s="1"/>
      <c r="QU18" s="2"/>
      <c r="QV18" s="55"/>
      <c r="QW18" s="55"/>
      <c r="QX18" s="55"/>
      <c r="QY18" s="56"/>
      <c r="QZ18" s="57"/>
      <c r="RA18" s="55"/>
      <c r="RB18" s="1"/>
      <c r="RC18" s="58"/>
      <c r="RD18" s="59"/>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c r="UD18" s="39"/>
      <c r="UE18" s="39"/>
      <c r="UF18" s="1"/>
      <c r="UG18" s="1"/>
      <c r="UH18" s="1"/>
      <c r="UI18" s="1"/>
      <c r="UJ18" s="1"/>
      <c r="UK18" s="1"/>
      <c r="UL18" s="1"/>
      <c r="UM18" s="55"/>
      <c r="UN18" s="1"/>
      <c r="UO18" s="56"/>
      <c r="UP18" s="1"/>
      <c r="UQ18" s="1"/>
      <c r="UR18" s="2"/>
      <c r="US18" s="55"/>
      <c r="UT18" s="1"/>
      <c r="UU18" s="1"/>
      <c r="UV18" s="1"/>
      <c r="UW18" s="1"/>
      <c r="UX18" s="1"/>
      <c r="UY18" s="1"/>
      <c r="UZ18" s="55"/>
      <c r="VA18" s="1"/>
      <c r="VB18" s="56"/>
      <c r="VC18" s="1"/>
      <c r="VD18" s="1"/>
      <c r="VE18" s="2"/>
      <c r="VF18" s="55"/>
      <c r="VG18" s="55"/>
      <c r="VH18" s="55"/>
      <c r="VI18" s="56"/>
      <c r="VJ18" s="57"/>
      <c r="VK18" s="55"/>
      <c r="VL18" s="1"/>
      <c r="VM18" s="58"/>
      <c r="VN18" s="59"/>
      <c r="VO18" s="4"/>
      <c r="VP18" s="39"/>
      <c r="VQ18" s="39"/>
      <c r="VR18" s="1"/>
      <c r="VS18" s="1"/>
      <c r="VT18" s="1"/>
      <c r="VU18" s="1"/>
      <c r="VV18" s="1"/>
      <c r="VW18" s="1"/>
      <c r="VX18" s="1"/>
      <c r="VY18" s="55"/>
      <c r="VZ18" s="1"/>
      <c r="WA18" s="56"/>
      <c r="WB18" s="1"/>
      <c r="WC18" s="1"/>
      <c r="WD18" s="2"/>
      <c r="WE18" s="55"/>
      <c r="WF18" s="1"/>
      <c r="WG18" s="1"/>
      <c r="WH18" s="1"/>
      <c r="WI18" s="1"/>
      <c r="WJ18" s="1"/>
      <c r="WK18" s="1"/>
      <c r="WL18" s="55"/>
      <c r="WM18" s="1"/>
      <c r="WN18" s="56"/>
      <c r="WO18" s="1"/>
      <c r="WP18" s="1"/>
      <c r="WQ18" s="2"/>
      <c r="WR18" s="55"/>
      <c r="WS18" s="55"/>
      <c r="WT18" s="55"/>
      <c r="WU18" s="56"/>
      <c r="WV18" s="57"/>
      <c r="WW18" s="55"/>
      <c r="WX18" s="1"/>
      <c r="WY18" s="58"/>
      <c r="WZ18" s="59"/>
      <c r="XA18" s="4"/>
      <c r="XB18" s="39"/>
      <c r="XC18" s="39"/>
      <c r="XD18" s="1"/>
      <c r="XE18" s="1"/>
      <c r="XF18" s="1"/>
      <c r="XG18" s="1"/>
      <c r="XH18" s="1"/>
      <c r="XI18" s="1"/>
      <c r="XJ18" s="1"/>
      <c r="XK18" s="55"/>
      <c r="XL18" s="1"/>
      <c r="XM18" s="56"/>
      <c r="XN18" s="1"/>
      <c r="XO18" s="1"/>
      <c r="XP18" s="2"/>
      <c r="XQ18" s="55"/>
      <c r="XR18" s="1"/>
      <c r="XS18" s="1"/>
      <c r="XT18" s="1"/>
      <c r="XU18" s="1"/>
      <c r="XV18" s="1"/>
      <c r="XW18" s="1"/>
      <c r="XX18" s="55"/>
      <c r="XY18" s="1"/>
      <c r="XZ18" s="56"/>
      <c r="YA18" s="1"/>
      <c r="YB18" s="1"/>
      <c r="YC18" s="2"/>
      <c r="YD18" s="55"/>
      <c r="YE18" s="55"/>
      <c r="YF18" s="55"/>
      <c r="YG18" s="56"/>
      <c r="YH18" s="57"/>
      <c r="YI18" s="55"/>
      <c r="YJ18" s="1"/>
      <c r="YK18" s="58"/>
      <c r="YL18" s="59"/>
      <c r="YM18" s="4"/>
      <c r="YN18" s="39"/>
      <c r="YO18" s="39"/>
      <c r="YP18" s="1"/>
      <c r="YQ18" s="1"/>
      <c r="YR18" s="1"/>
      <c r="YS18" s="1"/>
      <c r="YT18" s="1"/>
      <c r="YU18" s="1"/>
      <c r="YV18" s="1"/>
      <c r="YW18" s="55"/>
      <c r="YX18" s="1"/>
      <c r="YY18" s="56"/>
      <c r="YZ18" s="1"/>
      <c r="ZA18" s="1"/>
      <c r="ZB18" s="2"/>
      <c r="ZC18" s="55"/>
      <c r="ZD18" s="1"/>
      <c r="ZE18" s="1"/>
      <c r="ZF18" s="1"/>
      <c r="ZG18" s="1"/>
      <c r="ZH18" s="1"/>
      <c r="ZI18" s="1"/>
      <c r="ZJ18" s="55"/>
      <c r="ZK18" s="1"/>
      <c r="ZL18" s="56"/>
      <c r="ZM18" s="1"/>
      <c r="ZN18" s="1"/>
      <c r="ZO18" s="2"/>
      <c r="ZP18" s="55"/>
      <c r="ZQ18" s="55"/>
      <c r="ZR18" s="55"/>
      <c r="ZS18" s="56"/>
      <c r="ZT18" s="57"/>
      <c r="ZU18" s="55"/>
      <c r="ZV18" s="1"/>
      <c r="ZW18" s="58"/>
      <c r="ZX18" s="59"/>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
      </c>
      <c r="B19" s="89" t="str">
        <f t="shared" si="398"/>
        <v/>
      </c>
      <c r="C19" s="89" t="str">
        <f t="shared" si="399"/>
        <v/>
      </c>
      <c r="D19" s="89" t="str">
        <f t="shared" si="400"/>
        <v/>
      </c>
      <c r="E19" s="40"/>
      <c r="F19" s="89" t="str">
        <f t="shared" si="401"/>
        <v/>
      </c>
      <c r="G19" s="89" t="str">
        <f t="shared" si="402"/>
        <v/>
      </c>
      <c r="H19" s="36"/>
      <c r="I19" s="37"/>
      <c r="J19" s="41"/>
      <c r="K19" s="90" t="str">
        <f t="shared" si="403"/>
        <v/>
      </c>
      <c r="L19" s="41"/>
      <c r="M19" s="41"/>
      <c r="N19" s="41"/>
      <c r="O19" s="43"/>
      <c r="P19" s="91" t="str">
        <f t="shared" si="404"/>
        <v/>
      </c>
      <c r="Q19" s="4"/>
      <c r="R19" s="39"/>
      <c r="S19" s="39"/>
      <c r="T19" s="1"/>
      <c r="U19" s="1"/>
      <c r="V19" s="1"/>
      <c r="W19" s="1"/>
      <c r="X19" s="1"/>
      <c r="Y19" s="1"/>
      <c r="Z19" s="1"/>
      <c r="AA19" s="55"/>
      <c r="AB19" s="1"/>
      <c r="AC19" s="56"/>
      <c r="AD19" s="1"/>
      <c r="AE19" s="1"/>
      <c r="AF19" s="2"/>
      <c r="AG19" s="55"/>
      <c r="AH19" s="1"/>
      <c r="AI19" s="1"/>
      <c r="AJ19" s="1"/>
      <c r="AK19" s="1"/>
      <c r="AL19" s="1"/>
      <c r="AM19" s="1"/>
      <c r="AN19" s="55"/>
      <c r="AO19" s="1"/>
      <c r="AP19" s="56"/>
      <c r="AQ19" s="1"/>
      <c r="AR19" s="1"/>
      <c r="AS19" s="2"/>
      <c r="AT19" s="55"/>
      <c r="AU19" s="55"/>
      <c r="AV19" s="55"/>
      <c r="AW19" s="56"/>
      <c r="AX19" s="57"/>
      <c r="AY19" s="55"/>
      <c r="AZ19" s="1"/>
      <c r="BA19" s="58"/>
      <c r="BB19" s="59"/>
      <c r="BC19" s="4"/>
      <c r="BD19" s="39"/>
      <c r="BE19" s="39"/>
      <c r="BF19" s="1"/>
      <c r="BG19" s="1"/>
      <c r="BH19" s="1"/>
      <c r="BI19" s="1"/>
      <c r="BJ19" s="1"/>
      <c r="BK19" s="1"/>
      <c r="BL19" s="1"/>
      <c r="BM19" s="55"/>
      <c r="BN19" s="1"/>
      <c r="BO19" s="56"/>
      <c r="BP19" s="1"/>
      <c r="BQ19" s="1"/>
      <c r="BR19" s="2"/>
      <c r="BS19" s="55"/>
      <c r="BT19" s="1"/>
      <c r="BU19" s="1"/>
      <c r="BV19" s="1"/>
      <c r="BW19" s="1"/>
      <c r="BX19" s="1"/>
      <c r="BY19" s="1"/>
      <c r="BZ19" s="55"/>
      <c r="CA19" s="1"/>
      <c r="CB19" s="56"/>
      <c r="CC19" s="1"/>
      <c r="CD19" s="1"/>
      <c r="CE19" s="2"/>
      <c r="CF19" s="55"/>
      <c r="CG19" s="55"/>
      <c r="CH19" s="55"/>
      <c r="CI19" s="56"/>
      <c r="CJ19" s="57"/>
      <c r="CK19" s="55"/>
      <c r="CL19" s="1"/>
      <c r="CM19" s="58"/>
      <c r="CN19" s="59"/>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c r="EB19" s="39"/>
      <c r="EC19" s="39"/>
      <c r="ED19" s="1"/>
      <c r="EE19" s="1"/>
      <c r="EF19" s="1"/>
      <c r="EG19" s="1"/>
      <c r="EH19" s="1"/>
      <c r="EI19" s="1"/>
      <c r="EJ19" s="1"/>
      <c r="EK19" s="55"/>
      <c r="EL19" s="1"/>
      <c r="EM19" s="56"/>
      <c r="EN19" s="1"/>
      <c r="EO19" s="1"/>
      <c r="EP19" s="2"/>
      <c r="EQ19" s="55"/>
      <c r="ER19" s="1"/>
      <c r="ES19" s="1"/>
      <c r="ET19" s="1"/>
      <c r="EU19" s="1"/>
      <c r="EV19" s="1"/>
      <c r="EW19" s="1"/>
      <c r="EX19" s="55"/>
      <c r="EY19" s="1"/>
      <c r="EZ19" s="56"/>
      <c r="FA19" s="1"/>
      <c r="FB19" s="1"/>
      <c r="FC19" s="2"/>
      <c r="FD19" s="55"/>
      <c r="FE19" s="55"/>
      <c r="FF19" s="55"/>
      <c r="FG19" s="56"/>
      <c r="FH19" s="57"/>
      <c r="FI19" s="55"/>
      <c r="FJ19" s="1"/>
      <c r="FK19" s="58"/>
      <c r="FL19" s="59"/>
      <c r="FM19" s="4"/>
      <c r="FN19" s="39"/>
      <c r="FO19" s="39"/>
      <c r="FP19" s="1"/>
      <c r="FQ19" s="1"/>
      <c r="FR19" s="1"/>
      <c r="FS19" s="1"/>
      <c r="FT19" s="1"/>
      <c r="FU19" s="1"/>
      <c r="FV19" s="1"/>
      <c r="FW19" s="55"/>
      <c r="FX19" s="1"/>
      <c r="FY19" s="56"/>
      <c r="FZ19" s="1"/>
      <c r="GA19" s="1"/>
      <c r="GB19" s="2"/>
      <c r="GC19" s="55"/>
      <c r="GD19" s="1"/>
      <c r="GE19" s="1"/>
      <c r="GF19" s="1"/>
      <c r="GG19" s="1"/>
      <c r="GH19" s="1"/>
      <c r="GI19" s="1"/>
      <c r="GJ19" s="55"/>
      <c r="GK19" s="1"/>
      <c r="GL19" s="56"/>
      <c r="GM19" s="1"/>
      <c r="GN19" s="1"/>
      <c r="GO19" s="2"/>
      <c r="GP19" s="55"/>
      <c r="GQ19" s="55"/>
      <c r="GR19" s="55"/>
      <c r="GS19" s="56"/>
      <c r="GT19" s="57"/>
      <c r="GU19" s="55"/>
      <c r="GV19" s="1"/>
      <c r="GW19" s="58"/>
      <c r="GX19" s="59"/>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c r="JX19" s="39"/>
      <c r="JY19" s="39"/>
      <c r="JZ19" s="1"/>
      <c r="KA19" s="1"/>
      <c r="KB19" s="1"/>
      <c r="KC19" s="1"/>
      <c r="KD19" s="1"/>
      <c r="KE19" s="1"/>
      <c r="KF19" s="1"/>
      <c r="KG19" s="55"/>
      <c r="KH19" s="1"/>
      <c r="KI19" s="56"/>
      <c r="KJ19" s="1"/>
      <c r="KK19" s="1"/>
      <c r="KL19" s="2"/>
      <c r="KM19" s="55"/>
      <c r="KN19" s="1"/>
      <c r="KO19" s="1"/>
      <c r="KP19" s="1"/>
      <c r="KQ19" s="1"/>
      <c r="KR19" s="1"/>
      <c r="KS19" s="1"/>
      <c r="KT19" s="55"/>
      <c r="KU19" s="1"/>
      <c r="KV19" s="56"/>
      <c r="KW19" s="1"/>
      <c r="KX19" s="1"/>
      <c r="KY19" s="2"/>
      <c r="KZ19" s="55"/>
      <c r="LA19" s="55"/>
      <c r="LB19" s="55"/>
      <c r="LC19" s="56"/>
      <c r="LD19" s="57"/>
      <c r="LE19" s="55"/>
      <c r="LF19" s="1"/>
      <c r="LG19" s="58"/>
      <c r="LH19" s="59"/>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c r="PT19" s="39"/>
      <c r="PU19" s="39"/>
      <c r="PV19" s="1"/>
      <c r="PW19" s="1"/>
      <c r="PX19" s="1"/>
      <c r="PY19" s="1"/>
      <c r="PZ19" s="1"/>
      <c r="QA19" s="1"/>
      <c r="QB19" s="1"/>
      <c r="QC19" s="55"/>
      <c r="QD19" s="1"/>
      <c r="QE19" s="56"/>
      <c r="QF19" s="1"/>
      <c r="QG19" s="1"/>
      <c r="QH19" s="2"/>
      <c r="QI19" s="55"/>
      <c r="QJ19" s="1"/>
      <c r="QK19" s="1"/>
      <c r="QL19" s="1"/>
      <c r="QM19" s="1"/>
      <c r="QN19" s="1"/>
      <c r="QO19" s="1"/>
      <c r="QP19" s="55"/>
      <c r="QQ19" s="1"/>
      <c r="QR19" s="56"/>
      <c r="QS19" s="1"/>
      <c r="QT19" s="1"/>
      <c r="QU19" s="2"/>
      <c r="QV19" s="55"/>
      <c r="QW19" s="55"/>
      <c r="QX19" s="55"/>
      <c r="QY19" s="56"/>
      <c r="QZ19" s="57"/>
      <c r="RA19" s="55"/>
      <c r="RB19" s="1"/>
      <c r="RC19" s="58"/>
      <c r="RD19" s="59"/>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c r="UD19" s="39"/>
      <c r="UE19" s="39"/>
      <c r="UF19" s="1"/>
      <c r="UG19" s="1"/>
      <c r="UH19" s="1"/>
      <c r="UI19" s="1"/>
      <c r="UJ19" s="1"/>
      <c r="UK19" s="1"/>
      <c r="UL19" s="1"/>
      <c r="UM19" s="55"/>
      <c r="UN19" s="1"/>
      <c r="UO19" s="56"/>
      <c r="UP19" s="1"/>
      <c r="UQ19" s="1"/>
      <c r="UR19" s="2"/>
      <c r="US19" s="55"/>
      <c r="UT19" s="1"/>
      <c r="UU19" s="1"/>
      <c r="UV19" s="1"/>
      <c r="UW19" s="1"/>
      <c r="UX19" s="1"/>
      <c r="UY19" s="1"/>
      <c r="UZ19" s="55"/>
      <c r="VA19" s="1"/>
      <c r="VB19" s="56"/>
      <c r="VC19" s="1"/>
      <c r="VD19" s="1"/>
      <c r="VE19" s="2"/>
      <c r="VF19" s="55"/>
      <c r="VG19" s="55"/>
      <c r="VH19" s="55"/>
      <c r="VI19" s="56"/>
      <c r="VJ19" s="57"/>
      <c r="VK19" s="55"/>
      <c r="VL19" s="1"/>
      <c r="VM19" s="58"/>
      <c r="VN19" s="59"/>
      <c r="VO19" s="4"/>
      <c r="VP19" s="39"/>
      <c r="VQ19" s="39"/>
      <c r="VR19" s="1"/>
      <c r="VS19" s="1"/>
      <c r="VT19" s="1"/>
      <c r="VU19" s="1"/>
      <c r="VV19" s="1"/>
      <c r="VW19" s="1"/>
      <c r="VX19" s="1"/>
      <c r="VY19" s="55"/>
      <c r="VZ19" s="1"/>
      <c r="WA19" s="56"/>
      <c r="WB19" s="1"/>
      <c r="WC19" s="1"/>
      <c r="WD19" s="2"/>
      <c r="WE19" s="55"/>
      <c r="WF19" s="1"/>
      <c r="WG19" s="1"/>
      <c r="WH19" s="1"/>
      <c r="WI19" s="1"/>
      <c r="WJ19" s="1"/>
      <c r="WK19" s="1"/>
      <c r="WL19" s="55"/>
      <c r="WM19" s="1"/>
      <c r="WN19" s="56"/>
      <c r="WO19" s="1"/>
      <c r="WP19" s="1"/>
      <c r="WQ19" s="2"/>
      <c r="WR19" s="55"/>
      <c r="WS19" s="55"/>
      <c r="WT19" s="55"/>
      <c r="WU19" s="56"/>
      <c r="WV19" s="57"/>
      <c r="WW19" s="55"/>
      <c r="WX19" s="1"/>
      <c r="WY19" s="58"/>
      <c r="WZ19" s="59"/>
      <c r="XA19" s="4"/>
      <c r="XB19" s="39"/>
      <c r="XC19" s="39"/>
      <c r="XD19" s="1"/>
      <c r="XE19" s="1"/>
      <c r="XF19" s="1"/>
      <c r="XG19" s="1"/>
      <c r="XH19" s="1"/>
      <c r="XI19" s="1"/>
      <c r="XJ19" s="1"/>
      <c r="XK19" s="55"/>
      <c r="XL19" s="1"/>
      <c r="XM19" s="56"/>
      <c r="XN19" s="1"/>
      <c r="XO19" s="1"/>
      <c r="XP19" s="2"/>
      <c r="XQ19" s="55"/>
      <c r="XR19" s="1"/>
      <c r="XS19" s="1"/>
      <c r="XT19" s="1"/>
      <c r="XU19" s="1"/>
      <c r="XV19" s="1"/>
      <c r="XW19" s="1"/>
      <c r="XX19" s="55"/>
      <c r="XY19" s="1"/>
      <c r="XZ19" s="56"/>
      <c r="YA19" s="1"/>
      <c r="YB19" s="1"/>
      <c r="YC19" s="2"/>
      <c r="YD19" s="55"/>
      <c r="YE19" s="55"/>
      <c r="YF19" s="55"/>
      <c r="YG19" s="56"/>
      <c r="YH19" s="57"/>
      <c r="YI19" s="55"/>
      <c r="YJ19" s="1"/>
      <c r="YK19" s="58"/>
      <c r="YL19" s="59"/>
      <c r="YM19" s="4"/>
      <c r="YN19" s="39"/>
      <c r="YO19" s="39"/>
      <c r="YP19" s="1"/>
      <c r="YQ19" s="1"/>
      <c r="YR19" s="1"/>
      <c r="YS19" s="1"/>
      <c r="YT19" s="1"/>
      <c r="YU19" s="1"/>
      <c r="YV19" s="1"/>
      <c r="YW19" s="55"/>
      <c r="YX19" s="1"/>
      <c r="YY19" s="56"/>
      <c r="YZ19" s="1"/>
      <c r="ZA19" s="1"/>
      <c r="ZB19" s="2"/>
      <c r="ZC19" s="55"/>
      <c r="ZD19" s="1"/>
      <c r="ZE19" s="1"/>
      <c r="ZF19" s="1"/>
      <c r="ZG19" s="1"/>
      <c r="ZH19" s="1"/>
      <c r="ZI19" s="1"/>
      <c r="ZJ19" s="55"/>
      <c r="ZK19" s="1"/>
      <c r="ZL19" s="56"/>
      <c r="ZM19" s="1"/>
      <c r="ZN19" s="1"/>
      <c r="ZO19" s="2"/>
      <c r="ZP19" s="55"/>
      <c r="ZQ19" s="55"/>
      <c r="ZR19" s="55"/>
      <c r="ZS19" s="56"/>
      <c r="ZT19" s="57"/>
      <c r="ZU19" s="55"/>
      <c r="ZV19" s="1"/>
      <c r="ZW19" s="58"/>
      <c r="ZX19" s="59"/>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
      </c>
      <c r="B20" s="89" t="str">
        <f t="shared" si="398"/>
        <v/>
      </c>
      <c r="C20" s="89" t="str">
        <f t="shared" si="399"/>
        <v/>
      </c>
      <c r="D20" s="89" t="str">
        <f t="shared" si="400"/>
        <v/>
      </c>
      <c r="E20" s="40"/>
      <c r="F20" s="89" t="str">
        <f t="shared" si="401"/>
        <v/>
      </c>
      <c r="G20" s="89" t="str">
        <f t="shared" si="402"/>
        <v/>
      </c>
      <c r="H20" s="37"/>
      <c r="I20" s="37"/>
      <c r="J20" s="41"/>
      <c r="K20" s="90" t="str">
        <f t="shared" si="403"/>
        <v/>
      </c>
      <c r="L20" s="41"/>
      <c r="M20" s="41"/>
      <c r="N20" s="41"/>
      <c r="O20" s="43"/>
      <c r="P20" s="91" t="str">
        <f t="shared" si="404"/>
        <v/>
      </c>
      <c r="Q20" s="4"/>
      <c r="R20" s="39"/>
      <c r="S20" s="39"/>
      <c r="T20" s="1"/>
      <c r="U20" s="1"/>
      <c r="V20" s="1"/>
      <c r="W20" s="1"/>
      <c r="X20" s="1"/>
      <c r="Y20" s="1"/>
      <c r="Z20" s="1"/>
      <c r="AA20" s="55"/>
      <c r="AB20" s="1"/>
      <c r="AC20" s="56"/>
      <c r="AD20" s="1"/>
      <c r="AE20" s="1"/>
      <c r="AF20" s="2"/>
      <c r="AG20" s="55"/>
      <c r="AH20" s="1"/>
      <c r="AI20" s="1"/>
      <c r="AJ20" s="1"/>
      <c r="AK20" s="1"/>
      <c r="AL20" s="1"/>
      <c r="AM20" s="1"/>
      <c r="AN20" s="55"/>
      <c r="AO20" s="1"/>
      <c r="AP20" s="56"/>
      <c r="AQ20" s="1"/>
      <c r="AR20" s="1"/>
      <c r="AS20" s="2"/>
      <c r="AT20" s="55"/>
      <c r="AU20" s="55"/>
      <c r="AV20" s="55"/>
      <c r="AW20" s="56"/>
      <c r="AX20" s="57"/>
      <c r="AY20" s="55"/>
      <c r="AZ20" s="1"/>
      <c r="BA20" s="58"/>
      <c r="BB20" s="59"/>
      <c r="BC20" s="4"/>
      <c r="BD20" s="39"/>
      <c r="BE20" s="39"/>
      <c r="BF20" s="1"/>
      <c r="BG20" s="1"/>
      <c r="BH20" s="1"/>
      <c r="BI20" s="1"/>
      <c r="BJ20" s="1"/>
      <c r="BK20" s="1"/>
      <c r="BL20" s="1"/>
      <c r="BM20" s="55"/>
      <c r="BN20" s="1"/>
      <c r="BO20" s="56"/>
      <c r="BP20" s="1"/>
      <c r="BQ20" s="1"/>
      <c r="BR20" s="2"/>
      <c r="BS20" s="55"/>
      <c r="BT20" s="1"/>
      <c r="BU20" s="1"/>
      <c r="BV20" s="1"/>
      <c r="BW20" s="1"/>
      <c r="BX20" s="1"/>
      <c r="BY20" s="1"/>
      <c r="BZ20" s="55"/>
      <c r="CA20" s="1"/>
      <c r="CB20" s="56"/>
      <c r="CC20" s="1"/>
      <c r="CD20" s="1"/>
      <c r="CE20" s="2"/>
      <c r="CF20" s="55"/>
      <c r="CG20" s="55"/>
      <c r="CH20" s="55"/>
      <c r="CI20" s="56"/>
      <c r="CJ20" s="57"/>
      <c r="CK20" s="55"/>
      <c r="CL20" s="1"/>
      <c r="CM20" s="58"/>
      <c r="CN20" s="59"/>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c r="EB20" s="39"/>
      <c r="EC20" s="39"/>
      <c r="ED20" s="1"/>
      <c r="EE20" s="1"/>
      <c r="EF20" s="1"/>
      <c r="EG20" s="1"/>
      <c r="EH20" s="1"/>
      <c r="EI20" s="1"/>
      <c r="EJ20" s="1"/>
      <c r="EK20" s="55"/>
      <c r="EL20" s="1"/>
      <c r="EM20" s="56"/>
      <c r="EN20" s="1"/>
      <c r="EO20" s="1"/>
      <c r="EP20" s="2"/>
      <c r="EQ20" s="55"/>
      <c r="ER20" s="1"/>
      <c r="ES20" s="1"/>
      <c r="ET20" s="1"/>
      <c r="EU20" s="1"/>
      <c r="EV20" s="1"/>
      <c r="EW20" s="1"/>
      <c r="EX20" s="55"/>
      <c r="EY20" s="1"/>
      <c r="EZ20" s="56"/>
      <c r="FA20" s="1"/>
      <c r="FB20" s="1"/>
      <c r="FC20" s="2"/>
      <c r="FD20" s="55"/>
      <c r="FE20" s="55"/>
      <c r="FF20" s="55"/>
      <c r="FG20" s="56"/>
      <c r="FH20" s="57"/>
      <c r="FI20" s="55"/>
      <c r="FJ20" s="1"/>
      <c r="FK20" s="58"/>
      <c r="FL20" s="59"/>
      <c r="FM20" s="4"/>
      <c r="FN20" s="39"/>
      <c r="FO20" s="39"/>
      <c r="FP20" s="1"/>
      <c r="FQ20" s="1"/>
      <c r="FR20" s="1"/>
      <c r="FS20" s="1"/>
      <c r="FT20" s="1"/>
      <c r="FU20" s="1"/>
      <c r="FV20" s="1"/>
      <c r="FW20" s="55"/>
      <c r="FX20" s="1"/>
      <c r="FY20" s="56"/>
      <c r="FZ20" s="1"/>
      <c r="GA20" s="1"/>
      <c r="GB20" s="2"/>
      <c r="GC20" s="55"/>
      <c r="GD20" s="1"/>
      <c r="GE20" s="1"/>
      <c r="GF20" s="1"/>
      <c r="GG20" s="1"/>
      <c r="GH20" s="1"/>
      <c r="GI20" s="1"/>
      <c r="GJ20" s="55"/>
      <c r="GK20" s="1"/>
      <c r="GL20" s="56"/>
      <c r="GM20" s="1"/>
      <c r="GN20" s="1"/>
      <c r="GO20" s="2"/>
      <c r="GP20" s="55"/>
      <c r="GQ20" s="55"/>
      <c r="GR20" s="55"/>
      <c r="GS20" s="56"/>
      <c r="GT20" s="57"/>
      <c r="GU20" s="55"/>
      <c r="GV20" s="1"/>
      <c r="GW20" s="58"/>
      <c r="GX20" s="59"/>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c r="JX20" s="39"/>
      <c r="JY20" s="39"/>
      <c r="JZ20" s="1"/>
      <c r="KA20" s="1"/>
      <c r="KB20" s="1"/>
      <c r="KC20" s="1"/>
      <c r="KD20" s="1"/>
      <c r="KE20" s="1"/>
      <c r="KF20" s="1"/>
      <c r="KG20" s="55"/>
      <c r="KH20" s="1"/>
      <c r="KI20" s="56"/>
      <c r="KJ20" s="1"/>
      <c r="KK20" s="1"/>
      <c r="KL20" s="2"/>
      <c r="KM20" s="55"/>
      <c r="KN20" s="1"/>
      <c r="KO20" s="1"/>
      <c r="KP20" s="1"/>
      <c r="KQ20" s="1"/>
      <c r="KR20" s="1"/>
      <c r="KS20" s="1"/>
      <c r="KT20" s="55"/>
      <c r="KU20" s="1"/>
      <c r="KV20" s="56"/>
      <c r="KW20" s="1"/>
      <c r="KX20" s="1"/>
      <c r="KY20" s="2"/>
      <c r="KZ20" s="55"/>
      <c r="LA20" s="55"/>
      <c r="LB20" s="55"/>
      <c r="LC20" s="56"/>
      <c r="LD20" s="57"/>
      <c r="LE20" s="55"/>
      <c r="LF20" s="1"/>
      <c r="LG20" s="58"/>
      <c r="LH20" s="59"/>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c r="PT20" s="39"/>
      <c r="PU20" s="39"/>
      <c r="PV20" s="1"/>
      <c r="PW20" s="1"/>
      <c r="PX20" s="1"/>
      <c r="PY20" s="1"/>
      <c r="PZ20" s="1"/>
      <c r="QA20" s="1"/>
      <c r="QB20" s="1"/>
      <c r="QC20" s="55"/>
      <c r="QD20" s="1"/>
      <c r="QE20" s="56"/>
      <c r="QF20" s="1"/>
      <c r="QG20" s="1"/>
      <c r="QH20" s="2"/>
      <c r="QI20" s="55"/>
      <c r="QJ20" s="1"/>
      <c r="QK20" s="1"/>
      <c r="QL20" s="1"/>
      <c r="QM20" s="1"/>
      <c r="QN20" s="1"/>
      <c r="QO20" s="1"/>
      <c r="QP20" s="55"/>
      <c r="QQ20" s="1"/>
      <c r="QR20" s="56"/>
      <c r="QS20" s="1"/>
      <c r="QT20" s="1"/>
      <c r="QU20" s="2"/>
      <c r="QV20" s="55"/>
      <c r="QW20" s="55"/>
      <c r="QX20" s="55"/>
      <c r="QY20" s="56"/>
      <c r="QZ20" s="57"/>
      <c r="RA20" s="55"/>
      <c r="RB20" s="1"/>
      <c r="RC20" s="58"/>
      <c r="RD20" s="59"/>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c r="UD20" s="39"/>
      <c r="UE20" s="39"/>
      <c r="UF20" s="1"/>
      <c r="UG20" s="1"/>
      <c r="UH20" s="1"/>
      <c r="UI20" s="1"/>
      <c r="UJ20" s="1"/>
      <c r="UK20" s="1"/>
      <c r="UL20" s="1"/>
      <c r="UM20" s="55"/>
      <c r="UN20" s="1"/>
      <c r="UO20" s="56"/>
      <c r="UP20" s="1"/>
      <c r="UQ20" s="1"/>
      <c r="UR20" s="2"/>
      <c r="US20" s="55"/>
      <c r="UT20" s="1"/>
      <c r="UU20" s="1"/>
      <c r="UV20" s="1"/>
      <c r="UW20" s="1"/>
      <c r="UX20" s="1"/>
      <c r="UY20" s="1"/>
      <c r="UZ20" s="55"/>
      <c r="VA20" s="1"/>
      <c r="VB20" s="56"/>
      <c r="VC20" s="1"/>
      <c r="VD20" s="1"/>
      <c r="VE20" s="2"/>
      <c r="VF20" s="55"/>
      <c r="VG20" s="55"/>
      <c r="VH20" s="55"/>
      <c r="VI20" s="56"/>
      <c r="VJ20" s="57"/>
      <c r="VK20" s="55"/>
      <c r="VL20" s="1"/>
      <c r="VM20" s="58"/>
      <c r="VN20" s="59"/>
      <c r="VO20" s="4"/>
      <c r="VP20" s="39"/>
      <c r="VQ20" s="39"/>
      <c r="VR20" s="1"/>
      <c r="VS20" s="1"/>
      <c r="VT20" s="1"/>
      <c r="VU20" s="1"/>
      <c r="VV20" s="1"/>
      <c r="VW20" s="1"/>
      <c r="VX20" s="1"/>
      <c r="VY20" s="55"/>
      <c r="VZ20" s="1"/>
      <c r="WA20" s="56"/>
      <c r="WB20" s="1"/>
      <c r="WC20" s="1"/>
      <c r="WD20" s="2"/>
      <c r="WE20" s="55"/>
      <c r="WF20" s="1"/>
      <c r="WG20" s="1"/>
      <c r="WH20" s="1"/>
      <c r="WI20" s="1"/>
      <c r="WJ20" s="1"/>
      <c r="WK20" s="1"/>
      <c r="WL20" s="55"/>
      <c r="WM20" s="1"/>
      <c r="WN20" s="56"/>
      <c r="WO20" s="1"/>
      <c r="WP20" s="1"/>
      <c r="WQ20" s="2"/>
      <c r="WR20" s="55"/>
      <c r="WS20" s="55"/>
      <c r="WT20" s="55"/>
      <c r="WU20" s="56"/>
      <c r="WV20" s="57"/>
      <c r="WW20" s="55"/>
      <c r="WX20" s="1"/>
      <c r="WY20" s="58"/>
      <c r="WZ20" s="59"/>
      <c r="XA20" s="4"/>
      <c r="XB20" s="39"/>
      <c r="XC20" s="39"/>
      <c r="XD20" s="1"/>
      <c r="XE20" s="1"/>
      <c r="XF20" s="1"/>
      <c r="XG20" s="1"/>
      <c r="XH20" s="1"/>
      <c r="XI20" s="1"/>
      <c r="XJ20" s="1"/>
      <c r="XK20" s="55"/>
      <c r="XL20" s="1"/>
      <c r="XM20" s="56"/>
      <c r="XN20" s="1"/>
      <c r="XO20" s="1"/>
      <c r="XP20" s="2"/>
      <c r="XQ20" s="55"/>
      <c r="XR20" s="1"/>
      <c r="XS20" s="1"/>
      <c r="XT20" s="1"/>
      <c r="XU20" s="1"/>
      <c r="XV20" s="1"/>
      <c r="XW20" s="1"/>
      <c r="XX20" s="55"/>
      <c r="XY20" s="1"/>
      <c r="XZ20" s="56"/>
      <c r="YA20" s="1"/>
      <c r="YB20" s="1"/>
      <c r="YC20" s="2"/>
      <c r="YD20" s="55"/>
      <c r="YE20" s="55"/>
      <c r="YF20" s="55"/>
      <c r="YG20" s="56"/>
      <c r="YH20" s="57"/>
      <c r="YI20" s="55"/>
      <c r="YJ20" s="1"/>
      <c r="YK20" s="58"/>
      <c r="YL20" s="59"/>
      <c r="YM20" s="4"/>
      <c r="YN20" s="39"/>
      <c r="YO20" s="39"/>
      <c r="YP20" s="1"/>
      <c r="YQ20" s="1"/>
      <c r="YR20" s="1"/>
      <c r="YS20" s="1"/>
      <c r="YT20" s="1"/>
      <c r="YU20" s="1"/>
      <c r="YV20" s="1"/>
      <c r="YW20" s="55"/>
      <c r="YX20" s="1"/>
      <c r="YY20" s="56"/>
      <c r="YZ20" s="1"/>
      <c r="ZA20" s="1"/>
      <c r="ZB20" s="2"/>
      <c r="ZC20" s="55"/>
      <c r="ZD20" s="1"/>
      <c r="ZE20" s="1"/>
      <c r="ZF20" s="1"/>
      <c r="ZG20" s="1"/>
      <c r="ZH20" s="1"/>
      <c r="ZI20" s="1"/>
      <c r="ZJ20" s="55"/>
      <c r="ZK20" s="1"/>
      <c r="ZL20" s="56"/>
      <c r="ZM20" s="1"/>
      <c r="ZN20" s="1"/>
      <c r="ZO20" s="2"/>
      <c r="ZP20" s="55"/>
      <c r="ZQ20" s="55"/>
      <c r="ZR20" s="55"/>
      <c r="ZS20" s="56"/>
      <c r="ZT20" s="57"/>
      <c r="ZU20" s="55"/>
      <c r="ZV20" s="1"/>
      <c r="ZW20" s="58"/>
      <c r="ZX20" s="59"/>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
      </c>
      <c r="B21" s="89" t="str">
        <f t="shared" si="398"/>
        <v/>
      </c>
      <c r="C21" s="89" t="str">
        <f t="shared" si="399"/>
        <v/>
      </c>
      <c r="D21" s="89" t="str">
        <f t="shared" si="400"/>
        <v/>
      </c>
      <c r="E21" s="40"/>
      <c r="F21" s="89" t="str">
        <f t="shared" si="401"/>
        <v/>
      </c>
      <c r="G21" s="89" t="str">
        <f t="shared" si="402"/>
        <v/>
      </c>
      <c r="H21" s="37"/>
      <c r="I21" s="37"/>
      <c r="J21" s="41"/>
      <c r="K21" s="90" t="str">
        <f t="shared" si="403"/>
        <v/>
      </c>
      <c r="L21" s="41"/>
      <c r="M21" s="41"/>
      <c r="N21" s="41"/>
      <c r="O21" s="43"/>
      <c r="P21" s="91" t="str">
        <f t="shared" si="404"/>
        <v/>
      </c>
      <c r="Q21" s="4"/>
      <c r="R21" s="39"/>
      <c r="S21" s="39"/>
      <c r="T21" s="1"/>
      <c r="U21" s="1"/>
      <c r="V21" s="1"/>
      <c r="W21" s="1"/>
      <c r="X21" s="1"/>
      <c r="Y21" s="1"/>
      <c r="Z21" s="1"/>
      <c r="AA21" s="55"/>
      <c r="AB21" s="1"/>
      <c r="AC21" s="56"/>
      <c r="AD21" s="1"/>
      <c r="AE21" s="1"/>
      <c r="AF21" s="2"/>
      <c r="AG21" s="55"/>
      <c r="AH21" s="1"/>
      <c r="AI21" s="1"/>
      <c r="AJ21" s="1"/>
      <c r="AK21" s="1"/>
      <c r="AL21" s="1"/>
      <c r="AM21" s="1"/>
      <c r="AN21" s="55"/>
      <c r="AO21" s="1"/>
      <c r="AP21" s="56"/>
      <c r="AQ21" s="1"/>
      <c r="AR21" s="1"/>
      <c r="AS21" s="2"/>
      <c r="AT21" s="55"/>
      <c r="AU21" s="55"/>
      <c r="AV21" s="55"/>
      <c r="AW21" s="56"/>
      <c r="AX21" s="57"/>
      <c r="AY21" s="55"/>
      <c r="AZ21" s="1"/>
      <c r="BA21" s="58"/>
      <c r="BB21" s="59"/>
      <c r="BC21" s="4"/>
      <c r="BD21" s="39"/>
      <c r="BE21" s="39"/>
      <c r="BF21" s="1"/>
      <c r="BG21" s="1"/>
      <c r="BH21" s="1"/>
      <c r="BI21" s="1"/>
      <c r="BJ21" s="1"/>
      <c r="BK21" s="1"/>
      <c r="BL21" s="1"/>
      <c r="BM21" s="55"/>
      <c r="BN21" s="1"/>
      <c r="BO21" s="56"/>
      <c r="BP21" s="1"/>
      <c r="BQ21" s="1"/>
      <c r="BR21" s="2"/>
      <c r="BS21" s="55"/>
      <c r="BT21" s="1"/>
      <c r="BU21" s="1"/>
      <c r="BV21" s="1"/>
      <c r="BW21" s="1"/>
      <c r="BX21" s="1"/>
      <c r="BY21" s="1"/>
      <c r="BZ21" s="55"/>
      <c r="CA21" s="1"/>
      <c r="CB21" s="56"/>
      <c r="CC21" s="1"/>
      <c r="CD21" s="1"/>
      <c r="CE21" s="2"/>
      <c r="CF21" s="55"/>
      <c r="CG21" s="55"/>
      <c r="CH21" s="55"/>
      <c r="CI21" s="56"/>
      <c r="CJ21" s="57"/>
      <c r="CK21" s="55"/>
      <c r="CL21" s="1"/>
      <c r="CM21" s="58"/>
      <c r="CN21" s="59"/>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c r="EB21" s="39"/>
      <c r="EC21" s="39"/>
      <c r="ED21" s="1"/>
      <c r="EE21" s="1"/>
      <c r="EF21" s="1"/>
      <c r="EG21" s="1"/>
      <c r="EH21" s="1"/>
      <c r="EI21" s="1"/>
      <c r="EJ21" s="1"/>
      <c r="EK21" s="55"/>
      <c r="EL21" s="1"/>
      <c r="EM21" s="56"/>
      <c r="EN21" s="1"/>
      <c r="EO21" s="1"/>
      <c r="EP21" s="2"/>
      <c r="EQ21" s="55"/>
      <c r="ER21" s="1"/>
      <c r="ES21" s="1"/>
      <c r="ET21" s="1"/>
      <c r="EU21" s="1"/>
      <c r="EV21" s="1"/>
      <c r="EW21" s="1"/>
      <c r="EX21" s="55"/>
      <c r="EY21" s="1"/>
      <c r="EZ21" s="56"/>
      <c r="FA21" s="1"/>
      <c r="FB21" s="1"/>
      <c r="FC21" s="2"/>
      <c r="FD21" s="55"/>
      <c r="FE21" s="55"/>
      <c r="FF21" s="55"/>
      <c r="FG21" s="56"/>
      <c r="FH21" s="57"/>
      <c r="FI21" s="55"/>
      <c r="FJ21" s="1"/>
      <c r="FK21" s="58"/>
      <c r="FL21" s="59"/>
      <c r="FM21" s="4"/>
      <c r="FN21" s="39"/>
      <c r="FO21" s="39"/>
      <c r="FP21" s="1"/>
      <c r="FQ21" s="1"/>
      <c r="FR21" s="1"/>
      <c r="FS21" s="1"/>
      <c r="FT21" s="1"/>
      <c r="FU21" s="1"/>
      <c r="FV21" s="1"/>
      <c r="FW21" s="55"/>
      <c r="FX21" s="1"/>
      <c r="FY21" s="56"/>
      <c r="FZ21" s="1"/>
      <c r="GA21" s="1"/>
      <c r="GB21" s="2"/>
      <c r="GC21" s="55"/>
      <c r="GD21" s="1"/>
      <c r="GE21" s="1"/>
      <c r="GF21" s="1"/>
      <c r="GG21" s="1"/>
      <c r="GH21" s="1"/>
      <c r="GI21" s="1"/>
      <c r="GJ21" s="55"/>
      <c r="GK21" s="1"/>
      <c r="GL21" s="56"/>
      <c r="GM21" s="1"/>
      <c r="GN21" s="1"/>
      <c r="GO21" s="2"/>
      <c r="GP21" s="55"/>
      <c r="GQ21" s="55"/>
      <c r="GR21" s="55"/>
      <c r="GS21" s="56"/>
      <c r="GT21" s="57"/>
      <c r="GU21" s="55"/>
      <c r="GV21" s="1"/>
      <c r="GW21" s="58"/>
      <c r="GX21" s="59"/>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c r="JX21" s="39"/>
      <c r="JY21" s="39"/>
      <c r="JZ21" s="1"/>
      <c r="KA21" s="1"/>
      <c r="KB21" s="1"/>
      <c r="KC21" s="1"/>
      <c r="KD21" s="1"/>
      <c r="KE21" s="1"/>
      <c r="KF21" s="1"/>
      <c r="KG21" s="55"/>
      <c r="KH21" s="1"/>
      <c r="KI21" s="56"/>
      <c r="KJ21" s="1"/>
      <c r="KK21" s="1"/>
      <c r="KL21" s="2"/>
      <c r="KM21" s="55"/>
      <c r="KN21" s="1"/>
      <c r="KO21" s="1"/>
      <c r="KP21" s="1"/>
      <c r="KQ21" s="1"/>
      <c r="KR21" s="1"/>
      <c r="KS21" s="1"/>
      <c r="KT21" s="55"/>
      <c r="KU21" s="1"/>
      <c r="KV21" s="56"/>
      <c r="KW21" s="1"/>
      <c r="KX21" s="1"/>
      <c r="KY21" s="2"/>
      <c r="KZ21" s="55"/>
      <c r="LA21" s="55"/>
      <c r="LB21" s="55"/>
      <c r="LC21" s="56"/>
      <c r="LD21" s="57"/>
      <c r="LE21" s="55"/>
      <c r="LF21" s="1"/>
      <c r="LG21" s="58"/>
      <c r="LH21" s="59"/>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c r="PT21" s="39"/>
      <c r="PU21" s="39"/>
      <c r="PV21" s="1"/>
      <c r="PW21" s="1"/>
      <c r="PX21" s="1"/>
      <c r="PY21" s="1"/>
      <c r="PZ21" s="1"/>
      <c r="QA21" s="1"/>
      <c r="QB21" s="1"/>
      <c r="QC21" s="55"/>
      <c r="QD21" s="1"/>
      <c r="QE21" s="56"/>
      <c r="QF21" s="1"/>
      <c r="QG21" s="1"/>
      <c r="QH21" s="2"/>
      <c r="QI21" s="55"/>
      <c r="QJ21" s="1"/>
      <c r="QK21" s="1"/>
      <c r="QL21" s="1"/>
      <c r="QM21" s="1"/>
      <c r="QN21" s="1"/>
      <c r="QO21" s="1"/>
      <c r="QP21" s="55"/>
      <c r="QQ21" s="1"/>
      <c r="QR21" s="56"/>
      <c r="QS21" s="1"/>
      <c r="QT21" s="1"/>
      <c r="QU21" s="2"/>
      <c r="QV21" s="55"/>
      <c r="QW21" s="55"/>
      <c r="QX21" s="55"/>
      <c r="QY21" s="56"/>
      <c r="QZ21" s="57"/>
      <c r="RA21" s="55"/>
      <c r="RB21" s="1"/>
      <c r="RC21" s="58"/>
      <c r="RD21" s="59"/>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c r="UD21" s="39"/>
      <c r="UE21" s="39"/>
      <c r="UF21" s="1"/>
      <c r="UG21" s="1"/>
      <c r="UH21" s="1"/>
      <c r="UI21" s="1"/>
      <c r="UJ21" s="1"/>
      <c r="UK21" s="1"/>
      <c r="UL21" s="1"/>
      <c r="UM21" s="55"/>
      <c r="UN21" s="1"/>
      <c r="UO21" s="56"/>
      <c r="UP21" s="1"/>
      <c r="UQ21" s="1"/>
      <c r="UR21" s="2"/>
      <c r="US21" s="55"/>
      <c r="UT21" s="1"/>
      <c r="UU21" s="1"/>
      <c r="UV21" s="1"/>
      <c r="UW21" s="1"/>
      <c r="UX21" s="1"/>
      <c r="UY21" s="1"/>
      <c r="UZ21" s="55"/>
      <c r="VA21" s="1"/>
      <c r="VB21" s="56"/>
      <c r="VC21" s="1"/>
      <c r="VD21" s="1"/>
      <c r="VE21" s="2"/>
      <c r="VF21" s="55"/>
      <c r="VG21" s="55"/>
      <c r="VH21" s="55"/>
      <c r="VI21" s="56"/>
      <c r="VJ21" s="57"/>
      <c r="VK21" s="55"/>
      <c r="VL21" s="1"/>
      <c r="VM21" s="58"/>
      <c r="VN21" s="59"/>
      <c r="VO21" s="4"/>
      <c r="VP21" s="39"/>
      <c r="VQ21" s="39"/>
      <c r="VR21" s="1"/>
      <c r="VS21" s="1"/>
      <c r="VT21" s="1"/>
      <c r="VU21" s="1"/>
      <c r="VV21" s="1"/>
      <c r="VW21" s="1"/>
      <c r="VX21" s="1"/>
      <c r="VY21" s="55"/>
      <c r="VZ21" s="1"/>
      <c r="WA21" s="56"/>
      <c r="WB21" s="1"/>
      <c r="WC21" s="1"/>
      <c r="WD21" s="2"/>
      <c r="WE21" s="55"/>
      <c r="WF21" s="1"/>
      <c r="WG21" s="1"/>
      <c r="WH21" s="1"/>
      <c r="WI21" s="1"/>
      <c r="WJ21" s="1"/>
      <c r="WK21" s="1"/>
      <c r="WL21" s="55"/>
      <c r="WM21" s="1"/>
      <c r="WN21" s="56"/>
      <c r="WO21" s="1"/>
      <c r="WP21" s="1"/>
      <c r="WQ21" s="2"/>
      <c r="WR21" s="55"/>
      <c r="WS21" s="55"/>
      <c r="WT21" s="55"/>
      <c r="WU21" s="56"/>
      <c r="WV21" s="57"/>
      <c r="WW21" s="55"/>
      <c r="WX21" s="1"/>
      <c r="WY21" s="58"/>
      <c r="WZ21" s="59"/>
      <c r="XA21" s="4"/>
      <c r="XB21" s="39"/>
      <c r="XC21" s="39"/>
      <c r="XD21" s="1"/>
      <c r="XE21" s="1"/>
      <c r="XF21" s="1"/>
      <c r="XG21" s="1"/>
      <c r="XH21" s="1"/>
      <c r="XI21" s="1"/>
      <c r="XJ21" s="1"/>
      <c r="XK21" s="55"/>
      <c r="XL21" s="1"/>
      <c r="XM21" s="56"/>
      <c r="XN21" s="1"/>
      <c r="XO21" s="1"/>
      <c r="XP21" s="2"/>
      <c r="XQ21" s="55"/>
      <c r="XR21" s="1"/>
      <c r="XS21" s="1"/>
      <c r="XT21" s="1"/>
      <c r="XU21" s="1"/>
      <c r="XV21" s="1"/>
      <c r="XW21" s="1"/>
      <c r="XX21" s="55"/>
      <c r="XY21" s="1"/>
      <c r="XZ21" s="56"/>
      <c r="YA21" s="1"/>
      <c r="YB21" s="1"/>
      <c r="YC21" s="2"/>
      <c r="YD21" s="55"/>
      <c r="YE21" s="55"/>
      <c r="YF21" s="55"/>
      <c r="YG21" s="56"/>
      <c r="YH21" s="57"/>
      <c r="YI21" s="55"/>
      <c r="YJ21" s="1"/>
      <c r="YK21" s="58"/>
      <c r="YL21" s="59"/>
      <c r="YM21" s="4"/>
      <c r="YN21" s="39"/>
      <c r="YO21" s="39"/>
      <c r="YP21" s="1"/>
      <c r="YQ21" s="1"/>
      <c r="YR21" s="1"/>
      <c r="YS21" s="1"/>
      <c r="YT21" s="1"/>
      <c r="YU21" s="1"/>
      <c r="YV21" s="1"/>
      <c r="YW21" s="55"/>
      <c r="YX21" s="1"/>
      <c r="YY21" s="56"/>
      <c r="YZ21" s="1"/>
      <c r="ZA21" s="1"/>
      <c r="ZB21" s="2"/>
      <c r="ZC21" s="55"/>
      <c r="ZD21" s="1"/>
      <c r="ZE21" s="1"/>
      <c r="ZF21" s="1"/>
      <c r="ZG21" s="1"/>
      <c r="ZH21" s="1"/>
      <c r="ZI21" s="1"/>
      <c r="ZJ21" s="55"/>
      <c r="ZK21" s="1"/>
      <c r="ZL21" s="56"/>
      <c r="ZM21" s="1"/>
      <c r="ZN21" s="1"/>
      <c r="ZO21" s="2"/>
      <c r="ZP21" s="55"/>
      <c r="ZQ21" s="55"/>
      <c r="ZR21" s="55"/>
      <c r="ZS21" s="56"/>
      <c r="ZT21" s="57"/>
      <c r="ZU21" s="55"/>
      <c r="ZV21" s="1"/>
      <c r="ZW21" s="58"/>
      <c r="ZX21" s="59"/>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
      </c>
      <c r="B22" s="89" t="str">
        <f t="shared" si="398"/>
        <v/>
      </c>
      <c r="C22" s="89" t="str">
        <f t="shared" si="399"/>
        <v/>
      </c>
      <c r="D22" s="89" t="str">
        <f t="shared" si="400"/>
        <v/>
      </c>
      <c r="E22" s="40"/>
      <c r="F22" s="89" t="str">
        <f t="shared" si="401"/>
        <v/>
      </c>
      <c r="G22" s="89" t="str">
        <f t="shared" si="402"/>
        <v/>
      </c>
      <c r="H22" s="37"/>
      <c r="I22" s="37"/>
      <c r="J22" s="41"/>
      <c r="K22" s="90" t="str">
        <f t="shared" si="403"/>
        <v/>
      </c>
      <c r="L22" s="41"/>
      <c r="M22" s="41"/>
      <c r="N22" s="41"/>
      <c r="O22" s="43"/>
      <c r="P22" s="91" t="str">
        <f t="shared" si="404"/>
        <v/>
      </c>
      <c r="Q22" s="4"/>
      <c r="R22" s="39"/>
      <c r="S22" s="39"/>
      <c r="T22" s="1"/>
      <c r="U22" s="1"/>
      <c r="V22" s="1"/>
      <c r="W22" s="1"/>
      <c r="X22" s="1"/>
      <c r="Y22" s="1"/>
      <c r="Z22" s="1"/>
      <c r="AA22" s="55"/>
      <c r="AB22" s="1"/>
      <c r="AC22" s="56"/>
      <c r="AD22" s="1"/>
      <c r="AE22" s="1"/>
      <c r="AF22" s="2"/>
      <c r="AG22" s="55"/>
      <c r="AH22" s="1"/>
      <c r="AI22" s="1"/>
      <c r="AJ22" s="1"/>
      <c r="AK22" s="1"/>
      <c r="AL22" s="1"/>
      <c r="AM22" s="1"/>
      <c r="AN22" s="55"/>
      <c r="AO22" s="1"/>
      <c r="AP22" s="56"/>
      <c r="AQ22" s="1"/>
      <c r="AR22" s="1"/>
      <c r="AS22" s="2"/>
      <c r="AT22" s="55"/>
      <c r="AU22" s="55"/>
      <c r="AV22" s="55"/>
      <c r="AW22" s="56"/>
      <c r="AX22" s="57"/>
      <c r="AY22" s="55"/>
      <c r="AZ22" s="1"/>
      <c r="BA22" s="58"/>
      <c r="BB22" s="59"/>
      <c r="BC22" s="4"/>
      <c r="BD22" s="39"/>
      <c r="BE22" s="39"/>
      <c r="BF22" s="1"/>
      <c r="BG22" s="1"/>
      <c r="BH22" s="1"/>
      <c r="BI22" s="1"/>
      <c r="BJ22" s="1"/>
      <c r="BK22" s="1"/>
      <c r="BL22" s="1"/>
      <c r="BM22" s="55"/>
      <c r="BN22" s="1"/>
      <c r="BO22" s="56"/>
      <c r="BP22" s="1"/>
      <c r="BQ22" s="1"/>
      <c r="BR22" s="2"/>
      <c r="BS22" s="55"/>
      <c r="BT22" s="1"/>
      <c r="BU22" s="1"/>
      <c r="BV22" s="1"/>
      <c r="BW22" s="1"/>
      <c r="BX22" s="1"/>
      <c r="BY22" s="1"/>
      <c r="BZ22" s="55"/>
      <c r="CA22" s="1"/>
      <c r="CB22" s="56"/>
      <c r="CC22" s="1"/>
      <c r="CD22" s="1"/>
      <c r="CE22" s="2"/>
      <c r="CF22" s="55"/>
      <c r="CG22" s="55"/>
      <c r="CH22" s="55"/>
      <c r="CI22" s="56"/>
      <c r="CJ22" s="57"/>
      <c r="CK22" s="55"/>
      <c r="CL22" s="1"/>
      <c r="CM22" s="58"/>
      <c r="CN22" s="59"/>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c r="EB22" s="39"/>
      <c r="EC22" s="39"/>
      <c r="ED22" s="1"/>
      <c r="EE22" s="1"/>
      <c r="EF22" s="1"/>
      <c r="EG22" s="1"/>
      <c r="EH22" s="1"/>
      <c r="EI22" s="1"/>
      <c r="EJ22" s="1"/>
      <c r="EK22" s="55"/>
      <c r="EL22" s="1"/>
      <c r="EM22" s="56"/>
      <c r="EN22" s="1"/>
      <c r="EO22" s="1"/>
      <c r="EP22" s="2"/>
      <c r="EQ22" s="55"/>
      <c r="ER22" s="1"/>
      <c r="ES22" s="1"/>
      <c r="ET22" s="1"/>
      <c r="EU22" s="1"/>
      <c r="EV22" s="1"/>
      <c r="EW22" s="1"/>
      <c r="EX22" s="55"/>
      <c r="EY22" s="1"/>
      <c r="EZ22" s="56"/>
      <c r="FA22" s="1"/>
      <c r="FB22" s="1"/>
      <c r="FC22" s="2"/>
      <c r="FD22" s="55"/>
      <c r="FE22" s="55"/>
      <c r="FF22" s="55"/>
      <c r="FG22" s="56"/>
      <c r="FH22" s="57"/>
      <c r="FI22" s="55"/>
      <c r="FJ22" s="1"/>
      <c r="FK22" s="58"/>
      <c r="FL22" s="59"/>
      <c r="FM22" s="4"/>
      <c r="FN22" s="39"/>
      <c r="FO22" s="39"/>
      <c r="FP22" s="1"/>
      <c r="FQ22" s="1"/>
      <c r="FR22" s="1"/>
      <c r="FS22" s="1"/>
      <c r="FT22" s="1"/>
      <c r="FU22" s="1"/>
      <c r="FV22" s="1"/>
      <c r="FW22" s="55"/>
      <c r="FX22" s="1"/>
      <c r="FY22" s="56"/>
      <c r="FZ22" s="1"/>
      <c r="GA22" s="1"/>
      <c r="GB22" s="2"/>
      <c r="GC22" s="55"/>
      <c r="GD22" s="1"/>
      <c r="GE22" s="1"/>
      <c r="GF22" s="1"/>
      <c r="GG22" s="1"/>
      <c r="GH22" s="1"/>
      <c r="GI22" s="1"/>
      <c r="GJ22" s="55"/>
      <c r="GK22" s="1"/>
      <c r="GL22" s="56"/>
      <c r="GM22" s="1"/>
      <c r="GN22" s="1"/>
      <c r="GO22" s="2"/>
      <c r="GP22" s="55"/>
      <c r="GQ22" s="55"/>
      <c r="GR22" s="55"/>
      <c r="GS22" s="56"/>
      <c r="GT22" s="57"/>
      <c r="GU22" s="55"/>
      <c r="GV22" s="1"/>
      <c r="GW22" s="58"/>
      <c r="GX22" s="59"/>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c r="JX22" s="39"/>
      <c r="JY22" s="39"/>
      <c r="JZ22" s="1"/>
      <c r="KA22" s="1"/>
      <c r="KB22" s="1"/>
      <c r="KC22" s="1"/>
      <c r="KD22" s="1"/>
      <c r="KE22" s="1"/>
      <c r="KF22" s="1"/>
      <c r="KG22" s="55"/>
      <c r="KH22" s="1"/>
      <c r="KI22" s="56"/>
      <c r="KJ22" s="1"/>
      <c r="KK22" s="1"/>
      <c r="KL22" s="2"/>
      <c r="KM22" s="55"/>
      <c r="KN22" s="1"/>
      <c r="KO22" s="1"/>
      <c r="KP22" s="1"/>
      <c r="KQ22" s="1"/>
      <c r="KR22" s="1"/>
      <c r="KS22" s="1"/>
      <c r="KT22" s="55"/>
      <c r="KU22" s="1"/>
      <c r="KV22" s="56"/>
      <c r="KW22" s="1"/>
      <c r="KX22" s="1"/>
      <c r="KY22" s="2"/>
      <c r="KZ22" s="55"/>
      <c r="LA22" s="55"/>
      <c r="LB22" s="55"/>
      <c r="LC22" s="56"/>
      <c r="LD22" s="57"/>
      <c r="LE22" s="55"/>
      <c r="LF22" s="1"/>
      <c r="LG22" s="58"/>
      <c r="LH22" s="59"/>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c r="PT22" s="39"/>
      <c r="PU22" s="39"/>
      <c r="PV22" s="1"/>
      <c r="PW22" s="1"/>
      <c r="PX22" s="1"/>
      <c r="PY22" s="1"/>
      <c r="PZ22" s="1"/>
      <c r="QA22" s="1"/>
      <c r="QB22" s="1"/>
      <c r="QC22" s="55"/>
      <c r="QD22" s="1"/>
      <c r="QE22" s="56"/>
      <c r="QF22" s="1"/>
      <c r="QG22" s="1"/>
      <c r="QH22" s="2"/>
      <c r="QI22" s="55"/>
      <c r="QJ22" s="1"/>
      <c r="QK22" s="1"/>
      <c r="QL22" s="1"/>
      <c r="QM22" s="1"/>
      <c r="QN22" s="1"/>
      <c r="QO22" s="1"/>
      <c r="QP22" s="55"/>
      <c r="QQ22" s="1"/>
      <c r="QR22" s="56"/>
      <c r="QS22" s="1"/>
      <c r="QT22" s="1"/>
      <c r="QU22" s="2"/>
      <c r="QV22" s="55"/>
      <c r="QW22" s="55"/>
      <c r="QX22" s="55"/>
      <c r="QY22" s="56"/>
      <c r="QZ22" s="57"/>
      <c r="RA22" s="55"/>
      <c r="RB22" s="1"/>
      <c r="RC22" s="58"/>
      <c r="RD22" s="59"/>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c r="UD22" s="39"/>
      <c r="UE22" s="39"/>
      <c r="UF22" s="1"/>
      <c r="UG22" s="1"/>
      <c r="UH22" s="1"/>
      <c r="UI22" s="1"/>
      <c r="UJ22" s="1"/>
      <c r="UK22" s="1"/>
      <c r="UL22" s="1"/>
      <c r="UM22" s="55"/>
      <c r="UN22" s="1"/>
      <c r="UO22" s="56"/>
      <c r="UP22" s="1"/>
      <c r="UQ22" s="1"/>
      <c r="UR22" s="2"/>
      <c r="US22" s="55"/>
      <c r="UT22" s="1"/>
      <c r="UU22" s="1"/>
      <c r="UV22" s="1"/>
      <c r="UW22" s="1"/>
      <c r="UX22" s="1"/>
      <c r="UY22" s="1"/>
      <c r="UZ22" s="55"/>
      <c r="VA22" s="1"/>
      <c r="VB22" s="56"/>
      <c r="VC22" s="1"/>
      <c r="VD22" s="1"/>
      <c r="VE22" s="2"/>
      <c r="VF22" s="55"/>
      <c r="VG22" s="55"/>
      <c r="VH22" s="55"/>
      <c r="VI22" s="56"/>
      <c r="VJ22" s="57"/>
      <c r="VK22" s="55"/>
      <c r="VL22" s="1"/>
      <c r="VM22" s="58"/>
      <c r="VN22" s="59"/>
      <c r="VO22" s="4"/>
      <c r="VP22" s="39"/>
      <c r="VQ22" s="39"/>
      <c r="VR22" s="1"/>
      <c r="VS22" s="1"/>
      <c r="VT22" s="1"/>
      <c r="VU22" s="1"/>
      <c r="VV22" s="1"/>
      <c r="VW22" s="1"/>
      <c r="VX22" s="1"/>
      <c r="VY22" s="55"/>
      <c r="VZ22" s="1"/>
      <c r="WA22" s="56"/>
      <c r="WB22" s="1"/>
      <c r="WC22" s="1"/>
      <c r="WD22" s="2"/>
      <c r="WE22" s="55"/>
      <c r="WF22" s="1"/>
      <c r="WG22" s="1"/>
      <c r="WH22" s="1"/>
      <c r="WI22" s="1"/>
      <c r="WJ22" s="1"/>
      <c r="WK22" s="1"/>
      <c r="WL22" s="55"/>
      <c r="WM22" s="1"/>
      <c r="WN22" s="56"/>
      <c r="WO22" s="1"/>
      <c r="WP22" s="1"/>
      <c r="WQ22" s="2"/>
      <c r="WR22" s="55"/>
      <c r="WS22" s="55"/>
      <c r="WT22" s="55"/>
      <c r="WU22" s="56"/>
      <c r="WV22" s="57"/>
      <c r="WW22" s="55"/>
      <c r="WX22" s="1"/>
      <c r="WY22" s="58"/>
      <c r="WZ22" s="59"/>
      <c r="XA22" s="4"/>
      <c r="XB22" s="39"/>
      <c r="XC22" s="39"/>
      <c r="XD22" s="1"/>
      <c r="XE22" s="1"/>
      <c r="XF22" s="1"/>
      <c r="XG22" s="1"/>
      <c r="XH22" s="1"/>
      <c r="XI22" s="1"/>
      <c r="XJ22" s="1"/>
      <c r="XK22" s="55"/>
      <c r="XL22" s="1"/>
      <c r="XM22" s="56"/>
      <c r="XN22" s="1"/>
      <c r="XO22" s="1"/>
      <c r="XP22" s="2"/>
      <c r="XQ22" s="55"/>
      <c r="XR22" s="1"/>
      <c r="XS22" s="1"/>
      <c r="XT22" s="1"/>
      <c r="XU22" s="1"/>
      <c r="XV22" s="1"/>
      <c r="XW22" s="1"/>
      <c r="XX22" s="55"/>
      <c r="XY22" s="1"/>
      <c r="XZ22" s="56"/>
      <c r="YA22" s="1"/>
      <c r="YB22" s="1"/>
      <c r="YC22" s="2"/>
      <c r="YD22" s="55"/>
      <c r="YE22" s="55"/>
      <c r="YF22" s="55"/>
      <c r="YG22" s="56"/>
      <c r="YH22" s="57"/>
      <c r="YI22" s="55"/>
      <c r="YJ22" s="1"/>
      <c r="YK22" s="58"/>
      <c r="YL22" s="59"/>
      <c r="YM22" s="4"/>
      <c r="YN22" s="39"/>
      <c r="YO22" s="39"/>
      <c r="YP22" s="1"/>
      <c r="YQ22" s="1"/>
      <c r="YR22" s="1"/>
      <c r="YS22" s="1"/>
      <c r="YT22" s="1"/>
      <c r="YU22" s="1"/>
      <c r="YV22" s="1"/>
      <c r="YW22" s="55"/>
      <c r="YX22" s="1"/>
      <c r="YY22" s="56"/>
      <c r="YZ22" s="1"/>
      <c r="ZA22" s="1"/>
      <c r="ZB22" s="2"/>
      <c r="ZC22" s="55"/>
      <c r="ZD22" s="1"/>
      <c r="ZE22" s="1"/>
      <c r="ZF22" s="1"/>
      <c r="ZG22" s="1"/>
      <c r="ZH22" s="1"/>
      <c r="ZI22" s="1"/>
      <c r="ZJ22" s="55"/>
      <c r="ZK22" s="1"/>
      <c r="ZL22" s="56"/>
      <c r="ZM22" s="1"/>
      <c r="ZN22" s="1"/>
      <c r="ZO22" s="2"/>
      <c r="ZP22" s="55"/>
      <c r="ZQ22" s="55"/>
      <c r="ZR22" s="55"/>
      <c r="ZS22" s="56"/>
      <c r="ZT22" s="57"/>
      <c r="ZU22" s="55"/>
      <c r="ZV22" s="1"/>
      <c r="ZW22" s="58"/>
      <c r="ZX22" s="59"/>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
      </c>
      <c r="B23" s="89" t="str">
        <f t="shared" si="398"/>
        <v/>
      </c>
      <c r="C23" s="89" t="str">
        <f t="shared" si="399"/>
        <v/>
      </c>
      <c r="D23" s="89" t="str">
        <f t="shared" si="400"/>
        <v/>
      </c>
      <c r="E23" s="40"/>
      <c r="F23" s="89" t="str">
        <f t="shared" si="401"/>
        <v/>
      </c>
      <c r="G23" s="89" t="str">
        <f t="shared" si="402"/>
        <v/>
      </c>
      <c r="H23" s="37"/>
      <c r="I23" s="37"/>
      <c r="J23" s="41"/>
      <c r="K23" s="90" t="str">
        <f t="shared" si="403"/>
        <v/>
      </c>
      <c r="L23" s="41"/>
      <c r="M23" s="41"/>
      <c r="N23" s="41"/>
      <c r="O23" s="43"/>
      <c r="P23" s="91" t="str">
        <f t="shared" si="404"/>
        <v/>
      </c>
      <c r="Q23" s="4"/>
      <c r="R23" s="39"/>
      <c r="S23" s="39"/>
      <c r="T23" s="1"/>
      <c r="U23" s="1"/>
      <c r="V23" s="1"/>
      <c r="W23" s="1"/>
      <c r="X23" s="1"/>
      <c r="Y23" s="1"/>
      <c r="Z23" s="1"/>
      <c r="AA23" s="55"/>
      <c r="AB23" s="1"/>
      <c r="AC23" s="56"/>
      <c r="AD23" s="1"/>
      <c r="AE23" s="1"/>
      <c r="AF23" s="2"/>
      <c r="AG23" s="55"/>
      <c r="AH23" s="1"/>
      <c r="AI23" s="1"/>
      <c r="AJ23" s="1"/>
      <c r="AK23" s="1"/>
      <c r="AL23" s="1"/>
      <c r="AM23" s="1"/>
      <c r="AN23" s="55"/>
      <c r="AO23" s="1"/>
      <c r="AP23" s="56"/>
      <c r="AQ23" s="1"/>
      <c r="AR23" s="1"/>
      <c r="AS23" s="2"/>
      <c r="AT23" s="55"/>
      <c r="AU23" s="55"/>
      <c r="AV23" s="55"/>
      <c r="AW23" s="56"/>
      <c r="AX23" s="57"/>
      <c r="AY23" s="55"/>
      <c r="AZ23" s="1"/>
      <c r="BA23" s="58"/>
      <c r="BB23" s="59"/>
      <c r="BC23" s="4"/>
      <c r="BD23" s="39"/>
      <c r="BE23" s="39"/>
      <c r="BF23" s="1"/>
      <c r="BG23" s="1"/>
      <c r="BH23" s="1"/>
      <c r="BI23" s="1"/>
      <c r="BJ23" s="1"/>
      <c r="BK23" s="1"/>
      <c r="BL23" s="1"/>
      <c r="BM23" s="55"/>
      <c r="BN23" s="1"/>
      <c r="BO23" s="56"/>
      <c r="BP23" s="1"/>
      <c r="BQ23" s="1"/>
      <c r="BR23" s="2"/>
      <c r="BS23" s="55"/>
      <c r="BT23" s="1"/>
      <c r="BU23" s="1"/>
      <c r="BV23" s="1"/>
      <c r="BW23" s="1"/>
      <c r="BX23" s="1"/>
      <c r="BY23" s="1"/>
      <c r="BZ23" s="55"/>
      <c r="CA23" s="1"/>
      <c r="CB23" s="56"/>
      <c r="CC23" s="1"/>
      <c r="CD23" s="1"/>
      <c r="CE23" s="2"/>
      <c r="CF23" s="55"/>
      <c r="CG23" s="55"/>
      <c r="CH23" s="55"/>
      <c r="CI23" s="56"/>
      <c r="CJ23" s="57"/>
      <c r="CK23" s="55"/>
      <c r="CL23" s="1"/>
      <c r="CM23" s="58"/>
      <c r="CN23" s="59"/>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c r="EB23" s="39"/>
      <c r="EC23" s="39"/>
      <c r="ED23" s="1"/>
      <c r="EE23" s="1"/>
      <c r="EF23" s="1"/>
      <c r="EG23" s="1"/>
      <c r="EH23" s="1"/>
      <c r="EI23" s="1"/>
      <c r="EJ23" s="1"/>
      <c r="EK23" s="55"/>
      <c r="EL23" s="1"/>
      <c r="EM23" s="56"/>
      <c r="EN23" s="1"/>
      <c r="EO23" s="1"/>
      <c r="EP23" s="2"/>
      <c r="EQ23" s="55"/>
      <c r="ER23" s="1"/>
      <c r="ES23" s="1"/>
      <c r="ET23" s="1"/>
      <c r="EU23" s="1"/>
      <c r="EV23" s="1"/>
      <c r="EW23" s="1"/>
      <c r="EX23" s="55"/>
      <c r="EY23" s="1"/>
      <c r="EZ23" s="56"/>
      <c r="FA23" s="1"/>
      <c r="FB23" s="1"/>
      <c r="FC23" s="2"/>
      <c r="FD23" s="55"/>
      <c r="FE23" s="55"/>
      <c r="FF23" s="55"/>
      <c r="FG23" s="56"/>
      <c r="FH23" s="57"/>
      <c r="FI23" s="55"/>
      <c r="FJ23" s="1"/>
      <c r="FK23" s="58"/>
      <c r="FL23" s="59"/>
      <c r="FM23" s="4"/>
      <c r="FN23" s="39"/>
      <c r="FO23" s="39"/>
      <c r="FP23" s="1"/>
      <c r="FQ23" s="1"/>
      <c r="FR23" s="1"/>
      <c r="FS23" s="1"/>
      <c r="FT23" s="1"/>
      <c r="FU23" s="1"/>
      <c r="FV23" s="1"/>
      <c r="FW23" s="55"/>
      <c r="FX23" s="1"/>
      <c r="FY23" s="56"/>
      <c r="FZ23" s="1"/>
      <c r="GA23" s="1"/>
      <c r="GB23" s="2"/>
      <c r="GC23" s="55"/>
      <c r="GD23" s="1"/>
      <c r="GE23" s="1"/>
      <c r="GF23" s="1"/>
      <c r="GG23" s="1"/>
      <c r="GH23" s="1"/>
      <c r="GI23" s="1"/>
      <c r="GJ23" s="55"/>
      <c r="GK23" s="1"/>
      <c r="GL23" s="56"/>
      <c r="GM23" s="1"/>
      <c r="GN23" s="1"/>
      <c r="GO23" s="2"/>
      <c r="GP23" s="55"/>
      <c r="GQ23" s="55"/>
      <c r="GR23" s="55"/>
      <c r="GS23" s="56"/>
      <c r="GT23" s="57"/>
      <c r="GU23" s="55"/>
      <c r="GV23" s="1"/>
      <c r="GW23" s="58"/>
      <c r="GX23" s="59"/>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c r="JX23" s="39"/>
      <c r="JY23" s="39"/>
      <c r="JZ23" s="1"/>
      <c r="KA23" s="1"/>
      <c r="KB23" s="1"/>
      <c r="KC23" s="1"/>
      <c r="KD23" s="1"/>
      <c r="KE23" s="1"/>
      <c r="KF23" s="1"/>
      <c r="KG23" s="55"/>
      <c r="KH23" s="1"/>
      <c r="KI23" s="56"/>
      <c r="KJ23" s="1"/>
      <c r="KK23" s="1"/>
      <c r="KL23" s="2"/>
      <c r="KM23" s="55"/>
      <c r="KN23" s="1"/>
      <c r="KO23" s="1"/>
      <c r="KP23" s="1"/>
      <c r="KQ23" s="1"/>
      <c r="KR23" s="1"/>
      <c r="KS23" s="1"/>
      <c r="KT23" s="55"/>
      <c r="KU23" s="1"/>
      <c r="KV23" s="56"/>
      <c r="KW23" s="1"/>
      <c r="KX23" s="1"/>
      <c r="KY23" s="2"/>
      <c r="KZ23" s="55"/>
      <c r="LA23" s="55"/>
      <c r="LB23" s="55"/>
      <c r="LC23" s="56"/>
      <c r="LD23" s="57"/>
      <c r="LE23" s="55"/>
      <c r="LF23" s="1"/>
      <c r="LG23" s="58"/>
      <c r="LH23" s="59"/>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c r="PT23" s="39"/>
      <c r="PU23" s="39"/>
      <c r="PV23" s="1"/>
      <c r="PW23" s="1"/>
      <c r="PX23" s="1"/>
      <c r="PY23" s="1"/>
      <c r="PZ23" s="1"/>
      <c r="QA23" s="1"/>
      <c r="QB23" s="1"/>
      <c r="QC23" s="55"/>
      <c r="QD23" s="1"/>
      <c r="QE23" s="56"/>
      <c r="QF23" s="1"/>
      <c r="QG23" s="1"/>
      <c r="QH23" s="2"/>
      <c r="QI23" s="55"/>
      <c r="QJ23" s="1"/>
      <c r="QK23" s="1"/>
      <c r="QL23" s="1"/>
      <c r="QM23" s="1"/>
      <c r="QN23" s="1"/>
      <c r="QO23" s="1"/>
      <c r="QP23" s="55"/>
      <c r="QQ23" s="1"/>
      <c r="QR23" s="56"/>
      <c r="QS23" s="1"/>
      <c r="QT23" s="1"/>
      <c r="QU23" s="2"/>
      <c r="QV23" s="55"/>
      <c r="QW23" s="55"/>
      <c r="QX23" s="55"/>
      <c r="QY23" s="56"/>
      <c r="QZ23" s="57"/>
      <c r="RA23" s="55"/>
      <c r="RB23" s="1"/>
      <c r="RC23" s="58"/>
      <c r="RD23" s="59"/>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c r="UD23" s="39"/>
      <c r="UE23" s="39"/>
      <c r="UF23" s="1"/>
      <c r="UG23" s="1"/>
      <c r="UH23" s="1"/>
      <c r="UI23" s="1"/>
      <c r="UJ23" s="1"/>
      <c r="UK23" s="1"/>
      <c r="UL23" s="1"/>
      <c r="UM23" s="55"/>
      <c r="UN23" s="1"/>
      <c r="UO23" s="56"/>
      <c r="UP23" s="1"/>
      <c r="UQ23" s="1"/>
      <c r="UR23" s="2"/>
      <c r="US23" s="55"/>
      <c r="UT23" s="1"/>
      <c r="UU23" s="1"/>
      <c r="UV23" s="1"/>
      <c r="UW23" s="1"/>
      <c r="UX23" s="1"/>
      <c r="UY23" s="1"/>
      <c r="UZ23" s="55"/>
      <c r="VA23" s="1"/>
      <c r="VB23" s="56"/>
      <c r="VC23" s="1"/>
      <c r="VD23" s="1"/>
      <c r="VE23" s="2"/>
      <c r="VF23" s="55"/>
      <c r="VG23" s="55"/>
      <c r="VH23" s="55"/>
      <c r="VI23" s="56"/>
      <c r="VJ23" s="57"/>
      <c r="VK23" s="55"/>
      <c r="VL23" s="1"/>
      <c r="VM23" s="58"/>
      <c r="VN23" s="59"/>
      <c r="VO23" s="4"/>
      <c r="VP23" s="39"/>
      <c r="VQ23" s="39"/>
      <c r="VR23" s="1"/>
      <c r="VS23" s="1"/>
      <c r="VT23" s="1"/>
      <c r="VU23" s="1"/>
      <c r="VV23" s="1"/>
      <c r="VW23" s="1"/>
      <c r="VX23" s="1"/>
      <c r="VY23" s="55"/>
      <c r="VZ23" s="1"/>
      <c r="WA23" s="56"/>
      <c r="WB23" s="1"/>
      <c r="WC23" s="1"/>
      <c r="WD23" s="2"/>
      <c r="WE23" s="55"/>
      <c r="WF23" s="1"/>
      <c r="WG23" s="1"/>
      <c r="WH23" s="1"/>
      <c r="WI23" s="1"/>
      <c r="WJ23" s="1"/>
      <c r="WK23" s="1"/>
      <c r="WL23" s="55"/>
      <c r="WM23" s="1"/>
      <c r="WN23" s="56"/>
      <c r="WO23" s="1"/>
      <c r="WP23" s="1"/>
      <c r="WQ23" s="2"/>
      <c r="WR23" s="55"/>
      <c r="WS23" s="55"/>
      <c r="WT23" s="55"/>
      <c r="WU23" s="56"/>
      <c r="WV23" s="57"/>
      <c r="WW23" s="55"/>
      <c r="WX23" s="1"/>
      <c r="WY23" s="58"/>
      <c r="WZ23" s="59"/>
      <c r="XA23" s="4"/>
      <c r="XB23" s="39"/>
      <c r="XC23" s="39"/>
      <c r="XD23" s="1"/>
      <c r="XE23" s="1"/>
      <c r="XF23" s="1"/>
      <c r="XG23" s="1"/>
      <c r="XH23" s="1"/>
      <c r="XI23" s="1"/>
      <c r="XJ23" s="1"/>
      <c r="XK23" s="55"/>
      <c r="XL23" s="1"/>
      <c r="XM23" s="56"/>
      <c r="XN23" s="1"/>
      <c r="XO23" s="1"/>
      <c r="XP23" s="2"/>
      <c r="XQ23" s="55"/>
      <c r="XR23" s="1"/>
      <c r="XS23" s="1"/>
      <c r="XT23" s="1"/>
      <c r="XU23" s="1"/>
      <c r="XV23" s="1"/>
      <c r="XW23" s="1"/>
      <c r="XX23" s="55"/>
      <c r="XY23" s="1"/>
      <c r="XZ23" s="56"/>
      <c r="YA23" s="1"/>
      <c r="YB23" s="1"/>
      <c r="YC23" s="2"/>
      <c r="YD23" s="55"/>
      <c r="YE23" s="55"/>
      <c r="YF23" s="55"/>
      <c r="YG23" s="56"/>
      <c r="YH23" s="57"/>
      <c r="YI23" s="55"/>
      <c r="YJ23" s="1"/>
      <c r="YK23" s="58"/>
      <c r="YL23" s="59"/>
      <c r="YM23" s="4"/>
      <c r="YN23" s="39"/>
      <c r="YO23" s="39"/>
      <c r="YP23" s="1"/>
      <c r="YQ23" s="1"/>
      <c r="YR23" s="1"/>
      <c r="YS23" s="1"/>
      <c r="YT23" s="1"/>
      <c r="YU23" s="1"/>
      <c r="YV23" s="1"/>
      <c r="YW23" s="55"/>
      <c r="YX23" s="1"/>
      <c r="YY23" s="56"/>
      <c r="YZ23" s="1"/>
      <c r="ZA23" s="1"/>
      <c r="ZB23" s="2"/>
      <c r="ZC23" s="55"/>
      <c r="ZD23" s="1"/>
      <c r="ZE23" s="1"/>
      <c r="ZF23" s="1"/>
      <c r="ZG23" s="1"/>
      <c r="ZH23" s="1"/>
      <c r="ZI23" s="1"/>
      <c r="ZJ23" s="55"/>
      <c r="ZK23" s="1"/>
      <c r="ZL23" s="56"/>
      <c r="ZM23" s="1"/>
      <c r="ZN23" s="1"/>
      <c r="ZO23" s="2"/>
      <c r="ZP23" s="55"/>
      <c r="ZQ23" s="55"/>
      <c r="ZR23" s="55"/>
      <c r="ZS23" s="56"/>
      <c r="ZT23" s="57"/>
      <c r="ZU23" s="55"/>
      <c r="ZV23" s="1"/>
      <c r="ZW23" s="58"/>
      <c r="ZX23" s="59"/>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
      </c>
      <c r="B24" s="89" t="str">
        <f t="shared" si="398"/>
        <v/>
      </c>
      <c r="C24" s="89" t="str">
        <f t="shared" si="399"/>
        <v/>
      </c>
      <c r="D24" s="89" t="str">
        <f t="shared" si="400"/>
        <v/>
      </c>
      <c r="E24" s="40"/>
      <c r="F24" s="89" t="str">
        <f t="shared" si="401"/>
        <v/>
      </c>
      <c r="G24" s="89" t="str">
        <f t="shared" si="402"/>
        <v/>
      </c>
      <c r="H24" s="37"/>
      <c r="I24" s="37"/>
      <c r="J24" s="41"/>
      <c r="K24" s="90" t="str">
        <f t="shared" si="403"/>
        <v/>
      </c>
      <c r="L24" s="41"/>
      <c r="M24" s="41"/>
      <c r="N24" s="41"/>
      <c r="O24" s="43"/>
      <c r="P24" s="91" t="str">
        <f t="shared" si="404"/>
        <v/>
      </c>
      <c r="Q24" s="4"/>
      <c r="R24" s="39"/>
      <c r="S24" s="39"/>
      <c r="T24" s="1"/>
      <c r="U24" s="1"/>
      <c r="V24" s="1"/>
      <c r="W24" s="1"/>
      <c r="X24" s="1"/>
      <c r="Y24" s="1"/>
      <c r="Z24" s="1"/>
      <c r="AA24" s="55"/>
      <c r="AB24" s="1"/>
      <c r="AC24" s="56"/>
      <c r="AD24" s="1"/>
      <c r="AE24" s="1"/>
      <c r="AF24" s="2"/>
      <c r="AG24" s="55"/>
      <c r="AH24" s="1"/>
      <c r="AI24" s="1"/>
      <c r="AJ24" s="1"/>
      <c r="AK24" s="1"/>
      <c r="AL24" s="1"/>
      <c r="AM24" s="1"/>
      <c r="AN24" s="55"/>
      <c r="AO24" s="1"/>
      <c r="AP24" s="56"/>
      <c r="AQ24" s="1"/>
      <c r="AR24" s="1"/>
      <c r="AS24" s="2"/>
      <c r="AT24" s="55"/>
      <c r="AU24" s="55"/>
      <c r="AV24" s="55"/>
      <c r="AW24" s="56"/>
      <c r="AX24" s="57"/>
      <c r="AY24" s="55"/>
      <c r="AZ24" s="1"/>
      <c r="BA24" s="58"/>
      <c r="BB24" s="59"/>
      <c r="BC24" s="4"/>
      <c r="BD24" s="39"/>
      <c r="BE24" s="39"/>
      <c r="BF24" s="1"/>
      <c r="BG24" s="1"/>
      <c r="BH24" s="1"/>
      <c r="BI24" s="1"/>
      <c r="BJ24" s="1"/>
      <c r="BK24" s="1"/>
      <c r="BL24" s="1"/>
      <c r="BM24" s="55"/>
      <c r="BN24" s="1"/>
      <c r="BO24" s="56"/>
      <c r="BP24" s="1"/>
      <c r="BQ24" s="1"/>
      <c r="BR24" s="2"/>
      <c r="BS24" s="55"/>
      <c r="BT24" s="1"/>
      <c r="BU24" s="1"/>
      <c r="BV24" s="1"/>
      <c r="BW24" s="1"/>
      <c r="BX24" s="1"/>
      <c r="BY24" s="1"/>
      <c r="BZ24" s="55"/>
      <c r="CA24" s="1"/>
      <c r="CB24" s="56"/>
      <c r="CC24" s="1"/>
      <c r="CD24" s="1"/>
      <c r="CE24" s="2"/>
      <c r="CF24" s="55"/>
      <c r="CG24" s="55"/>
      <c r="CH24" s="55"/>
      <c r="CI24" s="56"/>
      <c r="CJ24" s="57"/>
      <c r="CK24" s="55"/>
      <c r="CL24" s="1"/>
      <c r="CM24" s="58"/>
      <c r="CN24" s="59"/>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c r="EB24" s="39"/>
      <c r="EC24" s="39"/>
      <c r="ED24" s="1"/>
      <c r="EE24" s="1"/>
      <c r="EF24" s="1"/>
      <c r="EG24" s="1"/>
      <c r="EH24" s="1"/>
      <c r="EI24" s="1"/>
      <c r="EJ24" s="1"/>
      <c r="EK24" s="55"/>
      <c r="EL24" s="1"/>
      <c r="EM24" s="56"/>
      <c r="EN24" s="1"/>
      <c r="EO24" s="1"/>
      <c r="EP24" s="2"/>
      <c r="EQ24" s="55"/>
      <c r="ER24" s="1"/>
      <c r="ES24" s="1"/>
      <c r="ET24" s="1"/>
      <c r="EU24" s="1"/>
      <c r="EV24" s="1"/>
      <c r="EW24" s="1"/>
      <c r="EX24" s="55"/>
      <c r="EY24" s="1"/>
      <c r="EZ24" s="56"/>
      <c r="FA24" s="1"/>
      <c r="FB24" s="1"/>
      <c r="FC24" s="2"/>
      <c r="FD24" s="55"/>
      <c r="FE24" s="55"/>
      <c r="FF24" s="55"/>
      <c r="FG24" s="56"/>
      <c r="FH24" s="57"/>
      <c r="FI24" s="55"/>
      <c r="FJ24" s="1"/>
      <c r="FK24" s="58"/>
      <c r="FL24" s="59"/>
      <c r="FM24" s="4"/>
      <c r="FN24" s="39"/>
      <c r="FO24" s="39"/>
      <c r="FP24" s="1"/>
      <c r="FQ24" s="1"/>
      <c r="FR24" s="1"/>
      <c r="FS24" s="1"/>
      <c r="FT24" s="1"/>
      <c r="FU24" s="1"/>
      <c r="FV24" s="1"/>
      <c r="FW24" s="55"/>
      <c r="FX24" s="1"/>
      <c r="FY24" s="56"/>
      <c r="FZ24" s="1"/>
      <c r="GA24" s="1"/>
      <c r="GB24" s="2"/>
      <c r="GC24" s="55"/>
      <c r="GD24" s="1"/>
      <c r="GE24" s="1"/>
      <c r="GF24" s="1"/>
      <c r="GG24" s="1"/>
      <c r="GH24" s="1"/>
      <c r="GI24" s="1"/>
      <c r="GJ24" s="55"/>
      <c r="GK24" s="1"/>
      <c r="GL24" s="56"/>
      <c r="GM24" s="1"/>
      <c r="GN24" s="1"/>
      <c r="GO24" s="2"/>
      <c r="GP24" s="55"/>
      <c r="GQ24" s="55"/>
      <c r="GR24" s="55"/>
      <c r="GS24" s="56"/>
      <c r="GT24" s="57"/>
      <c r="GU24" s="55"/>
      <c r="GV24" s="1"/>
      <c r="GW24" s="58"/>
      <c r="GX24" s="59"/>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c r="JX24" s="39"/>
      <c r="JY24" s="39"/>
      <c r="JZ24" s="1"/>
      <c r="KA24" s="1"/>
      <c r="KB24" s="1"/>
      <c r="KC24" s="1"/>
      <c r="KD24" s="1"/>
      <c r="KE24" s="1"/>
      <c r="KF24" s="1"/>
      <c r="KG24" s="55"/>
      <c r="KH24" s="1"/>
      <c r="KI24" s="56"/>
      <c r="KJ24" s="1"/>
      <c r="KK24" s="1"/>
      <c r="KL24" s="2"/>
      <c r="KM24" s="55"/>
      <c r="KN24" s="1"/>
      <c r="KO24" s="1"/>
      <c r="KP24" s="1"/>
      <c r="KQ24" s="1"/>
      <c r="KR24" s="1"/>
      <c r="KS24" s="1"/>
      <c r="KT24" s="55"/>
      <c r="KU24" s="1"/>
      <c r="KV24" s="56"/>
      <c r="KW24" s="1"/>
      <c r="KX24" s="1"/>
      <c r="KY24" s="2"/>
      <c r="KZ24" s="55"/>
      <c r="LA24" s="55"/>
      <c r="LB24" s="55"/>
      <c r="LC24" s="56"/>
      <c r="LD24" s="57"/>
      <c r="LE24" s="55"/>
      <c r="LF24" s="1"/>
      <c r="LG24" s="58"/>
      <c r="LH24" s="59"/>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c r="PT24" s="39"/>
      <c r="PU24" s="39"/>
      <c r="PV24" s="1"/>
      <c r="PW24" s="1"/>
      <c r="PX24" s="1"/>
      <c r="PY24" s="1"/>
      <c r="PZ24" s="1"/>
      <c r="QA24" s="1"/>
      <c r="QB24" s="1"/>
      <c r="QC24" s="55"/>
      <c r="QD24" s="1"/>
      <c r="QE24" s="56"/>
      <c r="QF24" s="1"/>
      <c r="QG24" s="1"/>
      <c r="QH24" s="2"/>
      <c r="QI24" s="55"/>
      <c r="QJ24" s="1"/>
      <c r="QK24" s="1"/>
      <c r="QL24" s="1"/>
      <c r="QM24" s="1"/>
      <c r="QN24" s="1"/>
      <c r="QO24" s="1"/>
      <c r="QP24" s="55"/>
      <c r="QQ24" s="1"/>
      <c r="QR24" s="56"/>
      <c r="QS24" s="1"/>
      <c r="QT24" s="1"/>
      <c r="QU24" s="2"/>
      <c r="QV24" s="55"/>
      <c r="QW24" s="55"/>
      <c r="QX24" s="55"/>
      <c r="QY24" s="56"/>
      <c r="QZ24" s="57"/>
      <c r="RA24" s="55"/>
      <c r="RB24" s="1"/>
      <c r="RC24" s="58"/>
      <c r="RD24" s="59"/>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c r="UD24" s="39"/>
      <c r="UE24" s="39"/>
      <c r="UF24" s="1"/>
      <c r="UG24" s="1"/>
      <c r="UH24" s="1"/>
      <c r="UI24" s="1"/>
      <c r="UJ24" s="1"/>
      <c r="UK24" s="1"/>
      <c r="UL24" s="1"/>
      <c r="UM24" s="55"/>
      <c r="UN24" s="1"/>
      <c r="UO24" s="56"/>
      <c r="UP24" s="1"/>
      <c r="UQ24" s="1"/>
      <c r="UR24" s="2"/>
      <c r="US24" s="55"/>
      <c r="UT24" s="1"/>
      <c r="UU24" s="1"/>
      <c r="UV24" s="1"/>
      <c r="UW24" s="1"/>
      <c r="UX24" s="1"/>
      <c r="UY24" s="1"/>
      <c r="UZ24" s="55"/>
      <c r="VA24" s="1"/>
      <c r="VB24" s="56"/>
      <c r="VC24" s="1"/>
      <c r="VD24" s="1"/>
      <c r="VE24" s="2"/>
      <c r="VF24" s="55"/>
      <c r="VG24" s="55"/>
      <c r="VH24" s="55"/>
      <c r="VI24" s="56"/>
      <c r="VJ24" s="57"/>
      <c r="VK24" s="55"/>
      <c r="VL24" s="1"/>
      <c r="VM24" s="58"/>
      <c r="VN24" s="59"/>
      <c r="VO24" s="4"/>
      <c r="VP24" s="39"/>
      <c r="VQ24" s="39"/>
      <c r="VR24" s="1"/>
      <c r="VS24" s="1"/>
      <c r="VT24" s="1"/>
      <c r="VU24" s="1"/>
      <c r="VV24" s="1"/>
      <c r="VW24" s="1"/>
      <c r="VX24" s="1"/>
      <c r="VY24" s="55"/>
      <c r="VZ24" s="1"/>
      <c r="WA24" s="56"/>
      <c r="WB24" s="1"/>
      <c r="WC24" s="1"/>
      <c r="WD24" s="2"/>
      <c r="WE24" s="55"/>
      <c r="WF24" s="1"/>
      <c r="WG24" s="1"/>
      <c r="WH24" s="1"/>
      <c r="WI24" s="1"/>
      <c r="WJ24" s="1"/>
      <c r="WK24" s="1"/>
      <c r="WL24" s="55"/>
      <c r="WM24" s="1"/>
      <c r="WN24" s="56"/>
      <c r="WO24" s="1"/>
      <c r="WP24" s="1"/>
      <c r="WQ24" s="2"/>
      <c r="WR24" s="55"/>
      <c r="WS24" s="55"/>
      <c r="WT24" s="55"/>
      <c r="WU24" s="56"/>
      <c r="WV24" s="57"/>
      <c r="WW24" s="55"/>
      <c r="WX24" s="1"/>
      <c r="WY24" s="58"/>
      <c r="WZ24" s="59"/>
      <c r="XA24" s="4"/>
      <c r="XB24" s="39"/>
      <c r="XC24" s="39"/>
      <c r="XD24" s="1"/>
      <c r="XE24" s="1"/>
      <c r="XF24" s="1"/>
      <c r="XG24" s="1"/>
      <c r="XH24" s="1"/>
      <c r="XI24" s="1"/>
      <c r="XJ24" s="1"/>
      <c r="XK24" s="55"/>
      <c r="XL24" s="1"/>
      <c r="XM24" s="56"/>
      <c r="XN24" s="1"/>
      <c r="XO24" s="1"/>
      <c r="XP24" s="2"/>
      <c r="XQ24" s="55"/>
      <c r="XR24" s="1"/>
      <c r="XS24" s="1"/>
      <c r="XT24" s="1"/>
      <c r="XU24" s="1"/>
      <c r="XV24" s="1"/>
      <c r="XW24" s="1"/>
      <c r="XX24" s="55"/>
      <c r="XY24" s="1"/>
      <c r="XZ24" s="56"/>
      <c r="YA24" s="1"/>
      <c r="YB24" s="1"/>
      <c r="YC24" s="2"/>
      <c r="YD24" s="55"/>
      <c r="YE24" s="55"/>
      <c r="YF24" s="55"/>
      <c r="YG24" s="56"/>
      <c r="YH24" s="57"/>
      <c r="YI24" s="55"/>
      <c r="YJ24" s="1"/>
      <c r="YK24" s="58"/>
      <c r="YL24" s="59"/>
      <c r="YM24" s="4"/>
      <c r="YN24" s="39"/>
      <c r="YO24" s="39"/>
      <c r="YP24" s="1"/>
      <c r="YQ24" s="1"/>
      <c r="YR24" s="1"/>
      <c r="YS24" s="1"/>
      <c r="YT24" s="1"/>
      <c r="YU24" s="1"/>
      <c r="YV24" s="1"/>
      <c r="YW24" s="55"/>
      <c r="YX24" s="1"/>
      <c r="YY24" s="56"/>
      <c r="YZ24" s="1"/>
      <c r="ZA24" s="1"/>
      <c r="ZB24" s="2"/>
      <c r="ZC24" s="55"/>
      <c r="ZD24" s="1"/>
      <c r="ZE24" s="1"/>
      <c r="ZF24" s="1"/>
      <c r="ZG24" s="1"/>
      <c r="ZH24" s="1"/>
      <c r="ZI24" s="1"/>
      <c r="ZJ24" s="55"/>
      <c r="ZK24" s="1"/>
      <c r="ZL24" s="56"/>
      <c r="ZM24" s="1"/>
      <c r="ZN24" s="1"/>
      <c r="ZO24" s="2"/>
      <c r="ZP24" s="55"/>
      <c r="ZQ24" s="55"/>
      <c r="ZR24" s="55"/>
      <c r="ZS24" s="56"/>
      <c r="ZT24" s="57"/>
      <c r="ZU24" s="55"/>
      <c r="ZV24" s="1"/>
      <c r="ZW24" s="58"/>
      <c r="ZX24" s="59"/>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
      </c>
      <c r="B25" s="89" t="str">
        <f t="shared" si="398"/>
        <v/>
      </c>
      <c r="C25" s="89" t="str">
        <f t="shared" si="399"/>
        <v/>
      </c>
      <c r="D25" s="89" t="str">
        <f t="shared" si="400"/>
        <v/>
      </c>
      <c r="E25" s="40"/>
      <c r="F25" s="89" t="str">
        <f t="shared" si="401"/>
        <v/>
      </c>
      <c r="G25" s="89" t="str">
        <f t="shared" si="402"/>
        <v/>
      </c>
      <c r="H25" s="37"/>
      <c r="I25" s="37"/>
      <c r="J25" s="41"/>
      <c r="K25" s="90" t="str">
        <f t="shared" si="403"/>
        <v/>
      </c>
      <c r="L25" s="41"/>
      <c r="M25" s="41"/>
      <c r="N25" s="41"/>
      <c r="O25" s="43"/>
      <c r="P25" s="91" t="str">
        <f t="shared" si="404"/>
        <v/>
      </c>
      <c r="Q25" s="4"/>
      <c r="R25" s="39"/>
      <c r="S25" s="39"/>
      <c r="T25" s="1"/>
      <c r="U25" s="1"/>
      <c r="V25" s="1"/>
      <c r="W25" s="1"/>
      <c r="X25" s="1"/>
      <c r="Y25" s="1"/>
      <c r="Z25" s="1"/>
      <c r="AA25" s="55"/>
      <c r="AB25" s="1"/>
      <c r="AC25" s="56"/>
      <c r="AD25" s="1"/>
      <c r="AE25" s="1"/>
      <c r="AF25" s="2"/>
      <c r="AG25" s="55"/>
      <c r="AH25" s="1"/>
      <c r="AI25" s="1"/>
      <c r="AJ25" s="1"/>
      <c r="AK25" s="1"/>
      <c r="AL25" s="1"/>
      <c r="AM25" s="1"/>
      <c r="AN25" s="55"/>
      <c r="AO25" s="1"/>
      <c r="AP25" s="56"/>
      <c r="AQ25" s="1"/>
      <c r="AR25" s="1"/>
      <c r="AS25" s="2"/>
      <c r="AT25" s="55"/>
      <c r="AU25" s="55"/>
      <c r="AV25" s="55"/>
      <c r="AW25" s="56"/>
      <c r="AX25" s="57"/>
      <c r="AY25" s="55"/>
      <c r="AZ25" s="1"/>
      <c r="BA25" s="58"/>
      <c r="BB25" s="59"/>
      <c r="BC25" s="4"/>
      <c r="BD25" s="39"/>
      <c r="BE25" s="39"/>
      <c r="BF25" s="1"/>
      <c r="BG25" s="1"/>
      <c r="BH25" s="1"/>
      <c r="BI25" s="1"/>
      <c r="BJ25" s="1"/>
      <c r="BK25" s="1"/>
      <c r="BL25" s="1"/>
      <c r="BM25" s="55"/>
      <c r="BN25" s="1"/>
      <c r="BO25" s="56"/>
      <c r="BP25" s="1"/>
      <c r="BQ25" s="1"/>
      <c r="BR25" s="2"/>
      <c r="BS25" s="55"/>
      <c r="BT25" s="1"/>
      <c r="BU25" s="1"/>
      <c r="BV25" s="1"/>
      <c r="BW25" s="1"/>
      <c r="BX25" s="1"/>
      <c r="BY25" s="1"/>
      <c r="BZ25" s="55"/>
      <c r="CA25" s="1"/>
      <c r="CB25" s="56"/>
      <c r="CC25" s="1"/>
      <c r="CD25" s="1"/>
      <c r="CE25" s="2"/>
      <c r="CF25" s="55"/>
      <c r="CG25" s="55"/>
      <c r="CH25" s="55"/>
      <c r="CI25" s="56"/>
      <c r="CJ25" s="57"/>
      <c r="CK25" s="55"/>
      <c r="CL25" s="1"/>
      <c r="CM25" s="58"/>
      <c r="CN25" s="59"/>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c r="EB25" s="39"/>
      <c r="EC25" s="39"/>
      <c r="ED25" s="1"/>
      <c r="EE25" s="1"/>
      <c r="EF25" s="1"/>
      <c r="EG25" s="1"/>
      <c r="EH25" s="1"/>
      <c r="EI25" s="1"/>
      <c r="EJ25" s="1"/>
      <c r="EK25" s="55"/>
      <c r="EL25" s="1"/>
      <c r="EM25" s="56"/>
      <c r="EN25" s="1"/>
      <c r="EO25" s="1"/>
      <c r="EP25" s="2"/>
      <c r="EQ25" s="55"/>
      <c r="ER25" s="1"/>
      <c r="ES25" s="1"/>
      <c r="ET25" s="1"/>
      <c r="EU25" s="1"/>
      <c r="EV25" s="1"/>
      <c r="EW25" s="1"/>
      <c r="EX25" s="55"/>
      <c r="EY25" s="1"/>
      <c r="EZ25" s="56"/>
      <c r="FA25" s="1"/>
      <c r="FB25" s="1"/>
      <c r="FC25" s="2"/>
      <c r="FD25" s="55"/>
      <c r="FE25" s="55"/>
      <c r="FF25" s="55"/>
      <c r="FG25" s="56"/>
      <c r="FH25" s="57"/>
      <c r="FI25" s="55"/>
      <c r="FJ25" s="1"/>
      <c r="FK25" s="58"/>
      <c r="FL25" s="59"/>
      <c r="FM25" s="4"/>
      <c r="FN25" s="39"/>
      <c r="FO25" s="39"/>
      <c r="FP25" s="1"/>
      <c r="FQ25" s="1"/>
      <c r="FR25" s="1"/>
      <c r="FS25" s="1"/>
      <c r="FT25" s="1"/>
      <c r="FU25" s="1"/>
      <c r="FV25" s="1"/>
      <c r="FW25" s="55"/>
      <c r="FX25" s="1"/>
      <c r="FY25" s="56"/>
      <c r="FZ25" s="1"/>
      <c r="GA25" s="1"/>
      <c r="GB25" s="2"/>
      <c r="GC25" s="55"/>
      <c r="GD25" s="1"/>
      <c r="GE25" s="1"/>
      <c r="GF25" s="1"/>
      <c r="GG25" s="1"/>
      <c r="GH25" s="1"/>
      <c r="GI25" s="1"/>
      <c r="GJ25" s="55"/>
      <c r="GK25" s="1"/>
      <c r="GL25" s="56"/>
      <c r="GM25" s="1"/>
      <c r="GN25" s="1"/>
      <c r="GO25" s="2"/>
      <c r="GP25" s="55"/>
      <c r="GQ25" s="55"/>
      <c r="GR25" s="55"/>
      <c r="GS25" s="56"/>
      <c r="GT25" s="57"/>
      <c r="GU25" s="55"/>
      <c r="GV25" s="1"/>
      <c r="GW25" s="58"/>
      <c r="GX25" s="59"/>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c r="JX25" s="39"/>
      <c r="JY25" s="39"/>
      <c r="JZ25" s="1"/>
      <c r="KA25" s="1"/>
      <c r="KB25" s="1"/>
      <c r="KC25" s="1"/>
      <c r="KD25" s="1"/>
      <c r="KE25" s="1"/>
      <c r="KF25" s="1"/>
      <c r="KG25" s="55"/>
      <c r="KH25" s="1"/>
      <c r="KI25" s="56"/>
      <c r="KJ25" s="1"/>
      <c r="KK25" s="1"/>
      <c r="KL25" s="2"/>
      <c r="KM25" s="55"/>
      <c r="KN25" s="1"/>
      <c r="KO25" s="1"/>
      <c r="KP25" s="1"/>
      <c r="KQ25" s="1"/>
      <c r="KR25" s="1"/>
      <c r="KS25" s="1"/>
      <c r="KT25" s="55"/>
      <c r="KU25" s="1"/>
      <c r="KV25" s="56"/>
      <c r="KW25" s="1"/>
      <c r="KX25" s="1"/>
      <c r="KY25" s="2"/>
      <c r="KZ25" s="55"/>
      <c r="LA25" s="55"/>
      <c r="LB25" s="55"/>
      <c r="LC25" s="56"/>
      <c r="LD25" s="57"/>
      <c r="LE25" s="55"/>
      <c r="LF25" s="1"/>
      <c r="LG25" s="58"/>
      <c r="LH25" s="59"/>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c r="PT25" s="39"/>
      <c r="PU25" s="39"/>
      <c r="PV25" s="1"/>
      <c r="PW25" s="1"/>
      <c r="PX25" s="1"/>
      <c r="PY25" s="1"/>
      <c r="PZ25" s="1"/>
      <c r="QA25" s="1"/>
      <c r="QB25" s="1"/>
      <c r="QC25" s="55"/>
      <c r="QD25" s="1"/>
      <c r="QE25" s="56"/>
      <c r="QF25" s="1"/>
      <c r="QG25" s="1"/>
      <c r="QH25" s="2"/>
      <c r="QI25" s="55"/>
      <c r="QJ25" s="1"/>
      <c r="QK25" s="1"/>
      <c r="QL25" s="1"/>
      <c r="QM25" s="1"/>
      <c r="QN25" s="1"/>
      <c r="QO25" s="1"/>
      <c r="QP25" s="55"/>
      <c r="QQ25" s="1"/>
      <c r="QR25" s="56"/>
      <c r="QS25" s="1"/>
      <c r="QT25" s="1"/>
      <c r="QU25" s="2"/>
      <c r="QV25" s="55"/>
      <c r="QW25" s="55"/>
      <c r="QX25" s="55"/>
      <c r="QY25" s="56"/>
      <c r="QZ25" s="57"/>
      <c r="RA25" s="55"/>
      <c r="RB25" s="1"/>
      <c r="RC25" s="58"/>
      <c r="RD25" s="59"/>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c r="UD25" s="39"/>
      <c r="UE25" s="39"/>
      <c r="UF25" s="1"/>
      <c r="UG25" s="1"/>
      <c r="UH25" s="1"/>
      <c r="UI25" s="1"/>
      <c r="UJ25" s="1"/>
      <c r="UK25" s="1"/>
      <c r="UL25" s="1"/>
      <c r="UM25" s="55"/>
      <c r="UN25" s="1"/>
      <c r="UO25" s="56"/>
      <c r="UP25" s="1"/>
      <c r="UQ25" s="1"/>
      <c r="UR25" s="2"/>
      <c r="US25" s="55"/>
      <c r="UT25" s="1"/>
      <c r="UU25" s="1"/>
      <c r="UV25" s="1"/>
      <c r="UW25" s="1"/>
      <c r="UX25" s="1"/>
      <c r="UY25" s="1"/>
      <c r="UZ25" s="55"/>
      <c r="VA25" s="1"/>
      <c r="VB25" s="56"/>
      <c r="VC25" s="1"/>
      <c r="VD25" s="1"/>
      <c r="VE25" s="2"/>
      <c r="VF25" s="55"/>
      <c r="VG25" s="55"/>
      <c r="VH25" s="55"/>
      <c r="VI25" s="56"/>
      <c r="VJ25" s="57"/>
      <c r="VK25" s="55"/>
      <c r="VL25" s="1"/>
      <c r="VM25" s="58"/>
      <c r="VN25" s="59"/>
      <c r="VO25" s="4"/>
      <c r="VP25" s="39"/>
      <c r="VQ25" s="39"/>
      <c r="VR25" s="1"/>
      <c r="VS25" s="1"/>
      <c r="VT25" s="1"/>
      <c r="VU25" s="1"/>
      <c r="VV25" s="1"/>
      <c r="VW25" s="1"/>
      <c r="VX25" s="1"/>
      <c r="VY25" s="55"/>
      <c r="VZ25" s="1"/>
      <c r="WA25" s="56"/>
      <c r="WB25" s="1"/>
      <c r="WC25" s="1"/>
      <c r="WD25" s="2"/>
      <c r="WE25" s="55"/>
      <c r="WF25" s="1"/>
      <c r="WG25" s="1"/>
      <c r="WH25" s="1"/>
      <c r="WI25" s="1"/>
      <c r="WJ25" s="1"/>
      <c r="WK25" s="1"/>
      <c r="WL25" s="55"/>
      <c r="WM25" s="1"/>
      <c r="WN25" s="56"/>
      <c r="WO25" s="1"/>
      <c r="WP25" s="1"/>
      <c r="WQ25" s="2"/>
      <c r="WR25" s="55"/>
      <c r="WS25" s="55"/>
      <c r="WT25" s="55"/>
      <c r="WU25" s="56"/>
      <c r="WV25" s="57"/>
      <c r="WW25" s="55"/>
      <c r="WX25" s="1"/>
      <c r="WY25" s="58"/>
      <c r="WZ25" s="59"/>
      <c r="XA25" s="4"/>
      <c r="XB25" s="39"/>
      <c r="XC25" s="39"/>
      <c r="XD25" s="1"/>
      <c r="XE25" s="1"/>
      <c r="XF25" s="1"/>
      <c r="XG25" s="1"/>
      <c r="XH25" s="1"/>
      <c r="XI25" s="1"/>
      <c r="XJ25" s="1"/>
      <c r="XK25" s="55"/>
      <c r="XL25" s="1"/>
      <c r="XM25" s="56"/>
      <c r="XN25" s="1"/>
      <c r="XO25" s="1"/>
      <c r="XP25" s="2"/>
      <c r="XQ25" s="55"/>
      <c r="XR25" s="1"/>
      <c r="XS25" s="1"/>
      <c r="XT25" s="1"/>
      <c r="XU25" s="1"/>
      <c r="XV25" s="1"/>
      <c r="XW25" s="1"/>
      <c r="XX25" s="55"/>
      <c r="XY25" s="1"/>
      <c r="XZ25" s="56"/>
      <c r="YA25" s="1"/>
      <c r="YB25" s="1"/>
      <c r="YC25" s="2"/>
      <c r="YD25" s="55"/>
      <c r="YE25" s="55"/>
      <c r="YF25" s="55"/>
      <c r="YG25" s="56"/>
      <c r="YH25" s="57"/>
      <c r="YI25" s="55"/>
      <c r="YJ25" s="1"/>
      <c r="YK25" s="58"/>
      <c r="YL25" s="59"/>
      <c r="YM25" s="4"/>
      <c r="YN25" s="39"/>
      <c r="YO25" s="39"/>
      <c r="YP25" s="1"/>
      <c r="YQ25" s="1"/>
      <c r="YR25" s="1"/>
      <c r="YS25" s="1"/>
      <c r="YT25" s="1"/>
      <c r="YU25" s="1"/>
      <c r="YV25" s="1"/>
      <c r="YW25" s="55"/>
      <c r="YX25" s="1"/>
      <c r="YY25" s="56"/>
      <c r="YZ25" s="1"/>
      <c r="ZA25" s="1"/>
      <c r="ZB25" s="2"/>
      <c r="ZC25" s="55"/>
      <c r="ZD25" s="1"/>
      <c r="ZE25" s="1"/>
      <c r="ZF25" s="1"/>
      <c r="ZG25" s="1"/>
      <c r="ZH25" s="1"/>
      <c r="ZI25" s="1"/>
      <c r="ZJ25" s="55"/>
      <c r="ZK25" s="1"/>
      <c r="ZL25" s="56"/>
      <c r="ZM25" s="1"/>
      <c r="ZN25" s="1"/>
      <c r="ZO25" s="2"/>
      <c r="ZP25" s="55"/>
      <c r="ZQ25" s="55"/>
      <c r="ZR25" s="55"/>
      <c r="ZS25" s="56"/>
      <c r="ZT25" s="57"/>
      <c r="ZU25" s="55"/>
      <c r="ZV25" s="1"/>
      <c r="ZW25" s="58"/>
      <c r="ZX25" s="59"/>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
      </c>
      <c r="B26" s="89" t="str">
        <f t="shared" si="398"/>
        <v/>
      </c>
      <c r="C26" s="89" t="str">
        <f t="shared" si="399"/>
        <v/>
      </c>
      <c r="D26" s="89" t="str">
        <f t="shared" si="400"/>
        <v/>
      </c>
      <c r="E26" s="40"/>
      <c r="F26" s="89" t="str">
        <f t="shared" si="401"/>
        <v/>
      </c>
      <c r="G26" s="89" t="str">
        <f t="shared" si="402"/>
        <v/>
      </c>
      <c r="H26" s="37"/>
      <c r="I26" s="37"/>
      <c r="J26" s="41"/>
      <c r="K26" s="90" t="str">
        <f t="shared" si="403"/>
        <v/>
      </c>
      <c r="L26" s="41"/>
      <c r="M26" s="41"/>
      <c r="N26" s="41"/>
      <c r="O26" s="43"/>
      <c r="P26" s="91" t="str">
        <f t="shared" si="404"/>
        <v/>
      </c>
      <c r="Q26" s="4"/>
      <c r="R26" s="39"/>
      <c r="S26" s="39"/>
      <c r="T26" s="1"/>
      <c r="U26" s="1"/>
      <c r="V26" s="1"/>
      <c r="W26" s="1"/>
      <c r="X26" s="1"/>
      <c r="Y26" s="1"/>
      <c r="Z26" s="1"/>
      <c r="AA26" s="55"/>
      <c r="AB26" s="1"/>
      <c r="AC26" s="56"/>
      <c r="AD26" s="1"/>
      <c r="AE26" s="1"/>
      <c r="AF26" s="2"/>
      <c r="AG26" s="55"/>
      <c r="AH26" s="1"/>
      <c r="AI26" s="1"/>
      <c r="AJ26" s="1"/>
      <c r="AK26" s="1"/>
      <c r="AL26" s="1"/>
      <c r="AM26" s="1"/>
      <c r="AN26" s="55"/>
      <c r="AO26" s="1"/>
      <c r="AP26" s="56"/>
      <c r="AQ26" s="1"/>
      <c r="AR26" s="1"/>
      <c r="AS26" s="2"/>
      <c r="AT26" s="55"/>
      <c r="AU26" s="55"/>
      <c r="AV26" s="55"/>
      <c r="AW26" s="56"/>
      <c r="AX26" s="57"/>
      <c r="AY26" s="55"/>
      <c r="AZ26" s="1"/>
      <c r="BA26" s="58"/>
      <c r="BB26" s="59"/>
      <c r="BC26" s="4"/>
      <c r="BD26" s="39"/>
      <c r="BE26" s="39"/>
      <c r="BF26" s="1"/>
      <c r="BG26" s="1"/>
      <c r="BH26" s="1"/>
      <c r="BI26" s="1"/>
      <c r="BJ26" s="1"/>
      <c r="BK26" s="1"/>
      <c r="BL26" s="1"/>
      <c r="BM26" s="55"/>
      <c r="BN26" s="1"/>
      <c r="BO26" s="56"/>
      <c r="BP26" s="1"/>
      <c r="BQ26" s="1"/>
      <c r="BR26" s="2"/>
      <c r="BS26" s="55"/>
      <c r="BT26" s="1"/>
      <c r="BU26" s="1"/>
      <c r="BV26" s="1"/>
      <c r="BW26" s="1"/>
      <c r="BX26" s="1"/>
      <c r="BY26" s="1"/>
      <c r="BZ26" s="55"/>
      <c r="CA26" s="1"/>
      <c r="CB26" s="56"/>
      <c r="CC26" s="1"/>
      <c r="CD26" s="1"/>
      <c r="CE26" s="2"/>
      <c r="CF26" s="55"/>
      <c r="CG26" s="55"/>
      <c r="CH26" s="55"/>
      <c r="CI26" s="56"/>
      <c r="CJ26" s="57"/>
      <c r="CK26" s="55"/>
      <c r="CL26" s="1"/>
      <c r="CM26" s="58"/>
      <c r="CN26" s="59"/>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c r="EB26" s="39"/>
      <c r="EC26" s="39"/>
      <c r="ED26" s="1"/>
      <c r="EE26" s="1"/>
      <c r="EF26" s="1"/>
      <c r="EG26" s="1"/>
      <c r="EH26" s="1"/>
      <c r="EI26" s="1"/>
      <c r="EJ26" s="1"/>
      <c r="EK26" s="55"/>
      <c r="EL26" s="1"/>
      <c r="EM26" s="56"/>
      <c r="EN26" s="1"/>
      <c r="EO26" s="1"/>
      <c r="EP26" s="2"/>
      <c r="EQ26" s="55"/>
      <c r="ER26" s="1"/>
      <c r="ES26" s="1"/>
      <c r="ET26" s="1"/>
      <c r="EU26" s="1"/>
      <c r="EV26" s="1"/>
      <c r="EW26" s="1"/>
      <c r="EX26" s="55"/>
      <c r="EY26" s="1"/>
      <c r="EZ26" s="56"/>
      <c r="FA26" s="1"/>
      <c r="FB26" s="1"/>
      <c r="FC26" s="2"/>
      <c r="FD26" s="55"/>
      <c r="FE26" s="55"/>
      <c r="FF26" s="55"/>
      <c r="FG26" s="56"/>
      <c r="FH26" s="57"/>
      <c r="FI26" s="55"/>
      <c r="FJ26" s="1"/>
      <c r="FK26" s="58"/>
      <c r="FL26" s="59"/>
      <c r="FM26" s="4"/>
      <c r="FN26" s="39"/>
      <c r="FO26" s="39"/>
      <c r="FP26" s="1"/>
      <c r="FQ26" s="1"/>
      <c r="FR26" s="1"/>
      <c r="FS26" s="1"/>
      <c r="FT26" s="1"/>
      <c r="FU26" s="1"/>
      <c r="FV26" s="1"/>
      <c r="FW26" s="55"/>
      <c r="FX26" s="1"/>
      <c r="FY26" s="56"/>
      <c r="FZ26" s="1"/>
      <c r="GA26" s="1"/>
      <c r="GB26" s="2"/>
      <c r="GC26" s="55"/>
      <c r="GD26" s="1"/>
      <c r="GE26" s="1"/>
      <c r="GF26" s="1"/>
      <c r="GG26" s="1"/>
      <c r="GH26" s="1"/>
      <c r="GI26" s="1"/>
      <c r="GJ26" s="55"/>
      <c r="GK26" s="1"/>
      <c r="GL26" s="56"/>
      <c r="GM26" s="1"/>
      <c r="GN26" s="1"/>
      <c r="GO26" s="2"/>
      <c r="GP26" s="55"/>
      <c r="GQ26" s="55"/>
      <c r="GR26" s="55"/>
      <c r="GS26" s="56"/>
      <c r="GT26" s="57"/>
      <c r="GU26" s="55"/>
      <c r="GV26" s="1"/>
      <c r="GW26" s="58"/>
      <c r="GX26" s="59"/>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c r="JX26" s="39"/>
      <c r="JY26" s="39"/>
      <c r="JZ26" s="1"/>
      <c r="KA26" s="1"/>
      <c r="KB26" s="1"/>
      <c r="KC26" s="1"/>
      <c r="KD26" s="1"/>
      <c r="KE26" s="1"/>
      <c r="KF26" s="1"/>
      <c r="KG26" s="55"/>
      <c r="KH26" s="1"/>
      <c r="KI26" s="56"/>
      <c r="KJ26" s="1"/>
      <c r="KK26" s="1"/>
      <c r="KL26" s="2"/>
      <c r="KM26" s="55"/>
      <c r="KN26" s="1"/>
      <c r="KO26" s="1"/>
      <c r="KP26" s="1"/>
      <c r="KQ26" s="1"/>
      <c r="KR26" s="1"/>
      <c r="KS26" s="1"/>
      <c r="KT26" s="55"/>
      <c r="KU26" s="1"/>
      <c r="KV26" s="56"/>
      <c r="KW26" s="1"/>
      <c r="KX26" s="1"/>
      <c r="KY26" s="2"/>
      <c r="KZ26" s="55"/>
      <c r="LA26" s="55"/>
      <c r="LB26" s="55"/>
      <c r="LC26" s="56"/>
      <c r="LD26" s="57"/>
      <c r="LE26" s="55"/>
      <c r="LF26" s="1"/>
      <c r="LG26" s="58"/>
      <c r="LH26" s="59"/>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c r="PT26" s="39"/>
      <c r="PU26" s="39"/>
      <c r="PV26" s="1"/>
      <c r="PW26" s="1"/>
      <c r="PX26" s="1"/>
      <c r="PY26" s="1"/>
      <c r="PZ26" s="1"/>
      <c r="QA26" s="1"/>
      <c r="QB26" s="1"/>
      <c r="QC26" s="55"/>
      <c r="QD26" s="1"/>
      <c r="QE26" s="56"/>
      <c r="QF26" s="1"/>
      <c r="QG26" s="1"/>
      <c r="QH26" s="2"/>
      <c r="QI26" s="55"/>
      <c r="QJ26" s="1"/>
      <c r="QK26" s="1"/>
      <c r="QL26" s="1"/>
      <c r="QM26" s="1"/>
      <c r="QN26" s="1"/>
      <c r="QO26" s="1"/>
      <c r="QP26" s="55"/>
      <c r="QQ26" s="1"/>
      <c r="QR26" s="56"/>
      <c r="QS26" s="1"/>
      <c r="QT26" s="1"/>
      <c r="QU26" s="2"/>
      <c r="QV26" s="55"/>
      <c r="QW26" s="55"/>
      <c r="QX26" s="55"/>
      <c r="QY26" s="56"/>
      <c r="QZ26" s="57"/>
      <c r="RA26" s="55"/>
      <c r="RB26" s="1"/>
      <c r="RC26" s="58"/>
      <c r="RD26" s="59"/>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c r="UD26" s="39"/>
      <c r="UE26" s="39"/>
      <c r="UF26" s="1"/>
      <c r="UG26" s="1"/>
      <c r="UH26" s="1"/>
      <c r="UI26" s="1"/>
      <c r="UJ26" s="1"/>
      <c r="UK26" s="1"/>
      <c r="UL26" s="1"/>
      <c r="UM26" s="55"/>
      <c r="UN26" s="1"/>
      <c r="UO26" s="56"/>
      <c r="UP26" s="1"/>
      <c r="UQ26" s="1"/>
      <c r="UR26" s="2"/>
      <c r="US26" s="55"/>
      <c r="UT26" s="1"/>
      <c r="UU26" s="1"/>
      <c r="UV26" s="1"/>
      <c r="UW26" s="1"/>
      <c r="UX26" s="1"/>
      <c r="UY26" s="1"/>
      <c r="UZ26" s="55"/>
      <c r="VA26" s="1"/>
      <c r="VB26" s="56"/>
      <c r="VC26" s="1"/>
      <c r="VD26" s="1"/>
      <c r="VE26" s="2"/>
      <c r="VF26" s="55"/>
      <c r="VG26" s="55"/>
      <c r="VH26" s="55"/>
      <c r="VI26" s="56"/>
      <c r="VJ26" s="57"/>
      <c r="VK26" s="55"/>
      <c r="VL26" s="1"/>
      <c r="VM26" s="58"/>
      <c r="VN26" s="59"/>
      <c r="VO26" s="4"/>
      <c r="VP26" s="39"/>
      <c r="VQ26" s="39"/>
      <c r="VR26" s="1"/>
      <c r="VS26" s="1"/>
      <c r="VT26" s="1"/>
      <c r="VU26" s="1"/>
      <c r="VV26" s="1"/>
      <c r="VW26" s="1"/>
      <c r="VX26" s="1"/>
      <c r="VY26" s="55"/>
      <c r="VZ26" s="1"/>
      <c r="WA26" s="56"/>
      <c r="WB26" s="1"/>
      <c r="WC26" s="1"/>
      <c r="WD26" s="2"/>
      <c r="WE26" s="55"/>
      <c r="WF26" s="1"/>
      <c r="WG26" s="1"/>
      <c r="WH26" s="1"/>
      <c r="WI26" s="1"/>
      <c r="WJ26" s="1"/>
      <c r="WK26" s="1"/>
      <c r="WL26" s="55"/>
      <c r="WM26" s="1"/>
      <c r="WN26" s="56"/>
      <c r="WO26" s="1"/>
      <c r="WP26" s="1"/>
      <c r="WQ26" s="2"/>
      <c r="WR26" s="55"/>
      <c r="WS26" s="55"/>
      <c r="WT26" s="55"/>
      <c r="WU26" s="56"/>
      <c r="WV26" s="57"/>
      <c r="WW26" s="55"/>
      <c r="WX26" s="1"/>
      <c r="WY26" s="58"/>
      <c r="WZ26" s="59"/>
      <c r="XA26" s="4"/>
      <c r="XB26" s="39"/>
      <c r="XC26" s="39"/>
      <c r="XD26" s="1"/>
      <c r="XE26" s="1"/>
      <c r="XF26" s="1"/>
      <c r="XG26" s="1"/>
      <c r="XH26" s="1"/>
      <c r="XI26" s="1"/>
      <c r="XJ26" s="1"/>
      <c r="XK26" s="55"/>
      <c r="XL26" s="1"/>
      <c r="XM26" s="56"/>
      <c r="XN26" s="1"/>
      <c r="XO26" s="1"/>
      <c r="XP26" s="2"/>
      <c r="XQ26" s="55"/>
      <c r="XR26" s="1"/>
      <c r="XS26" s="1"/>
      <c r="XT26" s="1"/>
      <c r="XU26" s="1"/>
      <c r="XV26" s="1"/>
      <c r="XW26" s="1"/>
      <c r="XX26" s="55"/>
      <c r="XY26" s="1"/>
      <c r="XZ26" s="56"/>
      <c r="YA26" s="1"/>
      <c r="YB26" s="1"/>
      <c r="YC26" s="2"/>
      <c r="YD26" s="55"/>
      <c r="YE26" s="55"/>
      <c r="YF26" s="55"/>
      <c r="YG26" s="56"/>
      <c r="YH26" s="57"/>
      <c r="YI26" s="55"/>
      <c r="YJ26" s="1"/>
      <c r="YK26" s="58"/>
      <c r="YL26" s="59"/>
      <c r="YM26" s="4"/>
      <c r="YN26" s="39"/>
      <c r="YO26" s="39"/>
      <c r="YP26" s="1"/>
      <c r="YQ26" s="1"/>
      <c r="YR26" s="1"/>
      <c r="YS26" s="1"/>
      <c r="YT26" s="1"/>
      <c r="YU26" s="1"/>
      <c r="YV26" s="1"/>
      <c r="YW26" s="55"/>
      <c r="YX26" s="1"/>
      <c r="YY26" s="56"/>
      <c r="YZ26" s="1"/>
      <c r="ZA26" s="1"/>
      <c r="ZB26" s="2"/>
      <c r="ZC26" s="55"/>
      <c r="ZD26" s="1"/>
      <c r="ZE26" s="1"/>
      <c r="ZF26" s="1"/>
      <c r="ZG26" s="1"/>
      <c r="ZH26" s="1"/>
      <c r="ZI26" s="1"/>
      <c r="ZJ26" s="55"/>
      <c r="ZK26" s="1"/>
      <c r="ZL26" s="56"/>
      <c r="ZM26" s="1"/>
      <c r="ZN26" s="1"/>
      <c r="ZO26" s="2"/>
      <c r="ZP26" s="55"/>
      <c r="ZQ26" s="55"/>
      <c r="ZR26" s="55"/>
      <c r="ZS26" s="56"/>
      <c r="ZT26" s="57"/>
      <c r="ZU26" s="55"/>
      <c r="ZV26" s="1"/>
      <c r="ZW26" s="58"/>
      <c r="ZX26" s="59"/>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
      </c>
      <c r="B27" s="89" t="str">
        <f t="shared" si="398"/>
        <v/>
      </c>
      <c r="C27" s="89" t="str">
        <f t="shared" si="399"/>
        <v/>
      </c>
      <c r="D27" s="89" t="str">
        <f t="shared" si="400"/>
        <v/>
      </c>
      <c r="E27" s="40"/>
      <c r="F27" s="89" t="str">
        <f t="shared" si="401"/>
        <v/>
      </c>
      <c r="G27" s="89" t="str">
        <f t="shared" si="402"/>
        <v/>
      </c>
      <c r="H27" s="37"/>
      <c r="I27" s="37"/>
      <c r="J27" s="41"/>
      <c r="K27" s="90" t="str">
        <f t="shared" si="403"/>
        <v/>
      </c>
      <c r="L27" s="41"/>
      <c r="M27" s="41"/>
      <c r="N27" s="41"/>
      <c r="O27" s="43"/>
      <c r="P27" s="91" t="str">
        <f t="shared" si="404"/>
        <v/>
      </c>
      <c r="Q27" s="4"/>
      <c r="R27" s="39"/>
      <c r="S27" s="39"/>
      <c r="T27" s="1"/>
      <c r="U27" s="1"/>
      <c r="V27" s="1"/>
      <c r="W27" s="1"/>
      <c r="X27" s="1"/>
      <c r="Y27" s="1"/>
      <c r="Z27" s="1"/>
      <c r="AA27" s="55"/>
      <c r="AB27" s="1"/>
      <c r="AC27" s="56"/>
      <c r="AD27" s="1"/>
      <c r="AE27" s="1"/>
      <c r="AF27" s="2"/>
      <c r="AG27" s="55"/>
      <c r="AH27" s="1"/>
      <c r="AI27" s="1"/>
      <c r="AJ27" s="1"/>
      <c r="AK27" s="1"/>
      <c r="AL27" s="1"/>
      <c r="AM27" s="1"/>
      <c r="AN27" s="55"/>
      <c r="AO27" s="1"/>
      <c r="AP27" s="56"/>
      <c r="AQ27" s="1"/>
      <c r="AR27" s="1"/>
      <c r="AS27" s="2"/>
      <c r="AT27" s="55"/>
      <c r="AU27" s="55"/>
      <c r="AV27" s="55"/>
      <c r="AW27" s="56"/>
      <c r="AX27" s="57"/>
      <c r="AY27" s="55"/>
      <c r="AZ27" s="1"/>
      <c r="BA27" s="58"/>
      <c r="BB27" s="59"/>
      <c r="BC27" s="4"/>
      <c r="BD27" s="39"/>
      <c r="BE27" s="39"/>
      <c r="BF27" s="1"/>
      <c r="BG27" s="1"/>
      <c r="BH27" s="1"/>
      <c r="BI27" s="1"/>
      <c r="BJ27" s="1"/>
      <c r="BK27" s="1"/>
      <c r="BL27" s="1"/>
      <c r="BM27" s="55"/>
      <c r="BN27" s="1"/>
      <c r="BO27" s="56"/>
      <c r="BP27" s="1"/>
      <c r="BQ27" s="1"/>
      <c r="BR27" s="2"/>
      <c r="BS27" s="55"/>
      <c r="BT27" s="1"/>
      <c r="BU27" s="1"/>
      <c r="BV27" s="1"/>
      <c r="BW27" s="1"/>
      <c r="BX27" s="1"/>
      <c r="BY27" s="1"/>
      <c r="BZ27" s="55"/>
      <c r="CA27" s="1"/>
      <c r="CB27" s="56"/>
      <c r="CC27" s="1"/>
      <c r="CD27" s="1"/>
      <c r="CE27" s="2"/>
      <c r="CF27" s="55"/>
      <c r="CG27" s="55"/>
      <c r="CH27" s="55"/>
      <c r="CI27" s="56"/>
      <c r="CJ27" s="57"/>
      <c r="CK27" s="55"/>
      <c r="CL27" s="1"/>
      <c r="CM27" s="58"/>
      <c r="CN27" s="59"/>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c r="EB27" s="39"/>
      <c r="EC27" s="39"/>
      <c r="ED27" s="1"/>
      <c r="EE27" s="1"/>
      <c r="EF27" s="1"/>
      <c r="EG27" s="1"/>
      <c r="EH27" s="1"/>
      <c r="EI27" s="1"/>
      <c r="EJ27" s="1"/>
      <c r="EK27" s="55"/>
      <c r="EL27" s="1"/>
      <c r="EM27" s="56"/>
      <c r="EN27" s="1"/>
      <c r="EO27" s="1"/>
      <c r="EP27" s="2"/>
      <c r="EQ27" s="55"/>
      <c r="ER27" s="1"/>
      <c r="ES27" s="1"/>
      <c r="ET27" s="1"/>
      <c r="EU27" s="1"/>
      <c r="EV27" s="1"/>
      <c r="EW27" s="1"/>
      <c r="EX27" s="55"/>
      <c r="EY27" s="1"/>
      <c r="EZ27" s="56"/>
      <c r="FA27" s="1"/>
      <c r="FB27" s="1"/>
      <c r="FC27" s="2"/>
      <c r="FD27" s="55"/>
      <c r="FE27" s="55"/>
      <c r="FF27" s="55"/>
      <c r="FG27" s="56"/>
      <c r="FH27" s="57"/>
      <c r="FI27" s="55"/>
      <c r="FJ27" s="1"/>
      <c r="FK27" s="58"/>
      <c r="FL27" s="59"/>
      <c r="FM27" s="4"/>
      <c r="FN27" s="39"/>
      <c r="FO27" s="39"/>
      <c r="FP27" s="1"/>
      <c r="FQ27" s="1"/>
      <c r="FR27" s="1"/>
      <c r="FS27" s="1"/>
      <c r="FT27" s="1"/>
      <c r="FU27" s="1"/>
      <c r="FV27" s="1"/>
      <c r="FW27" s="55"/>
      <c r="FX27" s="1"/>
      <c r="FY27" s="56"/>
      <c r="FZ27" s="1"/>
      <c r="GA27" s="1"/>
      <c r="GB27" s="2"/>
      <c r="GC27" s="55"/>
      <c r="GD27" s="1"/>
      <c r="GE27" s="1"/>
      <c r="GF27" s="1"/>
      <c r="GG27" s="1"/>
      <c r="GH27" s="1"/>
      <c r="GI27" s="1"/>
      <c r="GJ27" s="55"/>
      <c r="GK27" s="1"/>
      <c r="GL27" s="56"/>
      <c r="GM27" s="1"/>
      <c r="GN27" s="1"/>
      <c r="GO27" s="2"/>
      <c r="GP27" s="55"/>
      <c r="GQ27" s="55"/>
      <c r="GR27" s="55"/>
      <c r="GS27" s="56"/>
      <c r="GT27" s="57"/>
      <c r="GU27" s="55"/>
      <c r="GV27" s="1"/>
      <c r="GW27" s="58"/>
      <c r="GX27" s="59"/>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c r="JX27" s="39"/>
      <c r="JY27" s="39"/>
      <c r="JZ27" s="1"/>
      <c r="KA27" s="1"/>
      <c r="KB27" s="1"/>
      <c r="KC27" s="1"/>
      <c r="KD27" s="1"/>
      <c r="KE27" s="1"/>
      <c r="KF27" s="1"/>
      <c r="KG27" s="55"/>
      <c r="KH27" s="1"/>
      <c r="KI27" s="56"/>
      <c r="KJ27" s="1"/>
      <c r="KK27" s="1"/>
      <c r="KL27" s="2"/>
      <c r="KM27" s="55"/>
      <c r="KN27" s="1"/>
      <c r="KO27" s="1"/>
      <c r="KP27" s="1"/>
      <c r="KQ27" s="1"/>
      <c r="KR27" s="1"/>
      <c r="KS27" s="1"/>
      <c r="KT27" s="55"/>
      <c r="KU27" s="1"/>
      <c r="KV27" s="56"/>
      <c r="KW27" s="1"/>
      <c r="KX27" s="1"/>
      <c r="KY27" s="2"/>
      <c r="KZ27" s="55"/>
      <c r="LA27" s="55"/>
      <c r="LB27" s="55"/>
      <c r="LC27" s="56"/>
      <c r="LD27" s="57"/>
      <c r="LE27" s="55"/>
      <c r="LF27" s="1"/>
      <c r="LG27" s="58"/>
      <c r="LH27" s="59"/>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c r="PT27" s="39"/>
      <c r="PU27" s="39"/>
      <c r="PV27" s="1"/>
      <c r="PW27" s="1"/>
      <c r="PX27" s="1"/>
      <c r="PY27" s="1"/>
      <c r="PZ27" s="1"/>
      <c r="QA27" s="1"/>
      <c r="QB27" s="1"/>
      <c r="QC27" s="55"/>
      <c r="QD27" s="1"/>
      <c r="QE27" s="56"/>
      <c r="QF27" s="1"/>
      <c r="QG27" s="1"/>
      <c r="QH27" s="2"/>
      <c r="QI27" s="55"/>
      <c r="QJ27" s="1"/>
      <c r="QK27" s="1"/>
      <c r="QL27" s="1"/>
      <c r="QM27" s="1"/>
      <c r="QN27" s="1"/>
      <c r="QO27" s="1"/>
      <c r="QP27" s="55"/>
      <c r="QQ27" s="1"/>
      <c r="QR27" s="56"/>
      <c r="QS27" s="1"/>
      <c r="QT27" s="1"/>
      <c r="QU27" s="2"/>
      <c r="QV27" s="55"/>
      <c r="QW27" s="55"/>
      <c r="QX27" s="55"/>
      <c r="QY27" s="56"/>
      <c r="QZ27" s="57"/>
      <c r="RA27" s="55"/>
      <c r="RB27" s="1"/>
      <c r="RC27" s="58"/>
      <c r="RD27" s="59"/>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c r="UD27" s="39"/>
      <c r="UE27" s="39"/>
      <c r="UF27" s="1"/>
      <c r="UG27" s="1"/>
      <c r="UH27" s="1"/>
      <c r="UI27" s="1"/>
      <c r="UJ27" s="1"/>
      <c r="UK27" s="1"/>
      <c r="UL27" s="1"/>
      <c r="UM27" s="55"/>
      <c r="UN27" s="1"/>
      <c r="UO27" s="56"/>
      <c r="UP27" s="1"/>
      <c r="UQ27" s="1"/>
      <c r="UR27" s="2"/>
      <c r="US27" s="55"/>
      <c r="UT27" s="1"/>
      <c r="UU27" s="1"/>
      <c r="UV27" s="1"/>
      <c r="UW27" s="1"/>
      <c r="UX27" s="1"/>
      <c r="UY27" s="1"/>
      <c r="UZ27" s="55"/>
      <c r="VA27" s="1"/>
      <c r="VB27" s="56"/>
      <c r="VC27" s="1"/>
      <c r="VD27" s="1"/>
      <c r="VE27" s="2"/>
      <c r="VF27" s="55"/>
      <c r="VG27" s="55"/>
      <c r="VH27" s="55"/>
      <c r="VI27" s="56"/>
      <c r="VJ27" s="57"/>
      <c r="VK27" s="55"/>
      <c r="VL27" s="1"/>
      <c r="VM27" s="58"/>
      <c r="VN27" s="59"/>
      <c r="VO27" s="4"/>
      <c r="VP27" s="39"/>
      <c r="VQ27" s="39"/>
      <c r="VR27" s="1"/>
      <c r="VS27" s="1"/>
      <c r="VT27" s="1"/>
      <c r="VU27" s="1"/>
      <c r="VV27" s="1"/>
      <c r="VW27" s="1"/>
      <c r="VX27" s="1"/>
      <c r="VY27" s="55"/>
      <c r="VZ27" s="1"/>
      <c r="WA27" s="56"/>
      <c r="WB27" s="1"/>
      <c r="WC27" s="1"/>
      <c r="WD27" s="2"/>
      <c r="WE27" s="55"/>
      <c r="WF27" s="1"/>
      <c r="WG27" s="1"/>
      <c r="WH27" s="1"/>
      <c r="WI27" s="1"/>
      <c r="WJ27" s="1"/>
      <c r="WK27" s="1"/>
      <c r="WL27" s="55"/>
      <c r="WM27" s="1"/>
      <c r="WN27" s="56"/>
      <c r="WO27" s="1"/>
      <c r="WP27" s="1"/>
      <c r="WQ27" s="2"/>
      <c r="WR27" s="55"/>
      <c r="WS27" s="55"/>
      <c r="WT27" s="55"/>
      <c r="WU27" s="56"/>
      <c r="WV27" s="57"/>
      <c r="WW27" s="55"/>
      <c r="WX27" s="1"/>
      <c r="WY27" s="58"/>
      <c r="WZ27" s="59"/>
      <c r="XA27" s="4"/>
      <c r="XB27" s="39"/>
      <c r="XC27" s="39"/>
      <c r="XD27" s="1"/>
      <c r="XE27" s="1"/>
      <c r="XF27" s="1"/>
      <c r="XG27" s="1"/>
      <c r="XH27" s="1"/>
      <c r="XI27" s="1"/>
      <c r="XJ27" s="1"/>
      <c r="XK27" s="55"/>
      <c r="XL27" s="1"/>
      <c r="XM27" s="56"/>
      <c r="XN27" s="1"/>
      <c r="XO27" s="1"/>
      <c r="XP27" s="2"/>
      <c r="XQ27" s="55"/>
      <c r="XR27" s="1"/>
      <c r="XS27" s="1"/>
      <c r="XT27" s="1"/>
      <c r="XU27" s="1"/>
      <c r="XV27" s="1"/>
      <c r="XW27" s="1"/>
      <c r="XX27" s="55"/>
      <c r="XY27" s="1"/>
      <c r="XZ27" s="56"/>
      <c r="YA27" s="1"/>
      <c r="YB27" s="1"/>
      <c r="YC27" s="2"/>
      <c r="YD27" s="55"/>
      <c r="YE27" s="55"/>
      <c r="YF27" s="55"/>
      <c r="YG27" s="56"/>
      <c r="YH27" s="57"/>
      <c r="YI27" s="55"/>
      <c r="YJ27" s="1"/>
      <c r="YK27" s="58"/>
      <c r="YL27" s="59"/>
      <c r="YM27" s="4"/>
      <c r="YN27" s="39"/>
      <c r="YO27" s="39"/>
      <c r="YP27" s="1"/>
      <c r="YQ27" s="1"/>
      <c r="YR27" s="1"/>
      <c r="YS27" s="1"/>
      <c r="YT27" s="1"/>
      <c r="YU27" s="1"/>
      <c r="YV27" s="1"/>
      <c r="YW27" s="55"/>
      <c r="YX27" s="1"/>
      <c r="YY27" s="56"/>
      <c r="YZ27" s="1"/>
      <c r="ZA27" s="1"/>
      <c r="ZB27" s="2"/>
      <c r="ZC27" s="55"/>
      <c r="ZD27" s="1"/>
      <c r="ZE27" s="1"/>
      <c r="ZF27" s="1"/>
      <c r="ZG27" s="1"/>
      <c r="ZH27" s="1"/>
      <c r="ZI27" s="1"/>
      <c r="ZJ27" s="55"/>
      <c r="ZK27" s="1"/>
      <c r="ZL27" s="56"/>
      <c r="ZM27" s="1"/>
      <c r="ZN27" s="1"/>
      <c r="ZO27" s="2"/>
      <c r="ZP27" s="55"/>
      <c r="ZQ27" s="55"/>
      <c r="ZR27" s="55"/>
      <c r="ZS27" s="56"/>
      <c r="ZT27" s="57"/>
      <c r="ZU27" s="55"/>
      <c r="ZV27" s="1"/>
      <c r="ZW27" s="58"/>
      <c r="ZX27" s="59"/>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
      </c>
      <c r="B28" s="89" t="str">
        <f t="shared" si="398"/>
        <v/>
      </c>
      <c r="C28" s="89" t="str">
        <f t="shared" si="399"/>
        <v/>
      </c>
      <c r="D28" s="89" t="str">
        <f t="shared" si="400"/>
        <v/>
      </c>
      <c r="E28" s="40"/>
      <c r="F28" s="89" t="str">
        <f t="shared" si="401"/>
        <v/>
      </c>
      <c r="G28" s="89" t="str">
        <f t="shared" si="402"/>
        <v/>
      </c>
      <c r="H28" s="37"/>
      <c r="I28" s="37"/>
      <c r="J28" s="41"/>
      <c r="K28" s="90" t="str">
        <f t="shared" si="403"/>
        <v/>
      </c>
      <c r="L28" s="41"/>
      <c r="M28" s="41"/>
      <c r="N28" s="41"/>
      <c r="O28" s="43"/>
      <c r="P28" s="91" t="str">
        <f t="shared" si="404"/>
        <v/>
      </c>
      <c r="Q28" s="4"/>
      <c r="R28" s="39"/>
      <c r="S28" s="39"/>
      <c r="T28" s="1"/>
      <c r="U28" s="1"/>
      <c r="V28" s="1"/>
      <c r="W28" s="1"/>
      <c r="X28" s="1"/>
      <c r="Y28" s="1"/>
      <c r="Z28" s="1"/>
      <c r="AA28" s="55"/>
      <c r="AB28" s="1"/>
      <c r="AC28" s="56"/>
      <c r="AD28" s="1"/>
      <c r="AE28" s="1"/>
      <c r="AF28" s="2"/>
      <c r="AG28" s="55"/>
      <c r="AH28" s="1"/>
      <c r="AI28" s="1"/>
      <c r="AJ28" s="1"/>
      <c r="AK28" s="1"/>
      <c r="AL28" s="1"/>
      <c r="AM28" s="1"/>
      <c r="AN28" s="55"/>
      <c r="AO28" s="1"/>
      <c r="AP28" s="56"/>
      <c r="AQ28" s="1"/>
      <c r="AR28" s="1"/>
      <c r="AS28" s="2"/>
      <c r="AT28" s="55"/>
      <c r="AU28" s="55"/>
      <c r="AV28" s="55"/>
      <c r="AW28" s="56"/>
      <c r="AX28" s="57"/>
      <c r="AY28" s="55"/>
      <c r="AZ28" s="1"/>
      <c r="BA28" s="58"/>
      <c r="BB28" s="59"/>
      <c r="BC28" s="4"/>
      <c r="BD28" s="39"/>
      <c r="BE28" s="39"/>
      <c r="BF28" s="1"/>
      <c r="BG28" s="1"/>
      <c r="BH28" s="1"/>
      <c r="BI28" s="1"/>
      <c r="BJ28" s="1"/>
      <c r="BK28" s="1"/>
      <c r="BL28" s="1"/>
      <c r="BM28" s="55"/>
      <c r="BN28" s="1"/>
      <c r="BO28" s="56"/>
      <c r="BP28" s="1"/>
      <c r="BQ28" s="1"/>
      <c r="BR28" s="2"/>
      <c r="BS28" s="55"/>
      <c r="BT28" s="1"/>
      <c r="BU28" s="1"/>
      <c r="BV28" s="1"/>
      <c r="BW28" s="1"/>
      <c r="BX28" s="1"/>
      <c r="BY28" s="1"/>
      <c r="BZ28" s="55"/>
      <c r="CA28" s="1"/>
      <c r="CB28" s="56"/>
      <c r="CC28" s="1"/>
      <c r="CD28" s="1"/>
      <c r="CE28" s="2"/>
      <c r="CF28" s="55"/>
      <c r="CG28" s="55"/>
      <c r="CH28" s="55"/>
      <c r="CI28" s="56"/>
      <c r="CJ28" s="57"/>
      <c r="CK28" s="55"/>
      <c r="CL28" s="1"/>
      <c r="CM28" s="58"/>
      <c r="CN28" s="59"/>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c r="EB28" s="39"/>
      <c r="EC28" s="39"/>
      <c r="ED28" s="1"/>
      <c r="EE28" s="1"/>
      <c r="EF28" s="1"/>
      <c r="EG28" s="1"/>
      <c r="EH28" s="1"/>
      <c r="EI28" s="1"/>
      <c r="EJ28" s="1"/>
      <c r="EK28" s="55"/>
      <c r="EL28" s="1"/>
      <c r="EM28" s="56"/>
      <c r="EN28" s="1"/>
      <c r="EO28" s="1"/>
      <c r="EP28" s="2"/>
      <c r="EQ28" s="55"/>
      <c r="ER28" s="1"/>
      <c r="ES28" s="1"/>
      <c r="ET28" s="1"/>
      <c r="EU28" s="1"/>
      <c r="EV28" s="1"/>
      <c r="EW28" s="1"/>
      <c r="EX28" s="55"/>
      <c r="EY28" s="1"/>
      <c r="EZ28" s="56"/>
      <c r="FA28" s="1"/>
      <c r="FB28" s="1"/>
      <c r="FC28" s="2"/>
      <c r="FD28" s="55"/>
      <c r="FE28" s="55"/>
      <c r="FF28" s="55"/>
      <c r="FG28" s="56"/>
      <c r="FH28" s="57"/>
      <c r="FI28" s="55"/>
      <c r="FJ28" s="1"/>
      <c r="FK28" s="58"/>
      <c r="FL28" s="59"/>
      <c r="FM28" s="4"/>
      <c r="FN28" s="39"/>
      <c r="FO28" s="39"/>
      <c r="FP28" s="1"/>
      <c r="FQ28" s="1"/>
      <c r="FR28" s="1"/>
      <c r="FS28" s="1"/>
      <c r="FT28" s="1"/>
      <c r="FU28" s="1"/>
      <c r="FV28" s="1"/>
      <c r="FW28" s="55"/>
      <c r="FX28" s="1"/>
      <c r="FY28" s="56"/>
      <c r="FZ28" s="1"/>
      <c r="GA28" s="1"/>
      <c r="GB28" s="2"/>
      <c r="GC28" s="55"/>
      <c r="GD28" s="1"/>
      <c r="GE28" s="1"/>
      <c r="GF28" s="1"/>
      <c r="GG28" s="1"/>
      <c r="GH28" s="1"/>
      <c r="GI28" s="1"/>
      <c r="GJ28" s="55"/>
      <c r="GK28" s="1"/>
      <c r="GL28" s="56"/>
      <c r="GM28" s="1"/>
      <c r="GN28" s="1"/>
      <c r="GO28" s="2"/>
      <c r="GP28" s="55"/>
      <c r="GQ28" s="55"/>
      <c r="GR28" s="55"/>
      <c r="GS28" s="56"/>
      <c r="GT28" s="57"/>
      <c r="GU28" s="55"/>
      <c r="GV28" s="1"/>
      <c r="GW28" s="58"/>
      <c r="GX28" s="59"/>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c r="JX28" s="39"/>
      <c r="JY28" s="39"/>
      <c r="JZ28" s="1"/>
      <c r="KA28" s="1"/>
      <c r="KB28" s="1"/>
      <c r="KC28" s="1"/>
      <c r="KD28" s="1"/>
      <c r="KE28" s="1"/>
      <c r="KF28" s="1"/>
      <c r="KG28" s="55"/>
      <c r="KH28" s="1"/>
      <c r="KI28" s="56"/>
      <c r="KJ28" s="1"/>
      <c r="KK28" s="1"/>
      <c r="KL28" s="2"/>
      <c r="KM28" s="55"/>
      <c r="KN28" s="1"/>
      <c r="KO28" s="1"/>
      <c r="KP28" s="1"/>
      <c r="KQ28" s="1"/>
      <c r="KR28" s="1"/>
      <c r="KS28" s="1"/>
      <c r="KT28" s="55"/>
      <c r="KU28" s="1"/>
      <c r="KV28" s="56"/>
      <c r="KW28" s="1"/>
      <c r="KX28" s="1"/>
      <c r="KY28" s="2"/>
      <c r="KZ28" s="55"/>
      <c r="LA28" s="55"/>
      <c r="LB28" s="55"/>
      <c r="LC28" s="56"/>
      <c r="LD28" s="57"/>
      <c r="LE28" s="55"/>
      <c r="LF28" s="1"/>
      <c r="LG28" s="58"/>
      <c r="LH28" s="59"/>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c r="PT28" s="39"/>
      <c r="PU28" s="39"/>
      <c r="PV28" s="1"/>
      <c r="PW28" s="1"/>
      <c r="PX28" s="1"/>
      <c r="PY28" s="1"/>
      <c r="PZ28" s="1"/>
      <c r="QA28" s="1"/>
      <c r="QB28" s="1"/>
      <c r="QC28" s="55"/>
      <c r="QD28" s="1"/>
      <c r="QE28" s="56"/>
      <c r="QF28" s="1"/>
      <c r="QG28" s="1"/>
      <c r="QH28" s="2"/>
      <c r="QI28" s="55"/>
      <c r="QJ28" s="1"/>
      <c r="QK28" s="1"/>
      <c r="QL28" s="1"/>
      <c r="QM28" s="1"/>
      <c r="QN28" s="1"/>
      <c r="QO28" s="1"/>
      <c r="QP28" s="55"/>
      <c r="QQ28" s="1"/>
      <c r="QR28" s="56"/>
      <c r="QS28" s="1"/>
      <c r="QT28" s="1"/>
      <c r="QU28" s="2"/>
      <c r="QV28" s="55"/>
      <c r="QW28" s="55"/>
      <c r="QX28" s="55"/>
      <c r="QY28" s="56"/>
      <c r="QZ28" s="57"/>
      <c r="RA28" s="55"/>
      <c r="RB28" s="1"/>
      <c r="RC28" s="58"/>
      <c r="RD28" s="59"/>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c r="UD28" s="39"/>
      <c r="UE28" s="39"/>
      <c r="UF28" s="1"/>
      <c r="UG28" s="1"/>
      <c r="UH28" s="1"/>
      <c r="UI28" s="1"/>
      <c r="UJ28" s="1"/>
      <c r="UK28" s="1"/>
      <c r="UL28" s="1"/>
      <c r="UM28" s="55"/>
      <c r="UN28" s="1"/>
      <c r="UO28" s="56"/>
      <c r="UP28" s="1"/>
      <c r="UQ28" s="1"/>
      <c r="UR28" s="2"/>
      <c r="US28" s="55"/>
      <c r="UT28" s="1"/>
      <c r="UU28" s="1"/>
      <c r="UV28" s="1"/>
      <c r="UW28" s="1"/>
      <c r="UX28" s="1"/>
      <c r="UY28" s="1"/>
      <c r="UZ28" s="55"/>
      <c r="VA28" s="1"/>
      <c r="VB28" s="56"/>
      <c r="VC28" s="1"/>
      <c r="VD28" s="1"/>
      <c r="VE28" s="2"/>
      <c r="VF28" s="55"/>
      <c r="VG28" s="55"/>
      <c r="VH28" s="55"/>
      <c r="VI28" s="56"/>
      <c r="VJ28" s="57"/>
      <c r="VK28" s="55"/>
      <c r="VL28" s="1"/>
      <c r="VM28" s="58"/>
      <c r="VN28" s="59"/>
      <c r="VO28" s="4"/>
      <c r="VP28" s="39"/>
      <c r="VQ28" s="39"/>
      <c r="VR28" s="1"/>
      <c r="VS28" s="1"/>
      <c r="VT28" s="1"/>
      <c r="VU28" s="1"/>
      <c r="VV28" s="1"/>
      <c r="VW28" s="1"/>
      <c r="VX28" s="1"/>
      <c r="VY28" s="55"/>
      <c r="VZ28" s="1"/>
      <c r="WA28" s="56"/>
      <c r="WB28" s="1"/>
      <c r="WC28" s="1"/>
      <c r="WD28" s="2"/>
      <c r="WE28" s="55"/>
      <c r="WF28" s="1"/>
      <c r="WG28" s="1"/>
      <c r="WH28" s="1"/>
      <c r="WI28" s="1"/>
      <c r="WJ28" s="1"/>
      <c r="WK28" s="1"/>
      <c r="WL28" s="55"/>
      <c r="WM28" s="1"/>
      <c r="WN28" s="56"/>
      <c r="WO28" s="1"/>
      <c r="WP28" s="1"/>
      <c r="WQ28" s="2"/>
      <c r="WR28" s="55"/>
      <c r="WS28" s="55"/>
      <c r="WT28" s="55"/>
      <c r="WU28" s="56"/>
      <c r="WV28" s="57"/>
      <c r="WW28" s="55"/>
      <c r="WX28" s="1"/>
      <c r="WY28" s="58"/>
      <c r="WZ28" s="59"/>
      <c r="XA28" s="4"/>
      <c r="XB28" s="39"/>
      <c r="XC28" s="39"/>
      <c r="XD28" s="1"/>
      <c r="XE28" s="1"/>
      <c r="XF28" s="1"/>
      <c r="XG28" s="1"/>
      <c r="XH28" s="1"/>
      <c r="XI28" s="1"/>
      <c r="XJ28" s="1"/>
      <c r="XK28" s="55"/>
      <c r="XL28" s="1"/>
      <c r="XM28" s="56"/>
      <c r="XN28" s="1"/>
      <c r="XO28" s="1"/>
      <c r="XP28" s="2"/>
      <c r="XQ28" s="55"/>
      <c r="XR28" s="1"/>
      <c r="XS28" s="1"/>
      <c r="XT28" s="1"/>
      <c r="XU28" s="1"/>
      <c r="XV28" s="1"/>
      <c r="XW28" s="1"/>
      <c r="XX28" s="55"/>
      <c r="XY28" s="1"/>
      <c r="XZ28" s="56"/>
      <c r="YA28" s="1"/>
      <c r="YB28" s="1"/>
      <c r="YC28" s="2"/>
      <c r="YD28" s="55"/>
      <c r="YE28" s="55"/>
      <c r="YF28" s="55"/>
      <c r="YG28" s="56"/>
      <c r="YH28" s="57"/>
      <c r="YI28" s="55"/>
      <c r="YJ28" s="1"/>
      <c r="YK28" s="58"/>
      <c r="YL28" s="59"/>
      <c r="YM28" s="4"/>
      <c r="YN28" s="39"/>
      <c r="YO28" s="39"/>
      <c r="YP28" s="1"/>
      <c r="YQ28" s="1"/>
      <c r="YR28" s="1"/>
      <c r="YS28" s="1"/>
      <c r="YT28" s="1"/>
      <c r="YU28" s="1"/>
      <c r="YV28" s="1"/>
      <c r="YW28" s="55"/>
      <c r="YX28" s="1"/>
      <c r="YY28" s="56"/>
      <c r="YZ28" s="1"/>
      <c r="ZA28" s="1"/>
      <c r="ZB28" s="2"/>
      <c r="ZC28" s="55"/>
      <c r="ZD28" s="1"/>
      <c r="ZE28" s="1"/>
      <c r="ZF28" s="1"/>
      <c r="ZG28" s="1"/>
      <c r="ZH28" s="1"/>
      <c r="ZI28" s="1"/>
      <c r="ZJ28" s="55"/>
      <c r="ZK28" s="1"/>
      <c r="ZL28" s="56"/>
      <c r="ZM28" s="1"/>
      <c r="ZN28" s="1"/>
      <c r="ZO28" s="2"/>
      <c r="ZP28" s="55"/>
      <c r="ZQ28" s="55"/>
      <c r="ZR28" s="55"/>
      <c r="ZS28" s="56"/>
      <c r="ZT28" s="57"/>
      <c r="ZU28" s="55"/>
      <c r="ZV28" s="1"/>
      <c r="ZW28" s="58"/>
      <c r="ZX28" s="59"/>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
      </c>
      <c r="B29" s="89" t="str">
        <f t="shared" si="398"/>
        <v/>
      </c>
      <c r="C29" s="89" t="str">
        <f t="shared" si="399"/>
        <v/>
      </c>
      <c r="D29" s="89" t="str">
        <f t="shared" si="400"/>
        <v/>
      </c>
      <c r="E29" s="40"/>
      <c r="F29" s="89" t="str">
        <f t="shared" si="401"/>
        <v/>
      </c>
      <c r="G29" s="89" t="str">
        <f t="shared" si="402"/>
        <v/>
      </c>
      <c r="H29" s="37"/>
      <c r="I29" s="37"/>
      <c r="J29" s="41"/>
      <c r="K29" s="90" t="str">
        <f t="shared" si="403"/>
        <v/>
      </c>
      <c r="L29" s="41"/>
      <c r="M29" s="41"/>
      <c r="N29" s="41"/>
      <c r="O29" s="43"/>
      <c r="P29" s="91" t="str">
        <f t="shared" si="404"/>
        <v/>
      </c>
      <c r="Q29" s="4"/>
      <c r="R29" s="39"/>
      <c r="S29" s="39"/>
      <c r="T29" s="1"/>
      <c r="U29" s="1"/>
      <c r="V29" s="1"/>
      <c r="W29" s="1"/>
      <c r="X29" s="1"/>
      <c r="Y29" s="1"/>
      <c r="Z29" s="1"/>
      <c r="AA29" s="55"/>
      <c r="AB29" s="1"/>
      <c r="AC29" s="56"/>
      <c r="AD29" s="1"/>
      <c r="AE29" s="1"/>
      <c r="AF29" s="2"/>
      <c r="AG29" s="55"/>
      <c r="AH29" s="1"/>
      <c r="AI29" s="1"/>
      <c r="AJ29" s="1"/>
      <c r="AK29" s="1"/>
      <c r="AL29" s="1"/>
      <c r="AM29" s="1"/>
      <c r="AN29" s="55"/>
      <c r="AO29" s="1"/>
      <c r="AP29" s="56"/>
      <c r="AQ29" s="1"/>
      <c r="AR29" s="1"/>
      <c r="AS29" s="2"/>
      <c r="AT29" s="55"/>
      <c r="AU29" s="55"/>
      <c r="AV29" s="55"/>
      <c r="AW29" s="56"/>
      <c r="AX29" s="57"/>
      <c r="AY29" s="55"/>
      <c r="AZ29" s="1"/>
      <c r="BA29" s="58"/>
      <c r="BB29" s="59"/>
      <c r="BC29" s="4"/>
      <c r="BD29" s="39"/>
      <c r="BE29" s="39"/>
      <c r="BF29" s="1"/>
      <c r="BG29" s="1"/>
      <c r="BH29" s="1"/>
      <c r="BI29" s="1"/>
      <c r="BJ29" s="1"/>
      <c r="BK29" s="1"/>
      <c r="BL29" s="1"/>
      <c r="BM29" s="55"/>
      <c r="BN29" s="1"/>
      <c r="BO29" s="56"/>
      <c r="BP29" s="1"/>
      <c r="BQ29" s="1"/>
      <c r="BR29" s="2"/>
      <c r="BS29" s="55"/>
      <c r="BT29" s="1"/>
      <c r="BU29" s="1"/>
      <c r="BV29" s="1"/>
      <c r="BW29" s="1"/>
      <c r="BX29" s="1"/>
      <c r="BY29" s="1"/>
      <c r="BZ29" s="55"/>
      <c r="CA29" s="1"/>
      <c r="CB29" s="56"/>
      <c r="CC29" s="1"/>
      <c r="CD29" s="1"/>
      <c r="CE29" s="2"/>
      <c r="CF29" s="55"/>
      <c r="CG29" s="55"/>
      <c r="CH29" s="55"/>
      <c r="CI29" s="56"/>
      <c r="CJ29" s="57"/>
      <c r="CK29" s="55"/>
      <c r="CL29" s="1"/>
      <c r="CM29" s="58"/>
      <c r="CN29" s="59"/>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c r="EB29" s="39"/>
      <c r="EC29" s="39"/>
      <c r="ED29" s="1"/>
      <c r="EE29" s="1"/>
      <c r="EF29" s="1"/>
      <c r="EG29" s="1"/>
      <c r="EH29" s="1"/>
      <c r="EI29" s="1"/>
      <c r="EJ29" s="1"/>
      <c r="EK29" s="55"/>
      <c r="EL29" s="1"/>
      <c r="EM29" s="56"/>
      <c r="EN29" s="1"/>
      <c r="EO29" s="1"/>
      <c r="EP29" s="2"/>
      <c r="EQ29" s="55"/>
      <c r="ER29" s="1"/>
      <c r="ES29" s="1"/>
      <c r="ET29" s="1"/>
      <c r="EU29" s="1"/>
      <c r="EV29" s="1"/>
      <c r="EW29" s="1"/>
      <c r="EX29" s="55"/>
      <c r="EY29" s="1"/>
      <c r="EZ29" s="56"/>
      <c r="FA29" s="1"/>
      <c r="FB29" s="1"/>
      <c r="FC29" s="2"/>
      <c r="FD29" s="55"/>
      <c r="FE29" s="55"/>
      <c r="FF29" s="55"/>
      <c r="FG29" s="56"/>
      <c r="FH29" s="57"/>
      <c r="FI29" s="55"/>
      <c r="FJ29" s="1"/>
      <c r="FK29" s="58"/>
      <c r="FL29" s="59"/>
      <c r="FM29" s="4"/>
      <c r="FN29" s="39"/>
      <c r="FO29" s="39"/>
      <c r="FP29" s="1"/>
      <c r="FQ29" s="1"/>
      <c r="FR29" s="1"/>
      <c r="FS29" s="1"/>
      <c r="FT29" s="1"/>
      <c r="FU29" s="1"/>
      <c r="FV29" s="1"/>
      <c r="FW29" s="55"/>
      <c r="FX29" s="1"/>
      <c r="FY29" s="56"/>
      <c r="FZ29" s="1"/>
      <c r="GA29" s="1"/>
      <c r="GB29" s="2"/>
      <c r="GC29" s="55"/>
      <c r="GD29" s="1"/>
      <c r="GE29" s="1"/>
      <c r="GF29" s="1"/>
      <c r="GG29" s="1"/>
      <c r="GH29" s="1"/>
      <c r="GI29" s="1"/>
      <c r="GJ29" s="55"/>
      <c r="GK29" s="1"/>
      <c r="GL29" s="56"/>
      <c r="GM29" s="1"/>
      <c r="GN29" s="1"/>
      <c r="GO29" s="2"/>
      <c r="GP29" s="55"/>
      <c r="GQ29" s="55"/>
      <c r="GR29" s="55"/>
      <c r="GS29" s="56"/>
      <c r="GT29" s="57"/>
      <c r="GU29" s="55"/>
      <c r="GV29" s="1"/>
      <c r="GW29" s="58"/>
      <c r="GX29" s="59"/>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c r="JX29" s="39"/>
      <c r="JY29" s="39"/>
      <c r="JZ29" s="1"/>
      <c r="KA29" s="1"/>
      <c r="KB29" s="1"/>
      <c r="KC29" s="1"/>
      <c r="KD29" s="1"/>
      <c r="KE29" s="1"/>
      <c r="KF29" s="1"/>
      <c r="KG29" s="55"/>
      <c r="KH29" s="1"/>
      <c r="KI29" s="56"/>
      <c r="KJ29" s="1"/>
      <c r="KK29" s="1"/>
      <c r="KL29" s="2"/>
      <c r="KM29" s="55"/>
      <c r="KN29" s="1"/>
      <c r="KO29" s="1"/>
      <c r="KP29" s="1"/>
      <c r="KQ29" s="1"/>
      <c r="KR29" s="1"/>
      <c r="KS29" s="1"/>
      <c r="KT29" s="55"/>
      <c r="KU29" s="1"/>
      <c r="KV29" s="56"/>
      <c r="KW29" s="1"/>
      <c r="KX29" s="1"/>
      <c r="KY29" s="2"/>
      <c r="KZ29" s="55"/>
      <c r="LA29" s="55"/>
      <c r="LB29" s="55"/>
      <c r="LC29" s="56"/>
      <c r="LD29" s="57"/>
      <c r="LE29" s="55"/>
      <c r="LF29" s="1"/>
      <c r="LG29" s="58"/>
      <c r="LH29" s="59"/>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c r="PT29" s="39"/>
      <c r="PU29" s="39"/>
      <c r="PV29" s="1"/>
      <c r="PW29" s="1"/>
      <c r="PX29" s="1"/>
      <c r="PY29" s="1"/>
      <c r="PZ29" s="1"/>
      <c r="QA29" s="1"/>
      <c r="QB29" s="1"/>
      <c r="QC29" s="55"/>
      <c r="QD29" s="1"/>
      <c r="QE29" s="56"/>
      <c r="QF29" s="1"/>
      <c r="QG29" s="1"/>
      <c r="QH29" s="2"/>
      <c r="QI29" s="55"/>
      <c r="QJ29" s="1"/>
      <c r="QK29" s="1"/>
      <c r="QL29" s="1"/>
      <c r="QM29" s="1"/>
      <c r="QN29" s="1"/>
      <c r="QO29" s="1"/>
      <c r="QP29" s="55"/>
      <c r="QQ29" s="1"/>
      <c r="QR29" s="56"/>
      <c r="QS29" s="1"/>
      <c r="QT29" s="1"/>
      <c r="QU29" s="2"/>
      <c r="QV29" s="55"/>
      <c r="QW29" s="55"/>
      <c r="QX29" s="55"/>
      <c r="QY29" s="56"/>
      <c r="QZ29" s="57"/>
      <c r="RA29" s="55"/>
      <c r="RB29" s="1"/>
      <c r="RC29" s="58"/>
      <c r="RD29" s="59"/>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c r="UD29" s="39"/>
      <c r="UE29" s="39"/>
      <c r="UF29" s="1"/>
      <c r="UG29" s="1"/>
      <c r="UH29" s="1"/>
      <c r="UI29" s="1"/>
      <c r="UJ29" s="1"/>
      <c r="UK29" s="1"/>
      <c r="UL29" s="1"/>
      <c r="UM29" s="55"/>
      <c r="UN29" s="1"/>
      <c r="UO29" s="56"/>
      <c r="UP29" s="1"/>
      <c r="UQ29" s="1"/>
      <c r="UR29" s="2"/>
      <c r="US29" s="55"/>
      <c r="UT29" s="1"/>
      <c r="UU29" s="1"/>
      <c r="UV29" s="1"/>
      <c r="UW29" s="1"/>
      <c r="UX29" s="1"/>
      <c r="UY29" s="1"/>
      <c r="UZ29" s="55"/>
      <c r="VA29" s="1"/>
      <c r="VB29" s="56"/>
      <c r="VC29" s="1"/>
      <c r="VD29" s="1"/>
      <c r="VE29" s="2"/>
      <c r="VF29" s="55"/>
      <c r="VG29" s="55"/>
      <c r="VH29" s="55"/>
      <c r="VI29" s="56"/>
      <c r="VJ29" s="57"/>
      <c r="VK29" s="55"/>
      <c r="VL29" s="1"/>
      <c r="VM29" s="58"/>
      <c r="VN29" s="59"/>
      <c r="VO29" s="4"/>
      <c r="VP29" s="39"/>
      <c r="VQ29" s="39"/>
      <c r="VR29" s="1"/>
      <c r="VS29" s="1"/>
      <c r="VT29" s="1"/>
      <c r="VU29" s="1"/>
      <c r="VV29" s="1"/>
      <c r="VW29" s="1"/>
      <c r="VX29" s="1"/>
      <c r="VY29" s="55"/>
      <c r="VZ29" s="1"/>
      <c r="WA29" s="56"/>
      <c r="WB29" s="1"/>
      <c r="WC29" s="1"/>
      <c r="WD29" s="2"/>
      <c r="WE29" s="55"/>
      <c r="WF29" s="1"/>
      <c r="WG29" s="1"/>
      <c r="WH29" s="1"/>
      <c r="WI29" s="1"/>
      <c r="WJ29" s="1"/>
      <c r="WK29" s="1"/>
      <c r="WL29" s="55"/>
      <c r="WM29" s="1"/>
      <c r="WN29" s="56"/>
      <c r="WO29" s="1"/>
      <c r="WP29" s="1"/>
      <c r="WQ29" s="2"/>
      <c r="WR29" s="55"/>
      <c r="WS29" s="55"/>
      <c r="WT29" s="55"/>
      <c r="WU29" s="56"/>
      <c r="WV29" s="57"/>
      <c r="WW29" s="55"/>
      <c r="WX29" s="1"/>
      <c r="WY29" s="58"/>
      <c r="WZ29" s="59"/>
      <c r="XA29" s="4"/>
      <c r="XB29" s="39"/>
      <c r="XC29" s="39"/>
      <c r="XD29" s="1"/>
      <c r="XE29" s="1"/>
      <c r="XF29" s="1"/>
      <c r="XG29" s="1"/>
      <c r="XH29" s="1"/>
      <c r="XI29" s="1"/>
      <c r="XJ29" s="1"/>
      <c r="XK29" s="55"/>
      <c r="XL29" s="1"/>
      <c r="XM29" s="56"/>
      <c r="XN29" s="1"/>
      <c r="XO29" s="1"/>
      <c r="XP29" s="2"/>
      <c r="XQ29" s="55"/>
      <c r="XR29" s="1"/>
      <c r="XS29" s="1"/>
      <c r="XT29" s="1"/>
      <c r="XU29" s="1"/>
      <c r="XV29" s="1"/>
      <c r="XW29" s="1"/>
      <c r="XX29" s="55"/>
      <c r="XY29" s="1"/>
      <c r="XZ29" s="56"/>
      <c r="YA29" s="1"/>
      <c r="YB29" s="1"/>
      <c r="YC29" s="2"/>
      <c r="YD29" s="55"/>
      <c r="YE29" s="55"/>
      <c r="YF29" s="55"/>
      <c r="YG29" s="56"/>
      <c r="YH29" s="57"/>
      <c r="YI29" s="55"/>
      <c r="YJ29" s="1"/>
      <c r="YK29" s="58"/>
      <c r="YL29" s="59"/>
      <c r="YM29" s="4"/>
      <c r="YN29" s="39"/>
      <c r="YO29" s="39"/>
      <c r="YP29" s="1"/>
      <c r="YQ29" s="1"/>
      <c r="YR29" s="1"/>
      <c r="YS29" s="1"/>
      <c r="YT29" s="1"/>
      <c r="YU29" s="1"/>
      <c r="YV29" s="1"/>
      <c r="YW29" s="55"/>
      <c r="YX29" s="1"/>
      <c r="YY29" s="56"/>
      <c r="YZ29" s="1"/>
      <c r="ZA29" s="1"/>
      <c r="ZB29" s="2"/>
      <c r="ZC29" s="55"/>
      <c r="ZD29" s="1"/>
      <c r="ZE29" s="1"/>
      <c r="ZF29" s="1"/>
      <c r="ZG29" s="1"/>
      <c r="ZH29" s="1"/>
      <c r="ZI29" s="1"/>
      <c r="ZJ29" s="55"/>
      <c r="ZK29" s="1"/>
      <c r="ZL29" s="56"/>
      <c r="ZM29" s="1"/>
      <c r="ZN29" s="1"/>
      <c r="ZO29" s="2"/>
      <c r="ZP29" s="55"/>
      <c r="ZQ29" s="55"/>
      <c r="ZR29" s="55"/>
      <c r="ZS29" s="56"/>
      <c r="ZT29" s="57"/>
      <c r="ZU29" s="55"/>
      <c r="ZV29" s="1"/>
      <c r="ZW29" s="58"/>
      <c r="ZX29" s="59"/>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
      </c>
      <c r="B30" s="89" t="str">
        <f t="shared" si="398"/>
        <v/>
      </c>
      <c r="C30" s="89" t="str">
        <f t="shared" si="399"/>
        <v/>
      </c>
      <c r="D30" s="89" t="str">
        <f t="shared" si="400"/>
        <v/>
      </c>
      <c r="E30" s="40"/>
      <c r="F30" s="89" t="str">
        <f t="shared" si="401"/>
        <v/>
      </c>
      <c r="G30" s="89" t="str">
        <f t="shared" si="402"/>
        <v/>
      </c>
      <c r="H30" s="37"/>
      <c r="I30" s="37"/>
      <c r="J30" s="41"/>
      <c r="K30" s="90" t="str">
        <f t="shared" si="403"/>
        <v/>
      </c>
      <c r="L30" s="41"/>
      <c r="M30" s="41"/>
      <c r="N30" s="41"/>
      <c r="O30" s="43"/>
      <c r="P30" s="91" t="str">
        <f t="shared" si="404"/>
        <v/>
      </c>
      <c r="Q30" s="4"/>
      <c r="R30" s="39"/>
      <c r="S30" s="39"/>
      <c r="T30" s="1"/>
      <c r="U30" s="1"/>
      <c r="V30" s="1"/>
      <c r="W30" s="1"/>
      <c r="X30" s="1"/>
      <c r="Y30" s="1"/>
      <c r="Z30" s="1"/>
      <c r="AA30" s="55"/>
      <c r="AB30" s="1"/>
      <c r="AC30" s="56"/>
      <c r="AD30" s="1"/>
      <c r="AE30" s="1"/>
      <c r="AF30" s="2"/>
      <c r="AG30" s="55"/>
      <c r="AH30" s="1"/>
      <c r="AI30" s="1"/>
      <c r="AJ30" s="1"/>
      <c r="AK30" s="1"/>
      <c r="AL30" s="1"/>
      <c r="AM30" s="1"/>
      <c r="AN30" s="55"/>
      <c r="AO30" s="1"/>
      <c r="AP30" s="56"/>
      <c r="AQ30" s="1"/>
      <c r="AR30" s="1"/>
      <c r="AS30" s="2"/>
      <c r="AT30" s="55"/>
      <c r="AU30" s="55"/>
      <c r="AV30" s="55"/>
      <c r="AW30" s="56"/>
      <c r="AX30" s="57"/>
      <c r="AY30" s="55"/>
      <c r="AZ30" s="1"/>
      <c r="BA30" s="58"/>
      <c r="BB30" s="59"/>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c r="EB30" s="39"/>
      <c r="EC30" s="39"/>
      <c r="ED30" s="1"/>
      <c r="EE30" s="1"/>
      <c r="EF30" s="1"/>
      <c r="EG30" s="1"/>
      <c r="EH30" s="1"/>
      <c r="EI30" s="1"/>
      <c r="EJ30" s="1"/>
      <c r="EK30" s="55"/>
      <c r="EL30" s="1"/>
      <c r="EM30" s="56"/>
      <c r="EN30" s="1"/>
      <c r="EO30" s="1"/>
      <c r="EP30" s="2"/>
      <c r="EQ30" s="55"/>
      <c r="ER30" s="1"/>
      <c r="ES30" s="1"/>
      <c r="ET30" s="1"/>
      <c r="EU30" s="1"/>
      <c r="EV30" s="1"/>
      <c r="EW30" s="1"/>
      <c r="EX30" s="55"/>
      <c r="EY30" s="1"/>
      <c r="EZ30" s="56"/>
      <c r="FA30" s="1"/>
      <c r="FB30" s="1"/>
      <c r="FC30" s="2"/>
      <c r="FD30" s="55"/>
      <c r="FE30" s="55"/>
      <c r="FF30" s="55"/>
      <c r="FG30" s="56"/>
      <c r="FH30" s="57"/>
      <c r="FI30" s="55"/>
      <c r="FJ30" s="1"/>
      <c r="FK30" s="58"/>
      <c r="FL30" s="59"/>
      <c r="FM30" s="4"/>
      <c r="FN30" s="39"/>
      <c r="FO30" s="39"/>
      <c r="FP30" s="1"/>
      <c r="FQ30" s="1"/>
      <c r="FR30" s="1"/>
      <c r="FS30" s="1"/>
      <c r="FT30" s="1"/>
      <c r="FU30" s="1"/>
      <c r="FV30" s="1"/>
      <c r="FW30" s="55"/>
      <c r="FX30" s="1"/>
      <c r="FY30" s="56"/>
      <c r="FZ30" s="1"/>
      <c r="GA30" s="1"/>
      <c r="GB30" s="2"/>
      <c r="GC30" s="55"/>
      <c r="GD30" s="1"/>
      <c r="GE30" s="1"/>
      <c r="GF30" s="1"/>
      <c r="GG30" s="1"/>
      <c r="GH30" s="1"/>
      <c r="GI30" s="1"/>
      <c r="GJ30" s="55"/>
      <c r="GK30" s="1"/>
      <c r="GL30" s="56"/>
      <c r="GM30" s="1"/>
      <c r="GN30" s="1"/>
      <c r="GO30" s="2"/>
      <c r="GP30" s="55"/>
      <c r="GQ30" s="55"/>
      <c r="GR30" s="55"/>
      <c r="GS30" s="56"/>
      <c r="GT30" s="57"/>
      <c r="GU30" s="55"/>
      <c r="GV30" s="1"/>
      <c r="GW30" s="58"/>
      <c r="GX30" s="59"/>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c r="PT30" s="39"/>
      <c r="PU30" s="39"/>
      <c r="PV30" s="1"/>
      <c r="PW30" s="1"/>
      <c r="PX30" s="1"/>
      <c r="PY30" s="1"/>
      <c r="PZ30" s="1"/>
      <c r="QA30" s="1"/>
      <c r="QB30" s="1"/>
      <c r="QC30" s="55"/>
      <c r="QD30" s="1"/>
      <c r="QE30" s="56"/>
      <c r="QF30" s="1"/>
      <c r="QG30" s="1"/>
      <c r="QH30" s="2"/>
      <c r="QI30" s="55"/>
      <c r="QJ30" s="1"/>
      <c r="QK30" s="1"/>
      <c r="QL30" s="1"/>
      <c r="QM30" s="1"/>
      <c r="QN30" s="1"/>
      <c r="QO30" s="1"/>
      <c r="QP30" s="55"/>
      <c r="QQ30" s="1"/>
      <c r="QR30" s="56"/>
      <c r="QS30" s="1"/>
      <c r="QT30" s="1"/>
      <c r="QU30" s="2"/>
      <c r="QV30" s="55"/>
      <c r="QW30" s="55"/>
      <c r="QX30" s="55"/>
      <c r="QY30" s="56"/>
      <c r="QZ30" s="57"/>
      <c r="RA30" s="55"/>
      <c r="RB30" s="1"/>
      <c r="RC30" s="58"/>
      <c r="RD30" s="59"/>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c r="UD30" s="39"/>
      <c r="UE30" s="39"/>
      <c r="UF30" s="1"/>
      <c r="UG30" s="1"/>
      <c r="UH30" s="1"/>
      <c r="UI30" s="1"/>
      <c r="UJ30" s="1"/>
      <c r="UK30" s="1"/>
      <c r="UL30" s="1"/>
      <c r="UM30" s="55"/>
      <c r="UN30" s="1"/>
      <c r="UO30" s="56"/>
      <c r="UP30" s="1"/>
      <c r="UQ30" s="1"/>
      <c r="UR30" s="2"/>
      <c r="US30" s="55"/>
      <c r="UT30" s="1"/>
      <c r="UU30" s="1"/>
      <c r="UV30" s="1"/>
      <c r="UW30" s="1"/>
      <c r="UX30" s="1"/>
      <c r="UY30" s="1"/>
      <c r="UZ30" s="55"/>
      <c r="VA30" s="1"/>
      <c r="VB30" s="56"/>
      <c r="VC30" s="1"/>
      <c r="VD30" s="1"/>
      <c r="VE30" s="2"/>
      <c r="VF30" s="55"/>
      <c r="VG30" s="55"/>
      <c r="VH30" s="55"/>
      <c r="VI30" s="56"/>
      <c r="VJ30" s="57"/>
      <c r="VK30" s="55"/>
      <c r="VL30" s="1"/>
      <c r="VM30" s="58"/>
      <c r="VN30" s="59"/>
      <c r="VO30" s="4"/>
      <c r="VP30" s="39"/>
      <c r="VQ30" s="39"/>
      <c r="VR30" s="1"/>
      <c r="VS30" s="1"/>
      <c r="VT30" s="1"/>
      <c r="VU30" s="1"/>
      <c r="VV30" s="1"/>
      <c r="VW30" s="1"/>
      <c r="VX30" s="1"/>
      <c r="VY30" s="55"/>
      <c r="VZ30" s="1"/>
      <c r="WA30" s="56"/>
      <c r="WB30" s="1"/>
      <c r="WC30" s="1"/>
      <c r="WD30" s="2"/>
      <c r="WE30" s="55"/>
      <c r="WF30" s="1"/>
      <c r="WG30" s="1"/>
      <c r="WH30" s="1"/>
      <c r="WI30" s="1"/>
      <c r="WJ30" s="1"/>
      <c r="WK30" s="1"/>
      <c r="WL30" s="55"/>
      <c r="WM30" s="1"/>
      <c r="WN30" s="56"/>
      <c r="WO30" s="1"/>
      <c r="WP30" s="1"/>
      <c r="WQ30" s="2"/>
      <c r="WR30" s="55"/>
      <c r="WS30" s="55"/>
      <c r="WT30" s="55"/>
      <c r="WU30" s="56"/>
      <c r="WV30" s="57"/>
      <c r="WW30" s="55"/>
      <c r="WX30" s="1"/>
      <c r="WY30" s="58"/>
      <c r="WZ30" s="59"/>
      <c r="XA30" s="4"/>
      <c r="XB30" s="39"/>
      <c r="XC30" s="39"/>
      <c r="XD30" s="1"/>
      <c r="XE30" s="1"/>
      <c r="XF30" s="1"/>
      <c r="XG30" s="1"/>
      <c r="XH30" s="1"/>
      <c r="XI30" s="1"/>
      <c r="XJ30" s="1"/>
      <c r="XK30" s="55"/>
      <c r="XL30" s="1"/>
      <c r="XM30" s="56"/>
      <c r="XN30" s="1"/>
      <c r="XO30" s="1"/>
      <c r="XP30" s="2"/>
      <c r="XQ30" s="55"/>
      <c r="XR30" s="1"/>
      <c r="XS30" s="1"/>
      <c r="XT30" s="1"/>
      <c r="XU30" s="1"/>
      <c r="XV30" s="1"/>
      <c r="XW30" s="1"/>
      <c r="XX30" s="55"/>
      <c r="XY30" s="1"/>
      <c r="XZ30" s="56"/>
      <c r="YA30" s="1"/>
      <c r="YB30" s="1"/>
      <c r="YC30" s="2"/>
      <c r="YD30" s="55"/>
      <c r="YE30" s="55"/>
      <c r="YF30" s="55"/>
      <c r="YG30" s="56"/>
      <c r="YH30" s="57"/>
      <c r="YI30" s="55"/>
      <c r="YJ30" s="1"/>
      <c r="YK30" s="58"/>
      <c r="YL30" s="59"/>
      <c r="YM30" s="4"/>
      <c r="YN30" s="39"/>
      <c r="YO30" s="39"/>
      <c r="YP30" s="1"/>
      <c r="YQ30" s="1"/>
      <c r="YR30" s="1"/>
      <c r="YS30" s="1"/>
      <c r="YT30" s="1"/>
      <c r="YU30" s="1"/>
      <c r="YV30" s="1"/>
      <c r="YW30" s="55"/>
      <c r="YX30" s="1"/>
      <c r="YY30" s="56"/>
      <c r="YZ30" s="1"/>
      <c r="ZA30" s="1"/>
      <c r="ZB30" s="2"/>
      <c r="ZC30" s="55"/>
      <c r="ZD30" s="1"/>
      <c r="ZE30" s="1"/>
      <c r="ZF30" s="1"/>
      <c r="ZG30" s="1"/>
      <c r="ZH30" s="1"/>
      <c r="ZI30" s="1"/>
      <c r="ZJ30" s="55"/>
      <c r="ZK30" s="1"/>
      <c r="ZL30" s="56"/>
      <c r="ZM30" s="1"/>
      <c r="ZN30" s="1"/>
      <c r="ZO30" s="2"/>
      <c r="ZP30" s="55"/>
      <c r="ZQ30" s="55"/>
      <c r="ZR30" s="55"/>
      <c r="ZS30" s="56"/>
      <c r="ZT30" s="57"/>
      <c r="ZU30" s="55"/>
      <c r="ZV30" s="1"/>
      <c r="ZW30" s="58"/>
      <c r="ZX30" s="59"/>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x14ac:dyDescent="0.25">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x14ac:dyDescent="0.3">
      <c r="A3" s="26" t="s">
        <v>101</v>
      </c>
      <c r="B3" s="181"/>
      <c r="C3" s="181"/>
      <c r="D3" s="25"/>
      <c r="E3" s="182" t="s">
        <v>103</v>
      </c>
      <c r="F3" s="183"/>
      <c r="G3" s="184"/>
      <c r="H3" s="150" t="str">
        <f>IF(Baza!B2="","",Baza!B2)</f>
        <v/>
      </c>
      <c r="I3" s="150"/>
      <c r="J3" s="150"/>
      <c r="K3" s="150"/>
      <c r="L3" s="150"/>
      <c r="N3" s="185" t="s">
        <v>90</v>
      </c>
      <c r="O3" s="185"/>
      <c r="P3" s="185"/>
      <c r="Q3" s="150" t="str">
        <f>IF(Baza!C2="","",Baza!C2)</f>
        <v/>
      </c>
      <c r="R3" s="150"/>
      <c r="S3" s="150"/>
      <c r="T3" s="150"/>
      <c r="U3" s="150"/>
      <c r="W3" s="185" t="s">
        <v>116</v>
      </c>
      <c r="X3" s="185"/>
      <c r="Y3" s="185"/>
      <c r="Z3" s="150" t="str">
        <f>IF(Baza!D2="","",Baza!D2)</f>
        <v/>
      </c>
      <c r="AA3" s="150"/>
      <c r="AB3" s="150"/>
      <c r="AC3" s="150"/>
      <c r="AD3" s="150"/>
      <c r="AE3" s="23"/>
      <c r="AF3" s="151" t="s">
        <v>102</v>
      </c>
      <c r="AG3" s="151"/>
      <c r="AH3" s="151"/>
      <c r="AI3" s="152" t="str">
        <f>IF(Baza!A2="","",Baza!A2)</f>
        <v/>
      </c>
      <c r="AJ3" s="153"/>
      <c r="AK3" s="153"/>
      <c r="AL3" s="153"/>
      <c r="AM3" s="154"/>
    </row>
    <row r="4" spans="1:41" ht="36.6" customHeight="1" thickTop="1" x14ac:dyDescent="0.25">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x14ac:dyDescent="0.25">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x14ac:dyDescent="0.25">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899999999999999" customHeight="1" x14ac:dyDescent="0.25">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1">
        <v>15</v>
      </c>
      <c r="AO7" s="71" t="str">
        <f>IF(B3="Sinif","Dördüncü","")</f>
        <v/>
      </c>
    </row>
    <row r="8" spans="1:41" ht="19.899999999999999" customHeight="1" x14ac:dyDescent="0.25">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1">
        <v>15</v>
      </c>
      <c r="AO8" s="71" t="str">
        <f>IF(B3="Sinif","Üçüncü","")</f>
        <v/>
      </c>
    </row>
    <row r="9" spans="1:41" ht="19.899999999999999" customHeight="1" x14ac:dyDescent="0.25">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1">
        <v>15</v>
      </c>
      <c r="AO9" s="71" t="str">
        <f>IF(B3="Sinif","İkinci","")</f>
        <v/>
      </c>
    </row>
    <row r="10" spans="1:41" ht="19.899999999999999" customHeight="1" x14ac:dyDescent="0.25">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1">
        <v>15</v>
      </c>
      <c r="AO10" s="71" t="str">
        <f>IF(B3="Sinif","Birinci","")</f>
        <v/>
      </c>
    </row>
    <row r="11" spans="1:41" ht="19.899999999999999" customHeight="1" x14ac:dyDescent="0.25">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1">
        <v>15</v>
      </c>
    </row>
    <row r="12" spans="1:41" ht="19.899999999999999" customHeight="1" x14ac:dyDescent="0.25">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1">
        <f>AN7+38</f>
        <v>53</v>
      </c>
    </row>
    <row r="13" spans="1:41" ht="19.899999999999999" customHeight="1" x14ac:dyDescent="0.25">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1">
        <f>AN8+38</f>
        <v>53</v>
      </c>
    </row>
    <row r="14" spans="1:41" ht="19.899999999999999" customHeight="1" x14ac:dyDescent="0.25">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1">
        <f t="shared" ref="AN14:AN16" si="0">AN9+38</f>
        <v>53</v>
      </c>
    </row>
    <row r="15" spans="1:41" ht="19.899999999999999" customHeight="1" x14ac:dyDescent="0.25">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1">
        <f t="shared" si="0"/>
        <v>53</v>
      </c>
    </row>
    <row r="16" spans="1:41" ht="19.899999999999999" customHeight="1" x14ac:dyDescent="0.25">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1">
        <f t="shared" si="0"/>
        <v>53</v>
      </c>
    </row>
    <row r="17" spans="1:40" ht="19.899999999999999" customHeight="1" x14ac:dyDescent="0.25">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1">
        <f>AN12+38</f>
        <v>91</v>
      </c>
    </row>
    <row r="18" spans="1:40" ht="19.899999999999999" customHeight="1" x14ac:dyDescent="0.25">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1">
        <f>AN13+38</f>
        <v>91</v>
      </c>
    </row>
    <row r="19" spans="1:40" ht="19.899999999999999" customHeight="1" x14ac:dyDescent="0.25">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1">
        <f t="shared" ref="AN19:AN82" si="1">AN14+38</f>
        <v>91</v>
      </c>
    </row>
    <row r="20" spans="1:40" ht="19.899999999999999" customHeight="1" x14ac:dyDescent="0.25">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1">
        <f t="shared" si="1"/>
        <v>91</v>
      </c>
    </row>
    <row r="21" spans="1:40" ht="19.899999999999999" customHeight="1" x14ac:dyDescent="0.25">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1">
        <f t="shared" si="1"/>
        <v>91</v>
      </c>
    </row>
    <row r="22" spans="1:40" ht="19.899999999999999" customHeight="1" x14ac:dyDescent="0.25">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1">
        <f t="shared" si="1"/>
        <v>129</v>
      </c>
    </row>
    <row r="23" spans="1:40" ht="19.899999999999999" customHeight="1" x14ac:dyDescent="0.25">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1">
        <f t="shared" si="1"/>
        <v>129</v>
      </c>
    </row>
    <row r="24" spans="1:40" ht="19.899999999999999" customHeight="1" x14ac:dyDescent="0.25">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1">
        <f t="shared" si="1"/>
        <v>129</v>
      </c>
    </row>
    <row r="25" spans="1:40" ht="19.899999999999999" customHeight="1" x14ac:dyDescent="0.25">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1">
        <f t="shared" si="1"/>
        <v>129</v>
      </c>
    </row>
    <row r="26" spans="1:40" ht="19.899999999999999" customHeight="1" x14ac:dyDescent="0.25">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1">
        <f t="shared" si="1"/>
        <v>129</v>
      </c>
    </row>
    <row r="27" spans="1:40" ht="19.899999999999999" customHeight="1" x14ac:dyDescent="0.25">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1">
        <f t="shared" si="1"/>
        <v>167</v>
      </c>
    </row>
    <row r="28" spans="1:40" ht="19.899999999999999" customHeight="1" x14ac:dyDescent="0.25">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1">
        <f t="shared" si="1"/>
        <v>167</v>
      </c>
    </row>
    <row r="29" spans="1:40" ht="19.899999999999999" customHeight="1" x14ac:dyDescent="0.25">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1">
        <f t="shared" si="1"/>
        <v>167</v>
      </c>
    </row>
    <row r="30" spans="1:40" ht="19.899999999999999" customHeight="1" x14ac:dyDescent="0.25">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1">
        <f t="shared" si="1"/>
        <v>167</v>
      </c>
    </row>
    <row r="31" spans="1:40" ht="19.899999999999999" customHeight="1" x14ac:dyDescent="0.25">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1">
        <f t="shared" si="1"/>
        <v>167</v>
      </c>
    </row>
    <row r="32" spans="1:40" ht="19.899999999999999" customHeight="1" x14ac:dyDescent="0.25">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1">
        <f t="shared" si="1"/>
        <v>205</v>
      </c>
    </row>
    <row r="33" spans="1:40" ht="19.899999999999999" customHeight="1" x14ac:dyDescent="0.25">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1">
        <f t="shared" si="1"/>
        <v>205</v>
      </c>
    </row>
    <row r="34" spans="1:40" ht="19.899999999999999" customHeight="1" x14ac:dyDescent="0.25">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1">
        <f t="shared" si="1"/>
        <v>205</v>
      </c>
    </row>
    <row r="35" spans="1:40" ht="19.899999999999999" customHeight="1" x14ac:dyDescent="0.25">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1">
        <f t="shared" si="1"/>
        <v>205</v>
      </c>
    </row>
    <row r="36" spans="1:40" ht="19.899999999999999" customHeight="1" x14ac:dyDescent="0.25">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1">
        <f t="shared" si="1"/>
        <v>205</v>
      </c>
    </row>
    <row r="37" spans="1:40" ht="19.899999999999999" customHeight="1" x14ac:dyDescent="0.25">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1">
        <f t="shared" si="1"/>
        <v>243</v>
      </c>
    </row>
    <row r="38" spans="1:40" ht="19.899999999999999" customHeight="1" x14ac:dyDescent="0.25">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1">
        <f t="shared" si="1"/>
        <v>243</v>
      </c>
    </row>
    <row r="39" spans="1:40" ht="19.899999999999999" customHeight="1" x14ac:dyDescent="0.25">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1">
        <f t="shared" si="1"/>
        <v>243</v>
      </c>
    </row>
    <row r="40" spans="1:40" ht="19.899999999999999" customHeight="1" x14ac:dyDescent="0.25">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1">
        <f t="shared" si="1"/>
        <v>243</v>
      </c>
    </row>
    <row r="41" spans="1:40" ht="19.899999999999999" customHeight="1" x14ac:dyDescent="0.25">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1">
        <f t="shared" si="1"/>
        <v>243</v>
      </c>
    </row>
    <row r="42" spans="1:40" ht="19.899999999999999" customHeight="1" x14ac:dyDescent="0.25">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1">
        <f t="shared" si="1"/>
        <v>281</v>
      </c>
    </row>
    <row r="43" spans="1:40" ht="19.899999999999999" customHeight="1" x14ac:dyDescent="0.25">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1">
        <f t="shared" si="1"/>
        <v>281</v>
      </c>
    </row>
    <row r="44" spans="1:40" ht="19.899999999999999" customHeight="1" x14ac:dyDescent="0.25">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1">
        <f t="shared" si="1"/>
        <v>281</v>
      </c>
    </row>
    <row r="45" spans="1:40" ht="19.899999999999999" customHeight="1" x14ac:dyDescent="0.25">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1">
        <f t="shared" si="1"/>
        <v>281</v>
      </c>
    </row>
    <row r="46" spans="1:40" ht="19.899999999999999" customHeight="1" x14ac:dyDescent="0.25">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1">
        <f t="shared" si="1"/>
        <v>281</v>
      </c>
    </row>
    <row r="47" spans="1:40" ht="19.899999999999999" customHeight="1" x14ac:dyDescent="0.25">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1">
        <f t="shared" si="1"/>
        <v>319</v>
      </c>
    </row>
    <row r="48" spans="1:40" ht="19.899999999999999" customHeight="1" x14ac:dyDescent="0.25">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1">
        <f t="shared" si="1"/>
        <v>319</v>
      </c>
    </row>
    <row r="49" spans="1:40" ht="19.899999999999999" customHeight="1" x14ac:dyDescent="0.25">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1">
        <f t="shared" si="1"/>
        <v>319</v>
      </c>
    </row>
    <row r="50" spans="1:40" ht="19.899999999999999" customHeight="1" x14ac:dyDescent="0.25">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1">
        <f t="shared" si="1"/>
        <v>319</v>
      </c>
    </row>
    <row r="51" spans="1:40" ht="19.899999999999999" customHeight="1" x14ac:dyDescent="0.25">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1">
        <f t="shared" si="1"/>
        <v>319</v>
      </c>
    </row>
    <row r="52" spans="1:40" ht="19.899999999999999" customHeight="1" x14ac:dyDescent="0.25">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1">
        <f t="shared" si="1"/>
        <v>357</v>
      </c>
    </row>
    <row r="53" spans="1:40" ht="19.899999999999999" customHeight="1" x14ac:dyDescent="0.25">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1">
        <f t="shared" si="1"/>
        <v>357</v>
      </c>
    </row>
    <row r="54" spans="1:40" ht="19.899999999999999" customHeight="1" x14ac:dyDescent="0.25">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1">
        <f t="shared" si="1"/>
        <v>357</v>
      </c>
    </row>
    <row r="55" spans="1:40" ht="19.899999999999999" customHeight="1" x14ac:dyDescent="0.25">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1">
        <f t="shared" si="1"/>
        <v>357</v>
      </c>
    </row>
    <row r="56" spans="1:40" ht="19.899999999999999" customHeight="1" x14ac:dyDescent="0.25">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1">
        <f t="shared" si="1"/>
        <v>357</v>
      </c>
    </row>
    <row r="57" spans="1:40" ht="19.899999999999999" customHeight="1" x14ac:dyDescent="0.25">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1">
        <f t="shared" si="1"/>
        <v>395</v>
      </c>
    </row>
    <row r="58" spans="1:40" ht="19.899999999999999" customHeight="1" x14ac:dyDescent="0.25">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1">
        <f t="shared" si="1"/>
        <v>395</v>
      </c>
    </row>
    <row r="59" spans="1:40" ht="19.899999999999999" customHeight="1" x14ac:dyDescent="0.25">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1">
        <f t="shared" si="1"/>
        <v>395</v>
      </c>
    </row>
    <row r="60" spans="1:40" ht="19.899999999999999" customHeight="1" x14ac:dyDescent="0.25">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1">
        <f t="shared" si="1"/>
        <v>395</v>
      </c>
    </row>
    <row r="61" spans="1:40" ht="19.899999999999999" customHeight="1" x14ac:dyDescent="0.25">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1">
        <f t="shared" si="1"/>
        <v>395</v>
      </c>
    </row>
    <row r="62" spans="1:40" ht="19.899999999999999" customHeight="1" x14ac:dyDescent="0.25">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1">
        <f t="shared" si="1"/>
        <v>433</v>
      </c>
    </row>
    <row r="63" spans="1:40" ht="19.899999999999999" customHeight="1" x14ac:dyDescent="0.25">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1">
        <f t="shared" si="1"/>
        <v>433</v>
      </c>
    </row>
    <row r="64" spans="1:40" ht="19.899999999999999" customHeight="1" x14ac:dyDescent="0.25">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1">
        <f t="shared" si="1"/>
        <v>433</v>
      </c>
    </row>
    <row r="65" spans="1:40" ht="19.899999999999999" customHeight="1" x14ac:dyDescent="0.25">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1">
        <f t="shared" si="1"/>
        <v>433</v>
      </c>
    </row>
    <row r="66" spans="1:40" ht="19.899999999999999" customHeight="1" x14ac:dyDescent="0.25">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1">
        <f t="shared" si="1"/>
        <v>433</v>
      </c>
    </row>
    <row r="67" spans="1:40" ht="19.899999999999999" customHeight="1" x14ac:dyDescent="0.25">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1">
        <f t="shared" si="1"/>
        <v>471</v>
      </c>
    </row>
    <row r="68" spans="1:40" ht="19.899999999999999" customHeight="1" x14ac:dyDescent="0.25">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1">
        <f t="shared" si="1"/>
        <v>471</v>
      </c>
    </row>
    <row r="69" spans="1:40" ht="19.899999999999999" customHeight="1" x14ac:dyDescent="0.25">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1">
        <f t="shared" si="1"/>
        <v>471</v>
      </c>
    </row>
    <row r="70" spans="1:40" ht="19.899999999999999" customHeight="1" x14ac:dyDescent="0.25">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1">
        <f t="shared" si="1"/>
        <v>471</v>
      </c>
    </row>
    <row r="71" spans="1:40" ht="19.899999999999999" customHeight="1" x14ac:dyDescent="0.25">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1">
        <f t="shared" si="1"/>
        <v>471</v>
      </c>
    </row>
    <row r="72" spans="1:40" ht="19.899999999999999" customHeight="1" x14ac:dyDescent="0.25">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1">
        <f t="shared" si="1"/>
        <v>509</v>
      </c>
    </row>
    <row r="73" spans="1:40" ht="19.899999999999999" customHeight="1" x14ac:dyDescent="0.25">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1">
        <f t="shared" si="1"/>
        <v>509</v>
      </c>
    </row>
    <row r="74" spans="1:40" ht="19.899999999999999" customHeight="1" x14ac:dyDescent="0.25">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1">
        <f t="shared" si="1"/>
        <v>509</v>
      </c>
    </row>
    <row r="75" spans="1:40" ht="19.899999999999999" customHeight="1" x14ac:dyDescent="0.25">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1">
        <f t="shared" si="1"/>
        <v>509</v>
      </c>
    </row>
    <row r="76" spans="1:40" ht="19.899999999999999" customHeight="1" x14ac:dyDescent="0.25">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1">
        <f t="shared" si="1"/>
        <v>509</v>
      </c>
    </row>
    <row r="77" spans="1:40" ht="19.899999999999999" customHeight="1" x14ac:dyDescent="0.25">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1">
        <f t="shared" si="1"/>
        <v>547</v>
      </c>
    </row>
    <row r="78" spans="1:40" ht="19.899999999999999" customHeight="1" x14ac:dyDescent="0.25">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1">
        <f t="shared" si="1"/>
        <v>547</v>
      </c>
    </row>
    <row r="79" spans="1:40" ht="19.899999999999999" customHeight="1" x14ac:dyDescent="0.25">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1">
        <f t="shared" si="1"/>
        <v>547</v>
      </c>
    </row>
    <row r="80" spans="1:40" ht="19.899999999999999" customHeight="1" x14ac:dyDescent="0.25">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1">
        <f t="shared" si="1"/>
        <v>547</v>
      </c>
    </row>
    <row r="81" spans="1:40" ht="19.899999999999999" customHeight="1" x14ac:dyDescent="0.25">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1">
        <f t="shared" si="1"/>
        <v>547</v>
      </c>
    </row>
    <row r="82" spans="1:40" ht="19.899999999999999" customHeight="1" x14ac:dyDescent="0.25">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1">
        <f t="shared" si="1"/>
        <v>585</v>
      </c>
    </row>
    <row r="83" spans="1:40" ht="19.899999999999999" customHeight="1" x14ac:dyDescent="0.25">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1">
        <f t="shared" ref="AN83:AN131" si="2">AN78+38</f>
        <v>585</v>
      </c>
    </row>
    <row r="84" spans="1:40" ht="19.899999999999999" customHeight="1" x14ac:dyDescent="0.25">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1">
        <f t="shared" si="2"/>
        <v>585</v>
      </c>
    </row>
    <row r="85" spans="1:40" ht="19.899999999999999" customHeight="1" x14ac:dyDescent="0.25">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1">
        <f t="shared" si="2"/>
        <v>585</v>
      </c>
    </row>
    <row r="86" spans="1:40" ht="19.899999999999999" customHeight="1" x14ac:dyDescent="0.25">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1">
        <f t="shared" si="2"/>
        <v>585</v>
      </c>
    </row>
    <row r="87" spans="1:40" ht="19.899999999999999" customHeight="1" x14ac:dyDescent="0.25">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1">
        <f t="shared" si="2"/>
        <v>623</v>
      </c>
    </row>
    <row r="88" spans="1:40" ht="19.899999999999999" customHeight="1" x14ac:dyDescent="0.25">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1">
        <f t="shared" si="2"/>
        <v>623</v>
      </c>
    </row>
    <row r="89" spans="1:40" ht="19.899999999999999" customHeight="1" x14ac:dyDescent="0.25">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1">
        <f t="shared" si="2"/>
        <v>623</v>
      </c>
    </row>
    <row r="90" spans="1:40" ht="19.899999999999999" customHeight="1" x14ac:dyDescent="0.25">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1">
        <f t="shared" si="2"/>
        <v>623</v>
      </c>
    </row>
    <row r="91" spans="1:40" ht="19.899999999999999" customHeight="1" x14ac:dyDescent="0.25">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1">
        <f t="shared" si="2"/>
        <v>623</v>
      </c>
    </row>
    <row r="92" spans="1:40" ht="19.899999999999999" customHeight="1" x14ac:dyDescent="0.25">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1">
        <f t="shared" si="2"/>
        <v>661</v>
      </c>
    </row>
    <row r="93" spans="1:40" ht="19.899999999999999" customHeight="1" x14ac:dyDescent="0.25">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1">
        <f t="shared" si="2"/>
        <v>661</v>
      </c>
    </row>
    <row r="94" spans="1:40" ht="19.899999999999999" customHeight="1" x14ac:dyDescent="0.25">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1">
        <f t="shared" si="2"/>
        <v>661</v>
      </c>
    </row>
    <row r="95" spans="1:40" ht="19.899999999999999" customHeight="1" x14ac:dyDescent="0.25">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1">
        <f t="shared" si="2"/>
        <v>661</v>
      </c>
    </row>
    <row r="96" spans="1:40" ht="19.899999999999999" customHeight="1" x14ac:dyDescent="0.25">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1">
        <f t="shared" si="2"/>
        <v>661</v>
      </c>
    </row>
    <row r="97" spans="1:40" ht="19.899999999999999" customHeight="1" x14ac:dyDescent="0.25">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1">
        <f t="shared" si="2"/>
        <v>699</v>
      </c>
    </row>
    <row r="98" spans="1:40" ht="19.899999999999999" customHeight="1" x14ac:dyDescent="0.25">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1">
        <f t="shared" si="2"/>
        <v>699</v>
      </c>
    </row>
    <row r="99" spans="1:40" ht="19.899999999999999" customHeight="1" x14ac:dyDescent="0.25">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1">
        <f t="shared" si="2"/>
        <v>699</v>
      </c>
    </row>
    <row r="100" spans="1:40" ht="19.899999999999999" customHeight="1" x14ac:dyDescent="0.25">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1">
        <f t="shared" si="2"/>
        <v>699</v>
      </c>
    </row>
    <row r="101" spans="1:40" ht="19.899999999999999" customHeight="1" x14ac:dyDescent="0.25">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1">
        <f t="shared" si="2"/>
        <v>699</v>
      </c>
    </row>
    <row r="102" spans="1:40" ht="19.899999999999999" customHeight="1" x14ac:dyDescent="0.25">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1">
        <f t="shared" si="2"/>
        <v>737</v>
      </c>
    </row>
    <row r="103" spans="1:40" ht="19.899999999999999" customHeight="1" x14ac:dyDescent="0.25">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1">
        <f t="shared" si="2"/>
        <v>737</v>
      </c>
    </row>
    <row r="104" spans="1:40" ht="19.899999999999999" customHeight="1" x14ac:dyDescent="0.25">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1">
        <f t="shared" si="2"/>
        <v>737</v>
      </c>
    </row>
    <row r="105" spans="1:40" ht="19.899999999999999" customHeight="1" x14ac:dyDescent="0.25">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1">
        <f t="shared" si="2"/>
        <v>737</v>
      </c>
    </row>
    <row r="106" spans="1:40" ht="19.899999999999999" customHeight="1" x14ac:dyDescent="0.25">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1">
        <f t="shared" si="2"/>
        <v>737</v>
      </c>
    </row>
    <row r="107" spans="1:40" ht="19.899999999999999" customHeight="1" x14ac:dyDescent="0.25">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1">
        <f t="shared" si="2"/>
        <v>775</v>
      </c>
    </row>
    <row r="108" spans="1:40" ht="19.899999999999999" customHeight="1" x14ac:dyDescent="0.25">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1">
        <f t="shared" si="2"/>
        <v>775</v>
      </c>
    </row>
    <row r="109" spans="1:40" ht="19.899999999999999" customHeight="1" x14ac:dyDescent="0.25">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1">
        <f t="shared" si="2"/>
        <v>775</v>
      </c>
    </row>
    <row r="110" spans="1:40" ht="19.899999999999999" customHeight="1" x14ac:dyDescent="0.25">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1">
        <f t="shared" si="2"/>
        <v>775</v>
      </c>
    </row>
    <row r="111" spans="1:40" ht="19.899999999999999" customHeight="1" x14ac:dyDescent="0.25">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1">
        <f t="shared" si="2"/>
        <v>775</v>
      </c>
    </row>
    <row r="112" spans="1:40" ht="19.899999999999999" customHeight="1" x14ac:dyDescent="0.25">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1">
        <f t="shared" si="2"/>
        <v>813</v>
      </c>
    </row>
    <row r="113" spans="1:40" ht="19.899999999999999" customHeight="1" x14ac:dyDescent="0.25">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1">
        <f t="shared" si="2"/>
        <v>813</v>
      </c>
    </row>
    <row r="114" spans="1:40" ht="19.899999999999999" customHeight="1" x14ac:dyDescent="0.25">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1">
        <f t="shared" si="2"/>
        <v>813</v>
      </c>
    </row>
    <row r="115" spans="1:40" ht="19.899999999999999" customHeight="1" x14ac:dyDescent="0.25">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1">
        <f t="shared" si="2"/>
        <v>813</v>
      </c>
    </row>
    <row r="116" spans="1:40" ht="19.899999999999999" customHeight="1" x14ac:dyDescent="0.25">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1">
        <f t="shared" si="2"/>
        <v>813</v>
      </c>
    </row>
    <row r="117" spans="1:40" ht="19.899999999999999" customHeight="1" x14ac:dyDescent="0.25">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1">
        <f t="shared" si="2"/>
        <v>851</v>
      </c>
    </row>
    <row r="118" spans="1:40" ht="19.899999999999999" customHeight="1" x14ac:dyDescent="0.25">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1">
        <f t="shared" si="2"/>
        <v>851</v>
      </c>
    </row>
    <row r="119" spans="1:40" ht="19.899999999999999" customHeight="1" x14ac:dyDescent="0.25">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1">
        <f t="shared" si="2"/>
        <v>851</v>
      </c>
    </row>
    <row r="120" spans="1:40" ht="19.899999999999999" customHeight="1" x14ac:dyDescent="0.25">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1">
        <f t="shared" si="2"/>
        <v>851</v>
      </c>
    </row>
    <row r="121" spans="1:40" ht="19.899999999999999" customHeight="1" x14ac:dyDescent="0.25">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1">
        <f t="shared" si="2"/>
        <v>851</v>
      </c>
    </row>
    <row r="122" spans="1:40" ht="19.899999999999999" customHeight="1" x14ac:dyDescent="0.25">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1">
        <f t="shared" si="2"/>
        <v>889</v>
      </c>
    </row>
    <row r="123" spans="1:40" ht="19.899999999999999" customHeight="1" x14ac:dyDescent="0.25">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1">
        <f t="shared" si="2"/>
        <v>889</v>
      </c>
    </row>
    <row r="124" spans="1:40" ht="19.899999999999999" customHeight="1" x14ac:dyDescent="0.25">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1">
        <f t="shared" si="2"/>
        <v>889</v>
      </c>
    </row>
    <row r="125" spans="1:40" ht="19.899999999999999" customHeight="1" x14ac:dyDescent="0.25">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1">
        <f t="shared" si="2"/>
        <v>889</v>
      </c>
    </row>
    <row r="126" spans="1:40" ht="19.899999999999999" customHeight="1" x14ac:dyDescent="0.25">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1">
        <f t="shared" si="2"/>
        <v>889</v>
      </c>
    </row>
    <row r="127" spans="1:40" ht="19.899999999999999" customHeight="1" x14ac:dyDescent="0.25">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1">
        <f t="shared" si="2"/>
        <v>927</v>
      </c>
    </row>
    <row r="128" spans="1:40" ht="19.899999999999999" customHeight="1" x14ac:dyDescent="0.25">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1">
        <f t="shared" si="2"/>
        <v>927</v>
      </c>
    </row>
    <row r="129" spans="1:40" ht="19.899999999999999" customHeight="1" x14ac:dyDescent="0.25">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1">
        <f t="shared" si="2"/>
        <v>927</v>
      </c>
    </row>
    <row r="130" spans="1:40" ht="19.899999999999999" customHeight="1" x14ac:dyDescent="0.25">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1">
        <f t="shared" si="2"/>
        <v>927</v>
      </c>
    </row>
    <row r="131" spans="1:40" ht="19.899999999999999" customHeight="1" x14ac:dyDescent="0.25">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1">
        <f t="shared" si="2"/>
        <v>927</v>
      </c>
    </row>
    <row r="132" spans="1:40" ht="19.899999999999999" customHeight="1" x14ac:dyDescent="0.25"/>
    <row r="133" spans="1:40" ht="40.15" customHeight="1" x14ac:dyDescent="0.25">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2023-05-30T16:20:49Z</dcterms:modified>
</cp:coreProperties>
</file>