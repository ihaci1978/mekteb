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<sst xmlns="http://schemas.openxmlformats.org/spreadsheetml/2006/main" count="267" uniqueCount="193">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</sst>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100</c:v>
                </c:pt>
                <c:pt idx="3">
                  <c:v>100</c:v>
                </c:pt>
                <c:pt idx="4">
                  <c:v>0</c:v>
                </c:pt>
                <c:pt idx="5">
                  <c:v>0</c:v>
                </c:pt>
                <c:pt idx="6">
                  <c:v>0</c:v>
                </c:pt>
                <c:pt idx="7">
                  <c:v>0</c:v>
                </c:pt>
                <c:pt idx="8">
                  <c:v>0</c:v>
                </c:pt>
                <c:pt idx="9">
                  <c:v>0</c:v>
                </c:pt>
                <c:pt idx="10">
                  <c:v>0</c:v>
                </c:pt>
                <c:pt idx="11">
                  <c:v>0</c:v>
                </c:pt>
                <c:pt idx="12">
                  <c:v>100</c:v>
                </c:pt>
                <c:pt idx="13">
                  <c:v>100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100</c:v>
                </c:pt>
                <c:pt idx="2">
                  <c:v>0</c:v>
                </c:pt>
                <c:pt idx="3">
                  <c:v>0</c:v>
                </c:pt>
                <c:pt idx="4">
                  <c:v>0</c:v>
                </c:pt>
                <c:pt idx="5">
                  <c:v>0</c:v>
                </c:pt>
                <c:pt idx="6">
                  <c:v>0</c:v>
                </c:pt>
                <c:pt idx="7">
                  <c:v>0</c:v>
                </c:pt>
                <c:pt idx="8">
                  <c:v>0</c:v>
                </c:pt>
                <c:pt idx="9">
                  <c:v>0</c:v>
                </c:pt>
                <c:pt idx="10">
                  <c:v>0</c:v>
                </c:pt>
                <c:pt idx="11">
                  <c:v>100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63.666666666666664</c:v>
                </c:pt>
                <c:pt idx="2">
                  <c:v>55</c:v>
                </c:pt>
                <c:pt idx="3">
                  <c:v>58.466666666666669</c:v>
                </c:pt>
                <c:pt idx="4">
                  <c:v>0</c:v>
                </c:pt>
                <c:pt idx="5">
                  <c:v>0</c:v>
                </c:pt>
                <c:pt idx="6">
                  <c:v>0</c:v>
                </c:pt>
                <c:pt idx="7">
                  <c:v>0</c:v>
                </c:pt>
                <c:pt idx="8">
                  <c:v>0</c:v>
                </c:pt>
                <c:pt idx="9">
                  <c:v>0</c:v>
                </c:pt>
                <c:pt idx="10">
                  <c:v>0</c:v>
                </c:pt>
                <c:pt idx="11">
                  <c:v>63.666666666666664</c:v>
                </c:pt>
                <c:pt idx="12">
                  <c:v>55</c:v>
                </c:pt>
                <c:pt idx="13">
                  <c:v>58.466666666666669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0" zoomScaleNormal="80" workbookViewId="0">
      <pane xSplit="6" ySplit="4" topLeftCell="G5" activePane="bottomRight" state="frozen"/>
      <selection pane="topRight" activeCell="G1" sqref="G1"/>
      <selection pane="bottomLeft" activeCell="A5" sqref="A5"/>
      <selection pane="bottomRight" activeCell="Q6" sqref="Q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101</v>
      </c>
      <c r="H4" s="13">
        <v>140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1044134</v>
      </c>
      <c r="G5" s="16">
        <f>IF(F5="","",$G$4)</f>
        <v>101</v>
      </c>
      <c r="H5" s="16">
        <f>IF(F5="","",$H$4)</f>
        <v>140</v>
      </c>
      <c r="I5" s="17"/>
      <c r="J5" s="17">
        <v>31</v>
      </c>
      <c r="K5" s="17">
        <v>75</v>
      </c>
      <c r="L5" s="17">
        <v>85</v>
      </c>
      <c r="M5" s="17"/>
      <c r="N5" s="17"/>
      <c r="O5" s="17"/>
      <c r="P5" s="18">
        <f t="shared" ref="P5:P36" si="0">IFERROR(AVERAGE(J5:O5),"")</f>
        <v>63.666666666666664</v>
      </c>
      <c r="Q5" s="17">
        <v>55</v>
      </c>
      <c r="R5" s="19">
        <f t="shared" ref="R5:R36" si="1">IF(Q5="",P5,IF(P5="",Q5,P5*40/100+Q5*60/100))</f>
        <v>58.466666666666669</v>
      </c>
      <c r="S5" s="17"/>
      <c r="T5" s="17"/>
      <c r="U5" s="20"/>
      <c r="V5" s="57" t="str">
        <f>IF(U5="","",((H5/2)-U5)*100/(H5/2))</f>
        <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63.666666666666664</v>
      </c>
      <c r="AK5" s="18">
        <f>IFERROR(AVERAGE(Q5,AD5),"")</f>
        <v>55</v>
      </c>
      <c r="AL5" s="19">
        <f>IFERROR(AVERAGE(R5,AE5),"")</f>
        <v>58.466666666666669</v>
      </c>
      <c r="AM5" s="21">
        <f>IF(AL5&lt;=30,2,IF(AL5&lt;=60,3,IF(AL5&lt;=80,4,IF(AL5&lt;=100,5,""))))</f>
        <v>3</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1044134</v>
      </c>
      <c r="G6" s="1">
        <f t="shared" ref="G6:G54" si="4">IF(F6="","",$G$4)</f>
        <v>101</v>
      </c>
      <c r="H6" s="1">
        <f t="shared" ref="H6:H54" si="5">IF(F6="","",$H$4)</f>
        <v>140</v>
      </c>
      <c r="I6" s="12"/>
      <c r="J6" s="12"/>
      <c r="K6" s="12"/>
      <c r="L6" s="12"/>
      <c r="M6" s="12"/>
      <c r="N6" s="12"/>
      <c r="O6" s="12"/>
      <c r="P6" s="2" t="str">
        <f t="shared" si="0"/>
        <v/>
      </c>
      <c r="Q6" s="12"/>
      <c r="R6" s="3" t="str">
        <f t="shared" si="1"/>
        <v/>
      </c>
      <c r="S6" s="12"/>
      <c r="T6" s="12"/>
      <c r="U6" s="55"/>
      <c r="V6" s="58" t="str">
        <f>IF(U6="","",((H6/2)-U6)*100/(H6/2))</f>
        <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1044134</v>
      </c>
      <c r="G7" s="1">
        <f t="shared" si="4"/>
        <v>101</v>
      </c>
      <c r="H7" s="1">
        <f t="shared" si="5"/>
        <v>140</v>
      </c>
      <c r="I7" s="12"/>
      <c r="J7" s="12"/>
      <c r="K7" s="12"/>
      <c r="L7" s="12"/>
      <c r="M7" s="12"/>
      <c r="N7" s="12"/>
      <c r="O7" s="12"/>
      <c r="P7" s="2" t="str">
        <f t="shared" si="0"/>
        <v/>
      </c>
      <c r="Q7" s="12"/>
      <c r="R7" s="3" t="str">
        <f t="shared" si="1"/>
        <v/>
      </c>
      <c r="S7" s="12"/>
      <c r="T7" s="12"/>
      <c r="U7" s="55"/>
      <c r="V7" s="58" t="str">
        <f t="shared" ref="V7:V54" si="14">IF(U7="","",((H7/2)-U7)*100/(H7/2))</f>
        <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1044134</v>
      </c>
      <c r="G8" s="1">
        <f t="shared" si="4"/>
        <v>101</v>
      </c>
      <c r="H8" s="1">
        <f t="shared" si="5"/>
        <v>140</v>
      </c>
      <c r="I8" s="12"/>
      <c r="J8" s="12"/>
      <c r="K8" s="12"/>
      <c r="L8" s="12"/>
      <c r="M8" s="12"/>
      <c r="N8" s="12"/>
      <c r="O8" s="12"/>
      <c r="P8" s="2" t="str">
        <f t="shared" si="0"/>
        <v/>
      </c>
      <c r="Q8" s="12"/>
      <c r="R8" s="3" t="str">
        <f t="shared" si="1"/>
        <v/>
      </c>
      <c r="S8" s="12"/>
      <c r="T8" s="12"/>
      <c r="U8" s="55"/>
      <c r="V8" s="58" t="str">
        <f t="shared" si="14"/>
        <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1044134</v>
      </c>
      <c r="G9" s="1">
        <f t="shared" si="4"/>
        <v>101</v>
      </c>
      <c r="H9" s="1">
        <f t="shared" si="5"/>
        <v>140</v>
      </c>
      <c r="I9" s="12"/>
      <c r="J9" s="12"/>
      <c r="K9" s="12"/>
      <c r="L9" s="12"/>
      <c r="M9" s="12"/>
      <c r="N9" s="12"/>
      <c r="O9" s="12"/>
      <c r="P9" s="2" t="str">
        <f t="shared" si="0"/>
        <v/>
      </c>
      <c r="Q9" s="12"/>
      <c r="R9" s="3" t="str">
        <f t="shared" si="1"/>
        <v/>
      </c>
      <c r="S9" s="12"/>
      <c r="T9" s="12"/>
      <c r="U9" s="55"/>
      <c r="V9" s="58" t="str">
        <f t="shared" si="14"/>
        <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1044134</v>
      </c>
      <c r="G10" s="1">
        <f t="shared" si="4"/>
        <v>101</v>
      </c>
      <c r="H10" s="1">
        <f t="shared" si="5"/>
        <v>140</v>
      </c>
      <c r="I10" s="12"/>
      <c r="J10" s="12"/>
      <c r="K10" s="12"/>
      <c r="L10" s="12"/>
      <c r="M10" s="12"/>
      <c r="N10" s="12"/>
      <c r="O10" s="12"/>
      <c r="P10" s="2" t="str">
        <f t="shared" si="0"/>
        <v/>
      </c>
      <c r="Q10" s="12"/>
      <c r="R10" s="3" t="str">
        <f t="shared" si="1"/>
        <v/>
      </c>
      <c r="S10" s="12"/>
      <c r="T10" s="12"/>
      <c r="U10" s="55"/>
      <c r="V10" s="58" t="str">
        <f t="shared" si="14"/>
        <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6</v>
      </c>
      <c r="B11" s="49" t="s">
        <v>121</v>
      </c>
      <c r="C11" s="49" t="s">
        <v>139</v>
      </c>
      <c r="D11" s="49" t="s">
        <v>140</v>
      </c>
      <c r="E11" s="50" t="s">
        <v>141</v>
      </c>
      <c r="F11" s="15">
        <v>1044134</v>
      </c>
      <c r="G11" s="1">
        <f t="shared" si="4"/>
        <v>101</v>
      </c>
      <c r="H11" s="1">
        <f t="shared" si="5"/>
        <v>140</v>
      </c>
      <c r="I11" s="12"/>
      <c r="J11" s="12"/>
      <c r="K11" s="12"/>
      <c r="L11" s="12"/>
      <c r="M11" s="12"/>
      <c r="N11" s="12"/>
      <c r="O11" s="12"/>
      <c r="P11" s="2" t="str">
        <f t="shared" si="0"/>
        <v/>
      </c>
      <c r="Q11" s="12"/>
      <c r="R11" s="3" t="str">
        <f t="shared" si="1"/>
        <v/>
      </c>
      <c r="S11" s="12"/>
      <c r="T11" s="12"/>
      <c r="U11" s="55"/>
      <c r="V11" s="58" t="str">
        <f t="shared" si="14"/>
        <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1044134</v>
      </c>
      <c r="G12" s="1">
        <f t="shared" si="4"/>
        <v>101</v>
      </c>
      <c r="H12" s="1">
        <f t="shared" si="5"/>
        <v>140</v>
      </c>
      <c r="I12" s="12"/>
      <c r="J12" s="12"/>
      <c r="K12" s="12"/>
      <c r="L12" s="12"/>
      <c r="M12" s="12"/>
      <c r="N12" s="12"/>
      <c r="O12" s="12"/>
      <c r="P12" s="2" t="str">
        <f t="shared" si="0"/>
        <v/>
      </c>
      <c r="Q12" s="12"/>
      <c r="R12" s="3" t="str">
        <f t="shared" si="1"/>
        <v/>
      </c>
      <c r="S12" s="12"/>
      <c r="T12" s="12"/>
      <c r="U12" s="55"/>
      <c r="V12" s="58" t="str">
        <f t="shared" si="14"/>
        <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1044134</v>
      </c>
      <c r="G13" s="1">
        <f t="shared" si="4"/>
        <v>101</v>
      </c>
      <c r="H13" s="1">
        <f t="shared" si="5"/>
        <v>140</v>
      </c>
      <c r="I13" s="12"/>
      <c r="J13" s="12"/>
      <c r="K13" s="12"/>
      <c r="L13" s="12"/>
      <c r="M13" s="12"/>
      <c r="N13" s="12"/>
      <c r="O13" s="12"/>
      <c r="P13" s="2" t="str">
        <f t="shared" si="0"/>
        <v/>
      </c>
      <c r="Q13" s="12"/>
      <c r="R13" s="3" t="str">
        <f t="shared" si="1"/>
        <v/>
      </c>
      <c r="S13" s="12"/>
      <c r="T13" s="12"/>
      <c r="U13" s="55"/>
      <c r="V13" s="58" t="str">
        <f t="shared" si="14"/>
        <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1044134</v>
      </c>
      <c r="G14" s="1">
        <f t="shared" si="4"/>
        <v>101</v>
      </c>
      <c r="H14" s="1">
        <f t="shared" si="5"/>
        <v>140</v>
      </c>
      <c r="I14" s="12"/>
      <c r="J14" s="12"/>
      <c r="K14" s="12"/>
      <c r="L14" s="12"/>
      <c r="M14" s="12"/>
      <c r="N14" s="12"/>
      <c r="O14" s="12"/>
      <c r="P14" s="2" t="str">
        <f t="shared" si="0"/>
        <v/>
      </c>
      <c r="Q14" s="12"/>
      <c r="R14" s="3" t="str">
        <f t="shared" si="1"/>
        <v/>
      </c>
      <c r="S14" s="12"/>
      <c r="T14" s="12"/>
      <c r="U14" s="55"/>
      <c r="V14" s="58" t="str">
        <f t="shared" si="14"/>
        <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6</v>
      </c>
      <c r="B15" s="49" t="s">
        <v>121</v>
      </c>
      <c r="C15" s="49" t="s">
        <v>148</v>
      </c>
      <c r="D15" s="49" t="s">
        <v>151</v>
      </c>
      <c r="E15" s="50" t="s">
        <v>152</v>
      </c>
      <c r="F15" s="15">
        <v>1044134</v>
      </c>
      <c r="G15" s="1">
        <f t="shared" si="4"/>
        <v>101</v>
      </c>
      <c r="H15" s="1">
        <f t="shared" si="5"/>
        <v>140</v>
      </c>
      <c r="I15" s="12"/>
      <c r="J15" s="12"/>
      <c r="K15" s="12"/>
      <c r="L15" s="12"/>
      <c r="M15" s="12"/>
      <c r="N15" s="12"/>
      <c r="O15" s="12"/>
      <c r="P15" s="2" t="str">
        <f t="shared" si="0"/>
        <v/>
      </c>
      <c r="Q15" s="12"/>
      <c r="R15" s="3" t="str">
        <f t="shared" si="1"/>
        <v/>
      </c>
      <c r="S15" s="12"/>
      <c r="T15" s="12"/>
      <c r="U15" s="55"/>
      <c r="V15" s="58" t="str">
        <f t="shared" si="14"/>
        <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6</v>
      </c>
      <c r="B16" s="49" t="s">
        <v>121</v>
      </c>
      <c r="C16" s="49" t="s">
        <v>153</v>
      </c>
      <c r="D16" s="49" t="s">
        <v>154</v>
      </c>
      <c r="E16" s="50" t="s">
        <v>155</v>
      </c>
      <c r="F16" s="15">
        <v>1044134</v>
      </c>
      <c r="G16" s="1">
        <f t="shared" si="4"/>
        <v>101</v>
      </c>
      <c r="H16" s="1">
        <f t="shared" si="5"/>
        <v>140</v>
      </c>
      <c r="I16" s="12"/>
      <c r="J16" s="12"/>
      <c r="K16" s="12"/>
      <c r="L16" s="12"/>
      <c r="M16" s="12"/>
      <c r="N16" s="12"/>
      <c r="O16" s="12"/>
      <c r="P16" s="2" t="str">
        <f t="shared" si="0"/>
        <v/>
      </c>
      <c r="Q16" s="12"/>
      <c r="R16" s="3" t="str">
        <f t="shared" si="1"/>
        <v/>
      </c>
      <c r="S16" s="12"/>
      <c r="T16" s="12"/>
      <c r="U16" s="55"/>
      <c r="V16" s="58" t="str">
        <f t="shared" si="14"/>
        <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1044134</v>
      </c>
      <c r="G17" s="1">
        <f t="shared" si="4"/>
        <v>101</v>
      </c>
      <c r="H17" s="1">
        <f t="shared" si="5"/>
        <v>140</v>
      </c>
      <c r="I17" s="12"/>
      <c r="J17" s="12"/>
      <c r="K17" s="12"/>
      <c r="L17" s="12"/>
      <c r="M17" s="12"/>
      <c r="N17" s="12"/>
      <c r="O17" s="12"/>
      <c r="P17" s="2" t="str">
        <f t="shared" si="0"/>
        <v/>
      </c>
      <c r="Q17" s="12"/>
      <c r="R17" s="3" t="str">
        <f t="shared" si="1"/>
        <v/>
      </c>
      <c r="S17" s="12"/>
      <c r="T17" s="12"/>
      <c r="U17" s="55"/>
      <c r="V17" s="58" t="str">
        <f t="shared" si="14"/>
        <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1044134</v>
      </c>
      <c r="G18" s="1">
        <f t="shared" si="4"/>
        <v>101</v>
      </c>
      <c r="H18" s="1">
        <f t="shared" si="5"/>
        <v>140</v>
      </c>
      <c r="I18" s="12"/>
      <c r="J18" s="12"/>
      <c r="K18" s="12"/>
      <c r="L18" s="12"/>
      <c r="M18" s="12"/>
      <c r="N18" s="12"/>
      <c r="O18" s="12"/>
      <c r="P18" s="2" t="str">
        <f t="shared" si="0"/>
        <v/>
      </c>
      <c r="Q18" s="12"/>
      <c r="R18" s="3" t="str">
        <f t="shared" si="1"/>
        <v/>
      </c>
      <c r="S18" s="12"/>
      <c r="T18" s="12"/>
      <c r="U18" s="55"/>
      <c r="V18" s="58" t="str">
        <f t="shared" si="14"/>
        <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thickBot="1" x14ac:dyDescent="0.3">
      <c r="A19" s="49">
        <v>6</v>
      </c>
      <c r="B19" s="49" t="s">
        <v>121</v>
      </c>
      <c r="C19" s="49" t="s">
        <v>159</v>
      </c>
      <c r="D19" s="49" t="s">
        <v>151</v>
      </c>
      <c r="E19" s="50" t="s">
        <v>162</v>
      </c>
      <c r="F19" s="15">
        <v>1044134</v>
      </c>
      <c r="G19" s="1">
        <f t="shared" si="4"/>
        <v>101</v>
      </c>
      <c r="H19" s="1">
        <f t="shared" si="5"/>
        <v>140</v>
      </c>
      <c r="I19" s="12"/>
      <c r="J19" s="12"/>
      <c r="K19" s="12"/>
      <c r="L19" s="12"/>
      <c r="M19" s="12"/>
      <c r="N19" s="12"/>
      <c r="O19" s="12"/>
      <c r="P19" s="2" t="str">
        <f t="shared" si="0"/>
        <v/>
      </c>
      <c r="Q19" s="12"/>
      <c r="R19" s="3" t="str">
        <f t="shared" si="1"/>
        <v/>
      </c>
      <c r="S19" s="12"/>
      <c r="T19" s="12"/>
      <c r="U19" s="55"/>
      <c r="V19" s="58" t="str">
        <f t="shared" si="14"/>
        <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thickBot="1" x14ac:dyDescent="0.3">
      <c r="A20" s="49">
        <v>6</v>
      </c>
      <c r="B20" s="49" t="s">
        <v>121</v>
      </c>
      <c r="C20" s="49" t="s">
        <v>163</v>
      </c>
      <c r="D20" s="49" t="s">
        <v>164</v>
      </c>
      <c r="E20" s="50" t="s">
        <v>165</v>
      </c>
      <c r="F20" s="15">
        <v>1044134</v>
      </c>
      <c r="G20" s="1">
        <f t="shared" si="4"/>
        <v>101</v>
      </c>
      <c r="H20" s="1">
        <f t="shared" si="5"/>
        <v>140</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6</v>
      </c>
      <c r="B21" s="49" t="s">
        <v>121</v>
      </c>
      <c r="C21" s="49" t="s">
        <v>166</v>
      </c>
      <c r="D21" s="49" t="s">
        <v>167</v>
      </c>
      <c r="E21" s="50" t="s">
        <v>168</v>
      </c>
      <c r="F21" s="15">
        <v>1044134</v>
      </c>
      <c r="G21" s="1">
        <f t="shared" si="4"/>
        <v>101</v>
      </c>
      <c r="H21" s="1">
        <f t="shared" si="5"/>
        <v>140</v>
      </c>
      <c r="I21" s="12"/>
      <c r="J21" s="12"/>
      <c r="K21" s="12"/>
      <c r="L21" s="12"/>
      <c r="M21" s="12"/>
      <c r="N21" s="12"/>
      <c r="O21" s="12"/>
      <c r="P21" s="2" t="str">
        <f t="shared" si="0"/>
        <v/>
      </c>
      <c r="Q21" s="12"/>
      <c r="R21" s="3" t="str">
        <f t="shared" si="1"/>
        <v/>
      </c>
      <c r="S21" s="12"/>
      <c r="T21" s="12"/>
      <c r="U21" s="55"/>
      <c r="V21" s="58" t="str">
        <f t="shared" si="14"/>
        <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6</v>
      </c>
      <c r="B22" s="49" t="s">
        <v>121</v>
      </c>
      <c r="C22" s="49" t="s">
        <v>169</v>
      </c>
      <c r="D22" s="49" t="s">
        <v>151</v>
      </c>
      <c r="E22" s="50" t="s">
        <v>170</v>
      </c>
      <c r="F22" s="15">
        <v>1044134</v>
      </c>
      <c r="G22" s="1">
        <f t="shared" si="4"/>
        <v>101</v>
      </c>
      <c r="H22" s="1">
        <f t="shared" si="5"/>
        <v>140</v>
      </c>
      <c r="I22" s="12"/>
      <c r="J22" s="12"/>
      <c r="K22" s="12"/>
      <c r="L22" s="12"/>
      <c r="M22" s="12"/>
      <c r="N22" s="12"/>
      <c r="O22" s="12"/>
      <c r="P22" s="2" t="str">
        <f t="shared" si="0"/>
        <v/>
      </c>
      <c r="Q22" s="12"/>
      <c r="R22" s="3" t="str">
        <f t="shared" si="1"/>
        <v/>
      </c>
      <c r="S22" s="12"/>
      <c r="T22" s="12"/>
      <c r="U22" s="55"/>
      <c r="V22" s="58" t="str">
        <f t="shared" si="14"/>
        <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thickBot="1" x14ac:dyDescent="0.3">
      <c r="A23" s="49">
        <v>6</v>
      </c>
      <c r="B23" s="49" t="s">
        <v>121</v>
      </c>
      <c r="C23" s="49" t="s">
        <v>171</v>
      </c>
      <c r="D23" s="49" t="s">
        <v>131</v>
      </c>
      <c r="E23" s="50" t="s">
        <v>172</v>
      </c>
      <c r="F23" s="15">
        <v>1044134</v>
      </c>
      <c r="G23" s="1">
        <f t="shared" si="4"/>
        <v>101</v>
      </c>
      <c r="H23" s="1">
        <f t="shared" si="5"/>
        <v>140</v>
      </c>
      <c r="I23" s="12"/>
      <c r="J23" s="12"/>
      <c r="K23" s="12"/>
      <c r="L23" s="12"/>
      <c r="M23" s="12"/>
      <c r="N23" s="12"/>
      <c r="O23" s="12"/>
      <c r="P23" s="2" t="str">
        <f t="shared" si="0"/>
        <v/>
      </c>
      <c r="Q23" s="12"/>
      <c r="R23" s="3" t="str">
        <f t="shared" si="1"/>
        <v/>
      </c>
      <c r="S23" s="12"/>
      <c r="T23" s="12"/>
      <c r="U23" s="55"/>
      <c r="V23" s="58" t="str">
        <f t="shared" si="14"/>
        <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thickBot="1" x14ac:dyDescent="0.3">
      <c r="A24" s="49">
        <v>6</v>
      </c>
      <c r="B24" s="49" t="s">
        <v>121</v>
      </c>
      <c r="C24" s="49" t="s">
        <v>173</v>
      </c>
      <c r="D24" s="49" t="s">
        <v>174</v>
      </c>
      <c r="E24" s="50" t="s">
        <v>175</v>
      </c>
      <c r="F24" s="15">
        <v>1044134</v>
      </c>
      <c r="G24" s="1">
        <f t="shared" si="4"/>
        <v>101</v>
      </c>
      <c r="H24" s="1">
        <f t="shared" si="5"/>
        <v>140</v>
      </c>
      <c r="I24" s="12"/>
      <c r="J24" s="12"/>
      <c r="K24" s="12"/>
      <c r="L24" s="12"/>
      <c r="M24" s="12"/>
      <c r="N24" s="12"/>
      <c r="O24" s="12"/>
      <c r="P24" s="2" t="str">
        <f t="shared" si="0"/>
        <v/>
      </c>
      <c r="Q24" s="12"/>
      <c r="R24" s="3" t="str">
        <f t="shared" si="1"/>
        <v/>
      </c>
      <c r="S24" s="12"/>
      <c r="T24" s="12"/>
      <c r="U24" s="55"/>
      <c r="V24" s="58" t="str">
        <f t="shared" si="14"/>
        <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thickBot="1" x14ac:dyDescent="0.3">
      <c r="A25" s="49">
        <v>6</v>
      </c>
      <c r="B25" s="49" t="s">
        <v>121</v>
      </c>
      <c r="C25" s="49" t="s">
        <v>176</v>
      </c>
      <c r="D25" s="49" t="s">
        <v>177</v>
      </c>
      <c r="E25" s="50" t="s">
        <v>178</v>
      </c>
      <c r="F25" s="15">
        <v>1044134</v>
      </c>
      <c r="G25" s="1">
        <f t="shared" si="4"/>
        <v>101</v>
      </c>
      <c r="H25" s="1">
        <f t="shared" si="5"/>
        <v>140</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thickBot="1" x14ac:dyDescent="0.3">
      <c r="A26" s="49">
        <v>6</v>
      </c>
      <c r="B26" s="49" t="s">
        <v>121</v>
      </c>
      <c r="C26" s="49" t="s">
        <v>179</v>
      </c>
      <c r="D26" s="49" t="s">
        <v>180</v>
      </c>
      <c r="E26" s="50" t="s">
        <v>181</v>
      </c>
      <c r="F26" s="15">
        <v>1044134</v>
      </c>
      <c r="G26" s="1">
        <f t="shared" si="4"/>
        <v>101</v>
      </c>
      <c r="H26" s="1">
        <f t="shared" si="5"/>
        <v>140</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thickBot="1" x14ac:dyDescent="0.3">
      <c r="A27" s="49">
        <v>6</v>
      </c>
      <c r="B27" s="49" t="s">
        <v>121</v>
      </c>
      <c r="C27" s="49" t="s">
        <v>182</v>
      </c>
      <c r="D27" s="49" t="s">
        <v>183</v>
      </c>
      <c r="E27" s="50" t="s">
        <v>184</v>
      </c>
      <c r="F27" s="15">
        <v>1044134</v>
      </c>
      <c r="G27" s="1">
        <f t="shared" si="4"/>
        <v>101</v>
      </c>
      <c r="H27" s="1">
        <f t="shared" si="5"/>
        <v>140</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thickBot="1" x14ac:dyDescent="0.3">
      <c r="A28" s="49">
        <v>6</v>
      </c>
      <c r="B28" s="49" t="s">
        <v>121</v>
      </c>
      <c r="C28" s="49" t="s">
        <v>185</v>
      </c>
      <c r="D28" s="49" t="s">
        <v>126</v>
      </c>
      <c r="E28" s="50" t="s">
        <v>186</v>
      </c>
      <c r="F28" s="15">
        <v>1044134</v>
      </c>
      <c r="G28" s="1">
        <f t="shared" si="4"/>
        <v>101</v>
      </c>
      <c r="H28" s="1">
        <f t="shared" si="5"/>
        <v>140</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thickBot="1" x14ac:dyDescent="0.3">
      <c r="A29" s="49">
        <v>6</v>
      </c>
      <c r="B29" s="49" t="s">
        <v>121</v>
      </c>
      <c r="C29" s="49" t="s">
        <v>187</v>
      </c>
      <c r="D29" s="49" t="s">
        <v>188</v>
      </c>
      <c r="E29" s="50" t="s">
        <v>189</v>
      </c>
      <c r="F29" s="15">
        <v>1044134</v>
      </c>
      <c r="G29" s="1">
        <f t="shared" si="4"/>
        <v>101</v>
      </c>
      <c r="H29" s="1">
        <f t="shared" si="5"/>
        <v>140</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15">
        <v>1044134</v>
      </c>
      <c r="G30" s="1">
        <f t="shared" si="4"/>
        <v>101</v>
      </c>
      <c r="H30" s="1">
        <f t="shared" si="5"/>
        <v>140</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101</v>
      </c>
      <c r="H55" s="22">
        <f>IF(H4="","",$H$4)</f>
        <v>140</v>
      </c>
      <c r="I55" s="23" t="str">
        <f t="shared" ref="I55:V55" si="17">IFERROR(AVERAGE(I5:I54),"")</f>
        <v/>
      </c>
      <c r="J55" s="23">
        <f t="shared" si="17"/>
        <v>31</v>
      </c>
      <c r="K55" s="23">
        <f t="shared" si="17"/>
        <v>75</v>
      </c>
      <c r="L55" s="23">
        <f t="shared" si="17"/>
        <v>85</v>
      </c>
      <c r="M55" s="23" t="str">
        <f t="shared" si="17"/>
        <v/>
      </c>
      <c r="N55" s="23" t="str">
        <f t="shared" si="17"/>
        <v/>
      </c>
      <c r="O55" s="23" t="str">
        <f t="shared" si="17"/>
        <v/>
      </c>
      <c r="P55" s="23">
        <f t="shared" si="17"/>
        <v>63.666666666666664</v>
      </c>
      <c r="Q55" s="23">
        <f t="shared" si="17"/>
        <v>55</v>
      </c>
      <c r="R55" s="23">
        <f t="shared" si="17"/>
        <v>58.466666666666669</v>
      </c>
      <c r="S55" s="23" t="str">
        <f t="shared" si="17"/>
        <v/>
      </c>
      <c r="T55" s="23" t="str">
        <f t="shared" si="17"/>
        <v/>
      </c>
      <c r="U55" s="24">
        <f>IFERROR(SUM(U5:U54),"")</f>
        <v>0</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63.666666666666664</v>
      </c>
      <c r="AK55" s="23">
        <f t="shared" ref="AK55" si="21">IFERROR(AVERAGE(AK5:AK54),"")</f>
        <v>55</v>
      </c>
      <c r="AL55" s="23">
        <f t="shared" ref="AL55" si="22">IFERROR(AVERAGE(AL5:AL54),"")</f>
        <v>58.466666666666669</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1</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1</v>
      </c>
      <c r="L58" s="6">
        <f t="shared" si="27"/>
        <v>0</v>
      </c>
      <c r="M58" s="6">
        <f t="shared" si="27"/>
        <v>0</v>
      </c>
      <c r="N58" s="6">
        <f t="shared" si="27"/>
        <v>0</v>
      </c>
      <c r="O58" s="6">
        <f t="shared" si="27"/>
        <v>0</v>
      </c>
      <c r="P58" s="6">
        <f t="shared" si="27"/>
        <v>1</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v>
      </c>
      <c r="K59" s="6">
        <f t="shared" si="30"/>
        <v>0</v>
      </c>
      <c r="L59" s="6">
        <f t="shared" si="30"/>
        <v>0</v>
      </c>
      <c r="M59" s="6">
        <f t="shared" si="30"/>
        <v>0</v>
      </c>
      <c r="N59" s="6">
        <f t="shared" si="30"/>
        <v>0</v>
      </c>
      <c r="O59" s="6">
        <f t="shared" si="30"/>
        <v>0</v>
      </c>
      <c r="P59" s="6">
        <f t="shared" si="30"/>
        <v>0</v>
      </c>
      <c r="Q59" s="6">
        <f t="shared" si="30"/>
        <v>1</v>
      </c>
      <c r="R59" s="6">
        <f t="shared" si="30"/>
        <v>1</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1</v>
      </c>
      <c r="AL59" s="6">
        <f t="shared" si="30"/>
        <v>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1</v>
      </c>
      <c r="K61" s="7">
        <f t="shared" si="36"/>
        <v>1</v>
      </c>
      <c r="L61" s="7">
        <f t="shared" si="36"/>
        <v>1</v>
      </c>
      <c r="M61" s="7">
        <f t="shared" si="36"/>
        <v>0</v>
      </c>
      <c r="N61" s="7">
        <f t="shared" si="36"/>
        <v>0</v>
      </c>
      <c r="O61" s="7">
        <f t="shared" si="36"/>
        <v>0</v>
      </c>
      <c r="P61" s="7">
        <f t="shared" si="36"/>
        <v>1</v>
      </c>
      <c r="Q61" s="7">
        <f t="shared" si="36"/>
        <v>1</v>
      </c>
      <c r="R61" s="7">
        <f t="shared" si="36"/>
        <v>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1</v>
      </c>
      <c r="AK61" s="7">
        <f t="shared" si="36"/>
        <v>1</v>
      </c>
      <c r="AL61" s="7">
        <f t="shared" si="36"/>
        <v>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0</v>
      </c>
      <c r="K62" s="8">
        <f t="shared" si="39"/>
        <v>0</v>
      </c>
      <c r="L62" s="8">
        <f t="shared" si="39"/>
        <v>100</v>
      </c>
      <c r="M62" s="8" t="str">
        <f t="shared" si="39"/>
        <v/>
      </c>
      <c r="N62" s="8" t="str">
        <f t="shared" si="39"/>
        <v/>
      </c>
      <c r="O62" s="8" t="str">
        <f t="shared" si="39"/>
        <v/>
      </c>
      <c r="P62" s="8">
        <f t="shared" si="39"/>
        <v>0</v>
      </c>
      <c r="Q62" s="8">
        <f t="shared" si="39"/>
        <v>0</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0</v>
      </c>
      <c r="AK62" s="8">
        <f t="shared" si="39"/>
        <v>0</v>
      </c>
      <c r="AL62" s="8">
        <f t="shared" si="39"/>
        <v>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0</v>
      </c>
      <c r="K63" s="8">
        <f t="shared" si="42"/>
        <v>100</v>
      </c>
      <c r="L63" s="8">
        <f t="shared" si="42"/>
        <v>0</v>
      </c>
      <c r="M63" s="8" t="str">
        <f t="shared" si="42"/>
        <v/>
      </c>
      <c r="N63" s="8" t="str">
        <f t="shared" si="42"/>
        <v/>
      </c>
      <c r="O63" s="8" t="str">
        <f t="shared" si="42"/>
        <v/>
      </c>
      <c r="P63" s="8">
        <f t="shared" si="42"/>
        <v>100</v>
      </c>
      <c r="Q63" s="8">
        <f t="shared" si="42"/>
        <v>0</v>
      </c>
      <c r="R63" s="8">
        <f t="shared" si="42"/>
        <v>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100</v>
      </c>
      <c r="AK63" s="8">
        <f t="shared" si="42"/>
        <v>0</v>
      </c>
      <c r="AL63" s="8">
        <f t="shared" si="42"/>
        <v>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100</v>
      </c>
      <c r="K64" s="8">
        <f t="shared" si="45"/>
        <v>0</v>
      </c>
      <c r="L64" s="8">
        <f t="shared" si="45"/>
        <v>0</v>
      </c>
      <c r="M64" s="8" t="str">
        <f t="shared" si="45"/>
        <v/>
      </c>
      <c r="N64" s="8" t="str">
        <f t="shared" si="45"/>
        <v/>
      </c>
      <c r="O64" s="8" t="str">
        <f t="shared" si="45"/>
        <v/>
      </c>
      <c r="P64" s="8">
        <f t="shared" si="45"/>
        <v>0</v>
      </c>
      <c r="Q64" s="8">
        <f t="shared" si="45"/>
        <v>100</v>
      </c>
      <c r="R64" s="8">
        <f t="shared" si="45"/>
        <v>100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0</v>
      </c>
      <c r="AK64" s="8">
        <f t="shared" si="45"/>
        <v>100</v>
      </c>
      <c r="AL64" s="8">
        <f t="shared" si="45"/>
        <v>100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2023-07-03T14:37:43Z</dcterms:modified>
</cp:coreProperties>
</file>