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<sst xmlns="http://schemas.openxmlformats.org/spreadsheetml/2006/main" count="275" uniqueCount="205">
  <si>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</si>
  <si>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</si>
  <si>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</si>
  <si>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</si>
  <si>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</si>
  <si>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</si>
  <si>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</si>
  <si>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</si>
  <si>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</si>
  <si>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</si>
  <si>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</si>
  <si>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</si>
  <si>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</si>
  <si>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</si>
  <si>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</si>
  <si>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</si>
  <si>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</si>
  <si>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</si>
  <si>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</si>
  <si>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</si>
  <si>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</si>
  <si>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</si>
  <si>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</si>
  <si>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</si>
  <si>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</si>
  <si>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</si>
  <si>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</si>
  <si>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</si>
  <si>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</si>
  <si>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</si>
  <si>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</si>
  <si>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</si>
  <si>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</si>
  <si>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</si>
  <si>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</si>
  <si>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</si>
  <si>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</si>
  <si>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</si>
  <si>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</si>
  <si>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</si>
  <si>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</si>
  <si>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</si>
  <si>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</si>
  <si>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</si>
  <si>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</si>
  <si>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</si>
  <si>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</si>
  <si>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</si>
  <si>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</si>
  <si>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</si>
  <si>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</si>
  <si>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</si>
  <si>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</si>
  <si>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</si>
  <si>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</si>
  <si>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</si>
  <si>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</si>
  <si>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</si>
  <si>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</si>
  <si>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</si>
  <si>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</si>
  <si>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</si>
  <si>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</si>
  <si>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</si>
  <si>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</si>
  <si>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</si>
  <si>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</si>
  <si>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</si>
  <si>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</si>
  <si>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</si>
  <si>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</si>
  <si>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</si>
  <si>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</si>
  <si>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</si>
  <si>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</si>
  <si>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</si>
  <si>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</si>
  <si>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</si>
  <si>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</si>
  <si>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</si>
  <si>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</si>
  <si>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</si>
  <si>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</si>
  <si>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</si>
  <si>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</si>
  <si>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</si>
  <si>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</si>
  <si>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</si>
  <si>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</si>
  <si>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</si>
  <si>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</si>
  <si>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</si>
  <si>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</si>
  <si>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</si>
  <si>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</si>
  <si>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</si>
  <si>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</si>
  <si>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</si>
  <si>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</si>
  <si>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</si>
  <si>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</si>
  <si>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</si>
  <si>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</si>
  <si>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</si>
  <si>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</si>
  <si>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</si>
  <si>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</si>
  <si>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</si>
  <si>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</si>
  <si>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</si>
  <si>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</si>
  <si>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</si>
  <si>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</si>
  <si>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</si>
  <si>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</si>
  <si>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</si>
  <si>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</si>
  <si>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</si>
  <si>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</si>
  <si>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</si>
  <si>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</si>
  <si>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A</t>
  </si>
  <si>
    <t>Abbaslı</t>
  </si>
  <si>
    <t>Zəhra</t>
  </si>
  <si>
    <t>Ceyhun</t>
  </si>
  <si>
    <t>Aslanlı</t>
  </si>
  <si>
    <t>Mədinə</t>
  </si>
  <si>
    <t>Üzeyir</t>
  </si>
  <si>
    <t>Babayev</t>
  </si>
  <si>
    <t>Paşa</t>
  </si>
  <si>
    <t>Sahil</t>
  </si>
  <si>
    <t>Babayeva</t>
  </si>
  <si>
    <t>Nəzakət</t>
  </si>
  <si>
    <t>Elvin</t>
  </si>
  <si>
    <t>Bayramova</t>
  </si>
  <si>
    <t>Mələk</t>
  </si>
  <si>
    <t>Mail</t>
  </si>
  <si>
    <t>Cəlilli</t>
  </si>
  <si>
    <t>Vüsal</t>
  </si>
  <si>
    <t>Zaur</t>
  </si>
  <si>
    <t>Cəlilzadə</t>
  </si>
  <si>
    <t>Rəcəb</t>
  </si>
  <si>
    <t>Şahmar</t>
  </si>
  <si>
    <t>Dadaşzadə</t>
  </si>
  <si>
    <t>Fərid</t>
  </si>
  <si>
    <t>Samir</t>
  </si>
  <si>
    <t>Dəmirli</t>
  </si>
  <si>
    <t>Gülay</t>
  </si>
  <si>
    <t>Rasim</t>
  </si>
  <si>
    <t>Əhmədzadə</t>
  </si>
  <si>
    <t>Əli</t>
  </si>
  <si>
    <t>Əlizadə</t>
  </si>
  <si>
    <t>Cahid</t>
  </si>
  <si>
    <t>Rasif</t>
  </si>
  <si>
    <t>Əsgərova</t>
  </si>
  <si>
    <t>Şövkət</t>
  </si>
  <si>
    <t>Pünhan</t>
  </si>
  <si>
    <t>Feyzullayev</t>
  </si>
  <si>
    <t>Mübariz</t>
  </si>
  <si>
    <t>Rəşad</t>
  </si>
  <si>
    <t>Həsənli</t>
  </si>
  <si>
    <t>Turan</t>
  </si>
  <si>
    <t>Mənsur</t>
  </si>
  <si>
    <t>Həsənova</t>
  </si>
  <si>
    <t>Ruqəyyə</t>
  </si>
  <si>
    <t>Faiq</t>
  </si>
  <si>
    <t>Hüseynli</t>
  </si>
  <si>
    <t>Rəsul</t>
  </si>
  <si>
    <t>Bəxtiyar</t>
  </si>
  <si>
    <t>Hüseynzadə</t>
  </si>
  <si>
    <t>Ayan</t>
  </si>
  <si>
    <t>Ramil</t>
  </si>
  <si>
    <t>Quliyev</t>
  </si>
  <si>
    <t>Telman</t>
  </si>
  <si>
    <t>Bilman</t>
  </si>
  <si>
    <t>Mahmudova</t>
  </si>
  <si>
    <t>Xədicə</t>
  </si>
  <si>
    <t>Nail</t>
  </si>
  <si>
    <t>Məcidova</t>
  </si>
  <si>
    <t>Leylan</t>
  </si>
  <si>
    <t>İlqar</t>
  </si>
  <si>
    <t>Məmmədova</t>
  </si>
  <si>
    <t>Nuray</t>
  </si>
  <si>
    <t>Murad</t>
  </si>
  <si>
    <t>Məmmədzadə</t>
  </si>
  <si>
    <t>Yusif</t>
  </si>
  <si>
    <t>Ruslan</t>
  </si>
  <si>
    <t>Mirzəyev</t>
  </si>
  <si>
    <t>İbrahim</t>
  </si>
  <si>
    <t>Rauf</t>
  </si>
  <si>
    <t>Nəsibli</t>
  </si>
  <si>
    <t>Musa</t>
  </si>
  <si>
    <t>Şamil</t>
  </si>
  <si>
    <t>Orucov</t>
  </si>
  <si>
    <t>Niyət</t>
  </si>
  <si>
    <t>Gülağa</t>
  </si>
  <si>
    <t>Rəhmanlı</t>
  </si>
  <si>
    <t>Səidə</t>
  </si>
  <si>
    <t>Arzu</t>
  </si>
  <si>
    <t>Sadiqli</t>
  </si>
  <si>
    <t>Tunar</t>
  </si>
  <si>
    <t>Sadiq</t>
  </si>
  <si>
    <t>Şərifli</t>
  </si>
  <si>
    <t>Kənan</t>
  </si>
  <si>
    <t>Cavidan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</si>
</sst>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14.285714285714286</c:v>
                </c:pt>
                <c:pt idx="7">
                  <c:v>0</c:v>
                </c:pt>
                <c:pt idx="8">
                  <c:v>14.285714285714286</c:v>
                </c:pt>
                <c:pt idx="9">
                  <c:v>0</c:v>
                </c:pt>
                <c:pt idx="10">
                  <c:v>0</c:v>
                </c:pt>
                <c:pt idx="11">
                  <c:v>3.5714285714285716</c:v>
                </c:pt>
                <c:pt idx="12">
                  <c:v>0</c:v>
                </c:pt>
                <c:pt idx="13">
                  <c:v>3.5714285714285716</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17.857142857142858</c:v>
                </c:pt>
                <c:pt idx="1">
                  <c:v>21.428571428571427</c:v>
                </c:pt>
                <c:pt idx="2">
                  <c:v>0</c:v>
                </c:pt>
                <c:pt idx="3">
                  <c:v>21.428571428571427</c:v>
                </c:pt>
                <c:pt idx="4">
                  <c:v>0</c:v>
                </c:pt>
                <c:pt idx="5">
                  <c:v>0</c:v>
                </c:pt>
                <c:pt idx="6">
                  <c:v>32.142857142857146</c:v>
                </c:pt>
                <c:pt idx="7">
                  <c:v>0</c:v>
                </c:pt>
                <c:pt idx="8">
                  <c:v>32.142857142857146</c:v>
                </c:pt>
                <c:pt idx="9">
                  <c:v>0</c:v>
                </c:pt>
                <c:pt idx="10">
                  <c:v>0</c:v>
                </c:pt>
                <c:pt idx="11">
                  <c:v>42.857142857142854</c:v>
                </c:pt>
                <c:pt idx="12">
                  <c:v>0</c:v>
                </c:pt>
                <c:pt idx="13">
                  <c:v>42.857142857142854</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82.142857142857139</c:v>
                </c:pt>
                <c:pt idx="1">
                  <c:v>78.571428571428569</c:v>
                </c:pt>
                <c:pt idx="2">
                  <c:v>0</c:v>
                </c:pt>
                <c:pt idx="3">
                  <c:v>78.571428571428569</c:v>
                </c:pt>
                <c:pt idx="4">
                  <c:v>0</c:v>
                </c:pt>
                <c:pt idx="5">
                  <c:v>0</c:v>
                </c:pt>
                <c:pt idx="6">
                  <c:v>53.571428571428569</c:v>
                </c:pt>
                <c:pt idx="7">
                  <c:v>0</c:v>
                </c:pt>
                <c:pt idx="8">
                  <c:v>53.571428571428569</c:v>
                </c:pt>
                <c:pt idx="9">
                  <c:v>0</c:v>
                </c:pt>
                <c:pt idx="10">
                  <c:v>0</c:v>
                </c:pt>
                <c:pt idx="11">
                  <c:v>53.571428571428569</c:v>
                </c:pt>
                <c:pt idx="12">
                  <c:v>0</c:v>
                </c:pt>
                <c:pt idx="13">
                  <c:v>53.571428571428569</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88.428571428571431</c:v>
                </c:pt>
                <c:pt idx="1">
                  <c:v>83.330357142857139</c:v>
                </c:pt>
                <c:pt idx="2">
                  <c:v>0</c:v>
                </c:pt>
                <c:pt idx="3">
                  <c:v>83.330357142857139</c:v>
                </c:pt>
                <c:pt idx="4">
                  <c:v>0</c:v>
                </c:pt>
                <c:pt idx="5">
                  <c:v>0</c:v>
                </c:pt>
                <c:pt idx="6">
                  <c:v>76.3125</c:v>
                </c:pt>
                <c:pt idx="7">
                  <c:v>0</c:v>
                </c:pt>
                <c:pt idx="8">
                  <c:v>76.3125</c:v>
                </c:pt>
                <c:pt idx="9">
                  <c:v>0</c:v>
                </c:pt>
                <c:pt idx="10">
                  <c:v>0</c:v>
                </c:pt>
                <c:pt idx="11">
                  <c:v>79.821428571428569</c:v>
                </c:pt>
                <c:pt idx="12">
                  <c:v>0</c:v>
                </c:pt>
                <c:pt idx="13">
                  <c:v>79.821428571428569</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6" zoomScaleNormal="86" workbookViewId="0">
      <pane xSplit="6" ySplit="4" topLeftCell="G5" activePane="bottomRight" state="frozen"/>
      <selection pane="topRight" activeCell="G1" sqref="G1"/>
      <selection pane="bottomLeft" activeCell="A5" sqref="A5"/>
      <selection pane="bottomRight" activeCell="K35" sqref="K35"/>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131</v>
      </c>
      <c r="H4" s="13">
        <v>68</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5</v>
      </c>
      <c r="B5" s="49" t="s">
        <v>121</v>
      </c>
      <c r="C5" s="49" t="s">
        <v>122</v>
      </c>
      <c r="D5" s="49" t="s">
        <v>123</v>
      </c>
      <c r="E5" s="50" t="s">
        <v>124</v>
      </c>
      <c r="F5" s="15">
        <v>3213294</v>
      </c>
      <c r="G5" s="16">
        <f>IF(F5="","",$G$4)</f>
        <v>131</v>
      </c>
      <c r="H5" s="16">
        <f>IF(F5="","",$H$4)</f>
        <v>68</v>
      </c>
      <c r="I5" s="17">
        <v>85</v>
      </c>
      <c r="J5" s="17">
        <v>82</v>
      </c>
      <c r="K5" s="17">
        <v>84</v>
      </c>
      <c r="L5" s="17">
        <v>83</v>
      </c>
      <c r="M5" s="17">
        <v>79</v>
      </c>
      <c r="N5" s="17"/>
      <c r="O5" s="17"/>
      <c r="P5" s="18">
        <f t="shared" ref="P5:P36" si="0">IFERROR(AVERAGE(J5:O5),"")</f>
        <v>82</v>
      </c>
      <c r="Q5" s="17"/>
      <c r="R5" s="19">
        <f t="shared" ref="R5:R36" si="1">IF(Q5="",P5,IF(P5="",Q5,P5*40/100+Q5*60/100))</f>
        <v>82</v>
      </c>
      <c r="S5" s="17"/>
      <c r="T5" s="17"/>
      <c r="U5" s="20">
        <v>0</v>
      </c>
      <c r="V5" s="57">
        <f>IF(U5="","",((H5/2)-U5)*100/(H5/2))</f>
        <v>100</v>
      </c>
      <c r="W5" s="17">
        <v>70</v>
      </c>
      <c r="X5" s="17">
        <v>69</v>
      </c>
      <c r="Y5" s="17">
        <v>52</v>
      </c>
      <c r="Z5" s="17">
        <v>67</v>
      </c>
      <c r="AA5" s="17"/>
      <c r="AB5" s="17"/>
      <c r="AC5" s="18">
        <f t="shared" ref="AC5:AC54" si="2">IFERROR(AVERAGE(W5:AB5),"")</f>
        <v>64.5</v>
      </c>
      <c r="AD5" s="17"/>
      <c r="AE5" s="19">
        <f t="shared" ref="AE5:AE54" si="3">IF(AD5="",AC5,IF(AC5="",AD5,AC5*40/100+AD5*60/100))</f>
        <v>64.5</v>
      </c>
      <c r="AF5" s="17"/>
      <c r="AG5" s="17"/>
      <c r="AH5" s="60">
        <v>0</v>
      </c>
      <c r="AI5" s="66">
        <f>IF(AH5="","",((H5/2)-AH5)*100/(H5/2))</f>
        <v>100</v>
      </c>
      <c r="AJ5" s="62">
        <f>IFERROR(AVERAGE(P5,AC5),"")</f>
        <v>73.25</v>
      </c>
      <c r="AK5" s="18" t="str">
        <f>IFERROR(AVERAGE(Q5,AD5),"")</f>
        <v/>
      </c>
      <c r="AL5" s="19">
        <f>IFERROR(AVERAGE(R5,AE5),"")</f>
        <v>73.25</v>
      </c>
      <c r="AM5" s="21">
        <f>IF(AL5&lt;=30,2,IF(AL5&lt;=60,3,IF(AL5&lt;=80,4,IF(AL5&lt;=100,5,""))))</f>
        <v>4</v>
      </c>
      <c r="AN5" s="18" t="str">
        <f>IFERROR(AVERAGE(S5,T5,AF5,AG5),"")</f>
        <v/>
      </c>
      <c r="AO5" s="17"/>
      <c r="AP5" s="25">
        <f>IF(C5="","",(U5+AH5))</f>
        <v>0</v>
      </c>
      <c r="AQ5" s="26">
        <f>IF(AP5="","",(H5-AP5)*100/H5)</f>
        <v>100</v>
      </c>
    </row>
    <row r="6" spans="1:43" ht="18.2" customHeight="1" thickBot="1" x14ac:dyDescent="0.3">
      <c r="A6" s="49">
        <v>5</v>
      </c>
      <c r="B6" s="49" t="s">
        <v>121</v>
      </c>
      <c r="C6" s="49" t="s">
        <v>125</v>
      </c>
      <c r="D6" s="49" t="s">
        <v>126</v>
      </c>
      <c r="E6" s="50" t="s">
        <v>127</v>
      </c>
      <c r="F6" s="15">
        <v>3213294</v>
      </c>
      <c r="G6" s="1">
        <f t="shared" ref="G6:G54" si="4">IF(F6="","",$G$4)</f>
        <v>131</v>
      </c>
      <c r="H6" s="1">
        <f t="shared" ref="H6:H54" si="5">IF(F6="","",$H$4)</f>
        <v>68</v>
      </c>
      <c r="I6" s="12">
        <v>86</v>
      </c>
      <c r="J6" s="12">
        <v>81</v>
      </c>
      <c r="K6" s="12">
        <v>82</v>
      </c>
      <c r="L6" s="12">
        <v>82</v>
      </c>
      <c r="M6" s="12">
        <v>84</v>
      </c>
      <c r="N6" s="12"/>
      <c r="O6" s="12"/>
      <c r="P6" s="2">
        <f t="shared" si="0"/>
        <v>82.25</v>
      </c>
      <c r="Q6" s="12"/>
      <c r="R6" s="3">
        <f t="shared" si="1"/>
        <v>82.25</v>
      </c>
      <c r="S6" s="12"/>
      <c r="T6" s="12"/>
      <c r="U6" s="55">
        <v>0</v>
      </c>
      <c r="V6" s="58">
        <f>IF(U6="","",((H6/2)-U6)*100/(H6/2))</f>
        <v>100</v>
      </c>
      <c r="W6" s="56">
        <v>77</v>
      </c>
      <c r="X6" s="12">
        <v>64</v>
      </c>
      <c r="Y6" s="12">
        <v>60</v>
      </c>
      <c r="Z6" s="12">
        <v>67</v>
      </c>
      <c r="AA6" s="12"/>
      <c r="AB6" s="12"/>
      <c r="AC6" s="2">
        <f t="shared" si="2"/>
        <v>67</v>
      </c>
      <c r="AD6" s="12"/>
      <c r="AE6" s="3">
        <f t="shared" si="3"/>
        <v>67</v>
      </c>
      <c r="AF6" s="12"/>
      <c r="AG6" s="12"/>
      <c r="AH6" s="55">
        <v>0</v>
      </c>
      <c r="AI6" s="58">
        <f t="shared" ref="AI6:AI54" si="6">IF(AH6="","",((H6/2)-AH6)*100/(H6/2))</f>
        <v>100</v>
      </c>
      <c r="AJ6" s="63">
        <f t="shared" ref="AJ6:AJ54" si="7">IFERROR(AVERAGE(P6,AC6),"")</f>
        <v>74.625</v>
      </c>
      <c r="AK6" s="2" t="str">
        <f t="shared" ref="AK6:AK54" si="8">IFERROR(AVERAGE(Q6,AD6),"")</f>
        <v/>
      </c>
      <c r="AL6" s="3">
        <f t="shared" ref="AL6:AL54" si="9">IFERROR(AVERAGE(R6,AE6),"")</f>
        <v>74.625</v>
      </c>
      <c r="AM6" s="4">
        <f t="shared" ref="AM6:AM54" si="10">IF(AL6&lt;=30,2,IF(AL6&lt;=60,3,IF(AL6&lt;=80,4,IF(AL6&lt;=100,5,""))))</f>
        <v>4</v>
      </c>
      <c r="AN6" s="2" t="str">
        <f t="shared" ref="AN6:AN54" si="11">IFERROR(AVERAGE(S6,T6,AF6,AG6),"")</f>
        <v/>
      </c>
      <c r="AO6" s="12"/>
      <c r="AP6" s="5">
        <f t="shared" ref="AP6:AP54" si="12">IF(C6="","",(U6+AH6))</f>
        <v>0</v>
      </c>
      <c r="AQ6" s="28">
        <f t="shared" ref="AQ6:AQ54" si="13">IF(AP6="","",(H6-AP6)*100/H6)</f>
        <v>100</v>
      </c>
    </row>
    <row r="7" spans="1:43" ht="18.2" customHeight="1" thickBot="1" x14ac:dyDescent="0.3">
      <c r="A7" s="49">
        <v>5</v>
      </c>
      <c r="B7" s="49" t="s">
        <v>121</v>
      </c>
      <c r="C7" s="49" t="s">
        <v>128</v>
      </c>
      <c r="D7" s="49" t="s">
        <v>129</v>
      </c>
      <c r="E7" s="50" t="s">
        <v>130</v>
      </c>
      <c r="F7" s="15">
        <v>3213294</v>
      </c>
      <c r="G7" s="1">
        <f t="shared" si="4"/>
        <v>131</v>
      </c>
      <c r="H7" s="1">
        <f t="shared" si="5"/>
        <v>68</v>
      </c>
      <c r="I7" s="12">
        <v>93</v>
      </c>
      <c r="J7" s="12">
        <v>92</v>
      </c>
      <c r="K7" s="12">
        <v>97</v>
      </c>
      <c r="L7" s="12">
        <v>94</v>
      </c>
      <c r="M7" s="12">
        <v>92</v>
      </c>
      <c r="N7" s="12"/>
      <c r="O7" s="12"/>
      <c r="P7" s="2">
        <f t="shared" si="0"/>
        <v>93.75</v>
      </c>
      <c r="Q7" s="12"/>
      <c r="R7" s="3">
        <f t="shared" si="1"/>
        <v>93.75</v>
      </c>
      <c r="S7" s="12"/>
      <c r="T7" s="12"/>
      <c r="U7" s="55">
        <v>0</v>
      </c>
      <c r="V7" s="58">
        <f t="shared" ref="V7:V54" si="14">IF(U7="","",((H7/2)-U7)*100/(H7/2))</f>
        <v>100</v>
      </c>
      <c r="W7" s="56">
        <v>93</v>
      </c>
      <c r="X7" s="12">
        <v>81</v>
      </c>
      <c r="Y7" s="12">
        <v>84</v>
      </c>
      <c r="Z7" s="12">
        <v>92</v>
      </c>
      <c r="AA7" s="12"/>
      <c r="AB7" s="12"/>
      <c r="AC7" s="2">
        <f t="shared" si="2"/>
        <v>87.5</v>
      </c>
      <c r="AD7" s="12"/>
      <c r="AE7" s="3">
        <f t="shared" si="3"/>
        <v>87.5</v>
      </c>
      <c r="AF7" s="12"/>
      <c r="AG7" s="12"/>
      <c r="AH7" s="55">
        <v>0</v>
      </c>
      <c r="AI7" s="58">
        <f t="shared" si="6"/>
        <v>100</v>
      </c>
      <c r="AJ7" s="63">
        <f>IFERROR(AVERAGE(P7,AC7),"")</f>
        <v>90.625</v>
      </c>
      <c r="AK7" s="2" t="str">
        <f t="shared" si="8"/>
        <v/>
      </c>
      <c r="AL7" s="3">
        <f t="shared" si="9"/>
        <v>90.625</v>
      </c>
      <c r="AM7" s="4">
        <f t="shared" si="10"/>
        <v>5</v>
      </c>
      <c r="AN7" s="2" t="str">
        <f t="shared" si="11"/>
        <v/>
      </c>
      <c r="AO7" s="12"/>
      <c r="AP7" s="5">
        <f t="shared" si="12"/>
        <v>0</v>
      </c>
      <c r="AQ7" s="28">
        <f t="shared" si="13"/>
        <v>100</v>
      </c>
    </row>
    <row r="8" spans="1:43" ht="18.2" customHeight="1" thickBot="1" x14ac:dyDescent="0.3">
      <c r="A8" s="49">
        <v>5</v>
      </c>
      <c r="B8" s="49" t="s">
        <v>121</v>
      </c>
      <c r="C8" s="49" t="s">
        <v>131</v>
      </c>
      <c r="D8" s="49" t="s">
        <v>132</v>
      </c>
      <c r="E8" s="50" t="s">
        <v>133</v>
      </c>
      <c r="F8" s="15">
        <v>3213294</v>
      </c>
      <c r="G8" s="1">
        <f t="shared" si="4"/>
        <v>131</v>
      </c>
      <c r="H8" s="1">
        <f t="shared" si="5"/>
        <v>68</v>
      </c>
      <c r="I8" s="12">
        <v>85</v>
      </c>
      <c r="J8" s="12">
        <v>82</v>
      </c>
      <c r="K8" s="12">
        <v>83</v>
      </c>
      <c r="L8" s="12">
        <v>87</v>
      </c>
      <c r="M8" s="12">
        <v>87</v>
      </c>
      <c r="N8" s="12"/>
      <c r="O8" s="12"/>
      <c r="P8" s="2">
        <f t="shared" si="0"/>
        <v>84.75</v>
      </c>
      <c r="Q8" s="12"/>
      <c r="R8" s="3">
        <f t="shared" si="1"/>
        <v>84.75</v>
      </c>
      <c r="S8" s="12"/>
      <c r="T8" s="12"/>
      <c r="U8" s="55">
        <v>0</v>
      </c>
      <c r="V8" s="58">
        <f t="shared" si="14"/>
        <v>100</v>
      </c>
      <c r="W8" s="56">
        <v>81</v>
      </c>
      <c r="X8" s="12">
        <v>74</v>
      </c>
      <c r="Y8" s="12">
        <v>100</v>
      </c>
      <c r="Z8" s="12">
        <v>97</v>
      </c>
      <c r="AA8" s="12"/>
      <c r="AB8" s="12"/>
      <c r="AC8" s="2">
        <f t="shared" si="2"/>
        <v>88</v>
      </c>
      <c r="AD8" s="12"/>
      <c r="AE8" s="3">
        <f t="shared" si="3"/>
        <v>88</v>
      </c>
      <c r="AF8" s="12"/>
      <c r="AG8" s="12"/>
      <c r="AH8" s="55">
        <v>0</v>
      </c>
      <c r="AI8" s="58">
        <f t="shared" si="6"/>
        <v>100</v>
      </c>
      <c r="AJ8" s="63">
        <f t="shared" si="7"/>
        <v>86.375</v>
      </c>
      <c r="AK8" s="2" t="str">
        <f t="shared" si="8"/>
        <v/>
      </c>
      <c r="AL8" s="3">
        <f t="shared" si="9"/>
        <v>86.375</v>
      </c>
      <c r="AM8" s="4">
        <f t="shared" si="10"/>
        <v>5</v>
      </c>
      <c r="AN8" s="2" t="str">
        <f t="shared" si="11"/>
        <v/>
      </c>
      <c r="AO8" s="12"/>
      <c r="AP8" s="5">
        <f t="shared" si="12"/>
        <v>0</v>
      </c>
      <c r="AQ8" s="28">
        <f t="shared" si="13"/>
        <v>100</v>
      </c>
    </row>
    <row r="9" spans="1:43" ht="18.2" customHeight="1" thickBot="1" x14ac:dyDescent="0.3">
      <c r="A9" s="49">
        <v>5</v>
      </c>
      <c r="B9" s="49" t="s">
        <v>121</v>
      </c>
      <c r="C9" s="49" t="s">
        <v>134</v>
      </c>
      <c r="D9" s="49" t="s">
        <v>135</v>
      </c>
      <c r="E9" s="50" t="s">
        <v>136</v>
      </c>
      <c r="F9" s="15">
        <v>3213294</v>
      </c>
      <c r="G9" s="1">
        <f t="shared" si="4"/>
        <v>131</v>
      </c>
      <c r="H9" s="1">
        <f t="shared" si="5"/>
        <v>68</v>
      </c>
      <c r="I9" s="12">
        <v>85</v>
      </c>
      <c r="J9" s="12">
        <v>84</v>
      </c>
      <c r="K9" s="12">
        <v>82</v>
      </c>
      <c r="L9" s="12">
        <v>84</v>
      </c>
      <c r="M9" s="12">
        <v>83</v>
      </c>
      <c r="N9" s="12"/>
      <c r="O9" s="12"/>
      <c r="P9" s="2">
        <f t="shared" si="0"/>
        <v>83.25</v>
      </c>
      <c r="Q9" s="12"/>
      <c r="R9" s="3">
        <f t="shared" si="1"/>
        <v>83.25</v>
      </c>
      <c r="S9" s="12"/>
      <c r="T9" s="12"/>
      <c r="U9" s="55">
        <v>0</v>
      </c>
      <c r="V9" s="58">
        <f t="shared" si="14"/>
        <v>100</v>
      </c>
      <c r="W9" s="56">
        <v>82</v>
      </c>
      <c r="X9" s="12">
        <v>81</v>
      </c>
      <c r="Y9" s="12">
        <v>100</v>
      </c>
      <c r="Z9" s="12">
        <v>98</v>
      </c>
      <c r="AA9" s="12"/>
      <c r="AB9" s="12"/>
      <c r="AC9" s="2">
        <f t="shared" si="2"/>
        <v>90.25</v>
      </c>
      <c r="AD9" s="12"/>
      <c r="AE9" s="3">
        <f t="shared" si="3"/>
        <v>90.25</v>
      </c>
      <c r="AF9" s="12"/>
      <c r="AG9" s="12"/>
      <c r="AH9" s="55">
        <v>0</v>
      </c>
      <c r="AI9" s="58">
        <f t="shared" si="6"/>
        <v>100</v>
      </c>
      <c r="AJ9" s="63">
        <f t="shared" si="7"/>
        <v>86.75</v>
      </c>
      <c r="AK9" s="2" t="str">
        <f t="shared" si="8"/>
        <v/>
      </c>
      <c r="AL9" s="3">
        <f t="shared" si="9"/>
        <v>86.75</v>
      </c>
      <c r="AM9" s="4">
        <f t="shared" si="10"/>
        <v>5</v>
      </c>
      <c r="AN9" s="2" t="str">
        <f t="shared" si="11"/>
        <v/>
      </c>
      <c r="AO9" s="12"/>
      <c r="AP9" s="5">
        <f t="shared" si="12"/>
        <v>0</v>
      </c>
      <c r="AQ9" s="28">
        <f t="shared" si="13"/>
        <v>100</v>
      </c>
    </row>
    <row r="10" spans="1:43" ht="18.2" customHeight="1" thickBot="1" x14ac:dyDescent="0.3">
      <c r="A10" s="49">
        <v>5</v>
      </c>
      <c r="B10" s="49" t="s">
        <v>121</v>
      </c>
      <c r="C10" s="49" t="s">
        <v>137</v>
      </c>
      <c r="D10" s="49" t="s">
        <v>138</v>
      </c>
      <c r="E10" s="50" t="s">
        <v>139</v>
      </c>
      <c r="F10" s="15">
        <v>3213294</v>
      </c>
      <c r="G10" s="1">
        <f t="shared" si="4"/>
        <v>131</v>
      </c>
      <c r="H10" s="1">
        <f t="shared" si="5"/>
        <v>68</v>
      </c>
      <c r="I10" s="12">
        <v>80</v>
      </c>
      <c r="J10" s="12">
        <v>82</v>
      </c>
      <c r="K10" s="12">
        <v>81</v>
      </c>
      <c r="L10" s="12">
        <v>85</v>
      </c>
      <c r="M10" s="12">
        <v>86</v>
      </c>
      <c r="N10" s="12"/>
      <c r="O10" s="12"/>
      <c r="P10" s="2">
        <f t="shared" si="0"/>
        <v>83.5</v>
      </c>
      <c r="Q10" s="12"/>
      <c r="R10" s="3">
        <f t="shared" si="1"/>
        <v>83.5</v>
      </c>
      <c r="S10" s="12"/>
      <c r="T10" s="12"/>
      <c r="U10" s="55">
        <v>0</v>
      </c>
      <c r="V10" s="58">
        <f t="shared" si="14"/>
        <v>100</v>
      </c>
      <c r="W10" s="56">
        <v>84</v>
      </c>
      <c r="X10" s="12">
        <v>63</v>
      </c>
      <c r="Y10" s="12">
        <v>70</v>
      </c>
      <c r="Z10" s="12">
        <v>77</v>
      </c>
      <c r="AA10" s="12"/>
      <c r="AB10" s="12"/>
      <c r="AC10" s="2">
        <f t="shared" si="2"/>
        <v>73.5</v>
      </c>
      <c r="AD10" s="12"/>
      <c r="AE10" s="3">
        <f t="shared" si="3"/>
        <v>73.5</v>
      </c>
      <c r="AF10" s="12"/>
      <c r="AG10" s="12"/>
      <c r="AH10" s="55">
        <v>0</v>
      </c>
      <c r="AI10" s="58">
        <f t="shared" si="6"/>
        <v>100</v>
      </c>
      <c r="AJ10" s="63">
        <f t="shared" si="7"/>
        <v>78.5</v>
      </c>
      <c r="AK10" s="2" t="str">
        <f t="shared" si="8"/>
        <v/>
      </c>
      <c r="AL10" s="3">
        <f t="shared" si="9"/>
        <v>78.5</v>
      </c>
      <c r="AM10" s="4">
        <f t="shared" si="10"/>
        <v>4</v>
      </c>
      <c r="AN10" s="2" t="str">
        <f t="shared" si="11"/>
        <v/>
      </c>
      <c r="AO10" s="12"/>
      <c r="AP10" s="5">
        <f t="shared" si="12"/>
        <v>0</v>
      </c>
      <c r="AQ10" s="28">
        <f t="shared" si="13"/>
        <v>100</v>
      </c>
    </row>
    <row r="11" spans="1:43" ht="18.2" customHeight="1" x14ac:dyDescent="0.25">
      <c r="A11" s="49">
        <v>5</v>
      </c>
      <c r="B11" s="49" t="s">
        <v>121</v>
      </c>
      <c r="C11" s="49" t="s">
        <v>140</v>
      </c>
      <c r="D11" s="49" t="s">
        <v>141</v>
      </c>
      <c r="E11" s="50" t="s">
        <v>142</v>
      </c>
      <c r="F11" s="15">
        <v>3213294</v>
      </c>
      <c r="G11" s="1">
        <f t="shared" si="4"/>
        <v>131</v>
      </c>
      <c r="H11" s="1">
        <f t="shared" si="5"/>
        <v>68</v>
      </c>
      <c r="I11" s="12">
        <v>80</v>
      </c>
      <c r="J11" s="12">
        <v>84</v>
      </c>
      <c r="K11" s="12">
        <v>87</v>
      </c>
      <c r="L11" s="12">
        <v>87</v>
      </c>
      <c r="M11" s="12">
        <v>87</v>
      </c>
      <c r="N11" s="12"/>
      <c r="O11" s="12"/>
      <c r="P11" s="2">
        <f t="shared" si="0"/>
        <v>86.25</v>
      </c>
      <c r="Q11" s="12"/>
      <c r="R11" s="3">
        <f t="shared" si="1"/>
        <v>86.25</v>
      </c>
      <c r="S11" s="12"/>
      <c r="T11" s="12"/>
      <c r="U11" s="55">
        <v>0</v>
      </c>
      <c r="V11" s="58">
        <f t="shared" si="14"/>
        <v>100</v>
      </c>
      <c r="W11" s="56">
        <v>72</v>
      </c>
      <c r="X11" s="12">
        <v>83</v>
      </c>
      <c r="Y11" s="12">
        <v>84</v>
      </c>
      <c r="Z11" s="12">
        <v>87</v>
      </c>
      <c r="AA11" s="12"/>
      <c r="AB11" s="12"/>
      <c r="AC11" s="2">
        <f t="shared" si="2"/>
        <v>81.5</v>
      </c>
      <c r="AD11" s="12"/>
      <c r="AE11" s="3">
        <f t="shared" si="3"/>
        <v>81.5</v>
      </c>
      <c r="AF11" s="12"/>
      <c r="AG11" s="12"/>
      <c r="AH11" s="55">
        <v>0</v>
      </c>
      <c r="AI11" s="58">
        <f t="shared" si="6"/>
        <v>100</v>
      </c>
      <c r="AJ11" s="63">
        <f t="shared" si="7"/>
        <v>83.875</v>
      </c>
      <c r="AK11" s="2" t="str">
        <f t="shared" si="8"/>
        <v/>
      </c>
      <c r="AL11" s="3">
        <f t="shared" si="9"/>
        <v>83.875</v>
      </c>
      <c r="AM11" s="4">
        <f t="shared" si="10"/>
        <v>5</v>
      </c>
      <c r="AN11" s="2" t="str">
        <f t="shared" si="11"/>
        <v/>
      </c>
      <c r="AO11" s="12"/>
      <c r="AP11" s="5">
        <f t="shared" si="12"/>
        <v>0</v>
      </c>
      <c r="AQ11" s="28">
        <f t="shared" si="13"/>
        <v>100</v>
      </c>
    </row>
    <row r="12" spans="1:43" ht="18.2" customHeight="1" x14ac:dyDescent="0.25">
      <c r="A12" s="49">
        <v>5</v>
      </c>
      <c r="B12" s="49" t="s">
        <v>121</v>
      </c>
      <c r="C12" s="49" t="s">
        <v>143</v>
      </c>
      <c r="D12" s="49" t="s">
        <v>144</v>
      </c>
      <c r="E12" s="50" t="s">
        <v>145</v>
      </c>
      <c r="F12" s="27">
        <v>4268429</v>
      </c>
      <c r="G12" s="1">
        <f t="shared" si="4"/>
        <v>131</v>
      </c>
      <c r="H12" s="1">
        <f t="shared" si="5"/>
        <v>68</v>
      </c>
      <c r="I12" s="12">
        <v>100</v>
      </c>
      <c r="J12" s="12">
        <v>91</v>
      </c>
      <c r="K12" s="12">
        <v>88</v>
      </c>
      <c r="L12" s="12">
        <v>87</v>
      </c>
      <c r="M12" s="12">
        <v>81</v>
      </c>
      <c r="N12" s="12"/>
      <c r="O12" s="12"/>
      <c r="P12" s="2">
        <f t="shared" si="0"/>
        <v>86.75</v>
      </c>
      <c r="Q12" s="12"/>
      <c r="R12" s="3">
        <f t="shared" si="1"/>
        <v>86.75</v>
      </c>
      <c r="S12" s="12"/>
      <c r="T12" s="12"/>
      <c r="U12" s="55">
        <v>0</v>
      </c>
      <c r="V12" s="58">
        <f t="shared" si="14"/>
        <v>100</v>
      </c>
      <c r="W12" s="56">
        <v>71</v>
      </c>
      <c r="X12" s="12">
        <v>69</v>
      </c>
      <c r="Y12" s="12">
        <v>81</v>
      </c>
      <c r="Z12" s="12">
        <v>74</v>
      </c>
      <c r="AA12" s="12"/>
      <c r="AB12" s="12"/>
      <c r="AC12" s="2">
        <f t="shared" si="2"/>
        <v>73.75</v>
      </c>
      <c r="AD12" s="12"/>
      <c r="AE12" s="3">
        <f t="shared" si="3"/>
        <v>73.75</v>
      </c>
      <c r="AF12" s="12"/>
      <c r="AG12" s="12"/>
      <c r="AH12" s="55">
        <v>0</v>
      </c>
      <c r="AI12" s="58">
        <f t="shared" si="6"/>
        <v>100</v>
      </c>
      <c r="AJ12" s="63">
        <f t="shared" si="7"/>
        <v>80.25</v>
      </c>
      <c r="AK12" s="2" t="str">
        <f t="shared" si="8"/>
        <v/>
      </c>
      <c r="AL12" s="3">
        <f t="shared" si="9"/>
        <v>80.25</v>
      </c>
      <c r="AM12" s="4">
        <f t="shared" si="10"/>
        <v>5</v>
      </c>
      <c r="AN12" s="2" t="str">
        <f t="shared" si="11"/>
        <v/>
      </c>
      <c r="AO12" s="12"/>
      <c r="AP12" s="5">
        <f t="shared" si="12"/>
        <v>0</v>
      </c>
      <c r="AQ12" s="28">
        <f t="shared" si="13"/>
        <v>100</v>
      </c>
    </row>
    <row r="13" spans="1:43" ht="18.2" customHeight="1" x14ac:dyDescent="0.25">
      <c r="A13" s="49">
        <v>5</v>
      </c>
      <c r="B13" s="49" t="s">
        <v>121</v>
      </c>
      <c r="C13" s="49" t="s">
        <v>146</v>
      </c>
      <c r="D13" s="49" t="s">
        <v>147</v>
      </c>
      <c r="E13" s="50" t="s">
        <v>148</v>
      </c>
      <c r="F13" s="27">
        <v>3213294</v>
      </c>
      <c r="G13" s="1">
        <f t="shared" si="4"/>
        <v>131</v>
      </c>
      <c r="H13" s="1">
        <f t="shared" si="5"/>
        <v>68</v>
      </c>
      <c r="I13" s="12">
        <v>100</v>
      </c>
      <c r="J13" s="12">
        <v>79</v>
      </c>
      <c r="K13" s="12">
        <v>83</v>
      </c>
      <c r="L13" s="12">
        <v>86</v>
      </c>
      <c r="M13" s="12">
        <v>88</v>
      </c>
      <c r="N13" s="12"/>
      <c r="O13" s="12"/>
      <c r="P13" s="2">
        <f t="shared" si="0"/>
        <v>84</v>
      </c>
      <c r="Q13" s="12"/>
      <c r="R13" s="3">
        <f t="shared" si="1"/>
        <v>84</v>
      </c>
      <c r="S13" s="12"/>
      <c r="T13" s="12"/>
      <c r="U13" s="55">
        <v>0</v>
      </c>
      <c r="V13" s="58">
        <f t="shared" si="14"/>
        <v>100</v>
      </c>
      <c r="W13" s="56">
        <v>77</v>
      </c>
      <c r="X13" s="12">
        <v>81</v>
      </c>
      <c r="Y13" s="12">
        <v>86</v>
      </c>
      <c r="Z13" s="12">
        <v>88</v>
      </c>
      <c r="AA13" s="12"/>
      <c r="AB13" s="12"/>
      <c r="AC13" s="2">
        <f t="shared" si="2"/>
        <v>83</v>
      </c>
      <c r="AD13" s="12"/>
      <c r="AE13" s="3">
        <f t="shared" si="3"/>
        <v>83</v>
      </c>
      <c r="AF13" s="12"/>
      <c r="AG13" s="12"/>
      <c r="AH13" s="55">
        <v>0</v>
      </c>
      <c r="AI13" s="58">
        <f t="shared" si="6"/>
        <v>100</v>
      </c>
      <c r="AJ13" s="63">
        <f t="shared" si="7"/>
        <v>83.5</v>
      </c>
      <c r="AK13" s="2" t="str">
        <f t="shared" si="8"/>
        <v/>
      </c>
      <c r="AL13" s="3">
        <f t="shared" si="9"/>
        <v>83.5</v>
      </c>
      <c r="AM13" s="4">
        <f t="shared" si="10"/>
        <v>5</v>
      </c>
      <c r="AN13" s="2" t="str">
        <f t="shared" si="11"/>
        <v/>
      </c>
      <c r="AO13" s="12"/>
      <c r="AP13" s="5">
        <f t="shared" si="12"/>
        <v>0</v>
      </c>
      <c r="AQ13" s="28">
        <f t="shared" si="13"/>
        <v>100</v>
      </c>
    </row>
    <row r="14" spans="1:43" ht="18.2" customHeight="1" x14ac:dyDescent="0.25">
      <c r="A14" s="49">
        <v>5</v>
      </c>
      <c r="B14" s="49" t="s">
        <v>121</v>
      </c>
      <c r="C14" s="49" t="s">
        <v>149</v>
      </c>
      <c r="D14" s="49" t="s">
        <v>150</v>
      </c>
      <c r="E14" s="50" t="s">
        <v>139</v>
      </c>
      <c r="F14" s="27">
        <v>3213294</v>
      </c>
      <c r="G14" s="1">
        <f t="shared" si="4"/>
        <v>131</v>
      </c>
      <c r="H14" s="1">
        <f t="shared" si="5"/>
        <v>68</v>
      </c>
      <c r="I14" s="12">
        <v>93</v>
      </c>
      <c r="J14" s="12">
        <v>89</v>
      </c>
      <c r="K14" s="12">
        <v>81</v>
      </c>
      <c r="L14" s="12">
        <v>84</v>
      </c>
      <c r="M14" s="12">
        <v>84</v>
      </c>
      <c r="N14" s="12"/>
      <c r="O14" s="12"/>
      <c r="P14" s="2">
        <f t="shared" si="0"/>
        <v>84.5</v>
      </c>
      <c r="Q14" s="12"/>
      <c r="R14" s="3">
        <f t="shared" si="1"/>
        <v>84.5</v>
      </c>
      <c r="S14" s="12"/>
      <c r="T14" s="12"/>
      <c r="U14" s="55">
        <v>0</v>
      </c>
      <c r="V14" s="58">
        <f t="shared" si="14"/>
        <v>100</v>
      </c>
      <c r="W14" s="56">
        <v>94</v>
      </c>
      <c r="X14" s="12">
        <v>100</v>
      </c>
      <c r="Y14" s="12">
        <v>95</v>
      </c>
      <c r="Z14" s="12">
        <v>100</v>
      </c>
      <c r="AA14" s="12"/>
      <c r="AB14" s="12"/>
      <c r="AC14" s="2">
        <f t="shared" si="2"/>
        <v>97.25</v>
      </c>
      <c r="AD14" s="12"/>
      <c r="AE14" s="3">
        <f t="shared" si="3"/>
        <v>97.25</v>
      </c>
      <c r="AF14" s="12"/>
      <c r="AG14" s="12"/>
      <c r="AH14" s="55">
        <v>0</v>
      </c>
      <c r="AI14" s="58">
        <f t="shared" si="6"/>
        <v>100</v>
      </c>
      <c r="AJ14" s="63">
        <f t="shared" si="7"/>
        <v>90.875</v>
      </c>
      <c r="AK14" s="2" t="str">
        <f t="shared" si="8"/>
        <v/>
      </c>
      <c r="AL14" s="3">
        <f t="shared" si="9"/>
        <v>90.875</v>
      </c>
      <c r="AM14" s="4">
        <f t="shared" si="10"/>
        <v>5</v>
      </c>
      <c r="AN14" s="2" t="str">
        <f t="shared" si="11"/>
        <v/>
      </c>
      <c r="AO14" s="12"/>
      <c r="AP14" s="5">
        <f t="shared" si="12"/>
        <v>0</v>
      </c>
      <c r="AQ14" s="28">
        <f t="shared" si="13"/>
        <v>100</v>
      </c>
    </row>
    <row r="15" spans="1:43" ht="18.2" customHeight="1" x14ac:dyDescent="0.25">
      <c r="A15" s="49">
        <v>5</v>
      </c>
      <c r="B15" s="49" t="s">
        <v>121</v>
      </c>
      <c r="C15" s="49" t="s">
        <v>151</v>
      </c>
      <c r="D15" s="49" t="s">
        <v>152</v>
      </c>
      <c r="E15" s="50" t="s">
        <v>153</v>
      </c>
      <c r="F15" s="27">
        <v>3213294</v>
      </c>
      <c r="G15" s="1">
        <f t="shared" si="4"/>
        <v>131</v>
      </c>
      <c r="H15" s="1">
        <f t="shared" si="5"/>
        <v>68</v>
      </c>
      <c r="I15" s="12">
        <v>88</v>
      </c>
      <c r="J15" s="12">
        <v>78</v>
      </c>
      <c r="K15" s="12">
        <v>77</v>
      </c>
      <c r="L15" s="12">
        <v>78</v>
      </c>
      <c r="M15" s="12">
        <v>77</v>
      </c>
      <c r="N15" s="12"/>
      <c r="O15" s="12"/>
      <c r="P15" s="2">
        <f t="shared" si="0"/>
        <v>77.5</v>
      </c>
      <c r="Q15" s="12"/>
      <c r="R15" s="3">
        <f t="shared" si="1"/>
        <v>77.5</v>
      </c>
      <c r="S15" s="12"/>
      <c r="T15" s="12"/>
      <c r="U15" s="55">
        <v>0</v>
      </c>
      <c r="V15" s="58">
        <f t="shared" si="14"/>
        <v>100</v>
      </c>
      <c r="W15" s="56">
        <v>40</v>
      </c>
      <c r="X15" s="12">
        <v>43</v>
      </c>
      <c r="Y15" s="12">
        <v>40</v>
      </c>
      <c r="Z15" s="12">
        <v>45</v>
      </c>
      <c r="AA15" s="12"/>
      <c r="AB15" s="12"/>
      <c r="AC15" s="2">
        <f t="shared" si="2"/>
        <v>42</v>
      </c>
      <c r="AD15" s="12"/>
      <c r="AE15" s="3">
        <f t="shared" si="3"/>
        <v>42</v>
      </c>
      <c r="AF15" s="12"/>
      <c r="AG15" s="12"/>
      <c r="AH15" s="55">
        <v>0</v>
      </c>
      <c r="AI15" s="58">
        <f t="shared" si="6"/>
        <v>100</v>
      </c>
      <c r="AJ15" s="63">
        <f t="shared" si="7"/>
        <v>59.75</v>
      </c>
      <c r="AK15" s="2" t="str">
        <f t="shared" si="8"/>
        <v/>
      </c>
      <c r="AL15" s="3">
        <f t="shared" si="9"/>
        <v>59.75</v>
      </c>
      <c r="AM15" s="4">
        <f t="shared" si="10"/>
        <v>3</v>
      </c>
      <c r="AN15" s="2" t="str">
        <f t="shared" si="11"/>
        <v/>
      </c>
      <c r="AO15" s="12"/>
      <c r="AP15" s="5">
        <f t="shared" si="12"/>
        <v>0</v>
      </c>
      <c r="AQ15" s="28">
        <f t="shared" si="13"/>
        <v>100</v>
      </c>
    </row>
    <row r="16" spans="1:43" ht="18.2" customHeight="1" x14ac:dyDescent="0.25">
      <c r="A16" s="49">
        <v>5</v>
      </c>
      <c r="B16" s="49" t="s">
        <v>121</v>
      </c>
      <c r="C16" s="49" t="s">
        <v>154</v>
      </c>
      <c r="D16" s="49" t="s">
        <v>155</v>
      </c>
      <c r="E16" s="50" t="s">
        <v>156</v>
      </c>
      <c r="F16" s="27">
        <v>3213294</v>
      </c>
      <c r="G16" s="1">
        <f t="shared" si="4"/>
        <v>131</v>
      </c>
      <c r="H16" s="1">
        <f t="shared" si="5"/>
        <v>68</v>
      </c>
      <c r="I16" s="12">
        <v>97</v>
      </c>
      <c r="J16" s="12">
        <v>82</v>
      </c>
      <c r="K16" s="12">
        <v>83</v>
      </c>
      <c r="L16" s="12">
        <v>84</v>
      </c>
      <c r="M16" s="12">
        <v>84</v>
      </c>
      <c r="N16" s="12"/>
      <c r="O16" s="12"/>
      <c r="P16" s="2">
        <f t="shared" si="0"/>
        <v>83.25</v>
      </c>
      <c r="Q16" s="12"/>
      <c r="R16" s="3">
        <f t="shared" si="1"/>
        <v>83.25</v>
      </c>
      <c r="S16" s="12"/>
      <c r="T16" s="12"/>
      <c r="U16" s="55">
        <v>0</v>
      </c>
      <c r="V16" s="58">
        <f t="shared" si="14"/>
        <v>100</v>
      </c>
      <c r="W16" s="56">
        <v>81</v>
      </c>
      <c r="X16" s="12">
        <v>81</v>
      </c>
      <c r="Y16" s="12">
        <v>88</v>
      </c>
      <c r="Z16" s="12">
        <v>89</v>
      </c>
      <c r="AA16" s="12"/>
      <c r="AB16" s="12"/>
      <c r="AC16" s="2">
        <f t="shared" si="2"/>
        <v>84.75</v>
      </c>
      <c r="AD16" s="12"/>
      <c r="AE16" s="3">
        <f t="shared" si="3"/>
        <v>84.75</v>
      </c>
      <c r="AF16" s="12"/>
      <c r="AG16" s="12"/>
      <c r="AH16" s="55">
        <v>0</v>
      </c>
      <c r="AI16" s="58">
        <f t="shared" si="6"/>
        <v>100</v>
      </c>
      <c r="AJ16" s="63">
        <f t="shared" si="7"/>
        <v>84</v>
      </c>
      <c r="AK16" s="2" t="str">
        <f t="shared" si="8"/>
        <v/>
      </c>
      <c r="AL16" s="3">
        <f t="shared" si="9"/>
        <v>84</v>
      </c>
      <c r="AM16" s="4">
        <f t="shared" si="10"/>
        <v>5</v>
      </c>
      <c r="AN16" s="2" t="str">
        <f t="shared" si="11"/>
        <v/>
      </c>
      <c r="AO16" s="12"/>
      <c r="AP16" s="5">
        <f t="shared" si="12"/>
        <v>0</v>
      </c>
      <c r="AQ16" s="28">
        <f t="shared" si="13"/>
        <v>100</v>
      </c>
    </row>
    <row r="17" spans="1:43" ht="18.2" customHeight="1" x14ac:dyDescent="0.25">
      <c r="A17" s="49">
        <v>5</v>
      </c>
      <c r="B17" s="49" t="s">
        <v>121</v>
      </c>
      <c r="C17" s="49" t="s">
        <v>157</v>
      </c>
      <c r="D17" s="49" t="s">
        <v>158</v>
      </c>
      <c r="E17" s="50" t="s">
        <v>159</v>
      </c>
      <c r="F17" s="27">
        <v>4268429</v>
      </c>
      <c r="G17" s="1">
        <f t="shared" si="4"/>
        <v>131</v>
      </c>
      <c r="H17" s="1">
        <f t="shared" si="5"/>
        <v>68</v>
      </c>
      <c r="I17" s="12">
        <v>92</v>
      </c>
      <c r="J17" s="12">
        <v>90</v>
      </c>
      <c r="K17" s="12">
        <v>89</v>
      </c>
      <c r="L17" s="12">
        <v>84</v>
      </c>
      <c r="M17" s="12">
        <v>82</v>
      </c>
      <c r="N17" s="12"/>
      <c r="O17" s="12"/>
      <c r="P17" s="2">
        <f t="shared" si="0"/>
        <v>86.25</v>
      </c>
      <c r="Q17" s="12"/>
      <c r="R17" s="3">
        <f t="shared" si="1"/>
        <v>86.25</v>
      </c>
      <c r="S17" s="12"/>
      <c r="T17" s="12"/>
      <c r="U17" s="55">
        <v>0</v>
      </c>
      <c r="V17" s="58">
        <f t="shared" si="14"/>
        <v>100</v>
      </c>
      <c r="W17" s="56">
        <v>81</v>
      </c>
      <c r="X17" s="12">
        <v>77</v>
      </c>
      <c r="Y17" s="12">
        <v>69</v>
      </c>
      <c r="Z17" s="12">
        <v>68</v>
      </c>
      <c r="AA17" s="12"/>
      <c r="AB17" s="12"/>
      <c r="AC17" s="2">
        <f t="shared" si="2"/>
        <v>73.75</v>
      </c>
      <c r="AD17" s="12"/>
      <c r="AE17" s="3">
        <f t="shared" si="3"/>
        <v>73.75</v>
      </c>
      <c r="AF17" s="12"/>
      <c r="AG17" s="12"/>
      <c r="AH17" s="55">
        <v>0</v>
      </c>
      <c r="AI17" s="58">
        <f t="shared" si="6"/>
        <v>100</v>
      </c>
      <c r="AJ17" s="63">
        <f t="shared" si="7"/>
        <v>80</v>
      </c>
      <c r="AK17" s="2" t="str">
        <f t="shared" si="8"/>
        <v/>
      </c>
      <c r="AL17" s="3">
        <f t="shared" si="9"/>
        <v>80</v>
      </c>
      <c r="AM17" s="4">
        <f t="shared" si="10"/>
        <v>4</v>
      </c>
      <c r="AN17" s="2" t="str">
        <f t="shared" si="11"/>
        <v/>
      </c>
      <c r="AO17" s="12"/>
      <c r="AP17" s="5">
        <f t="shared" si="12"/>
        <v>0</v>
      </c>
      <c r="AQ17" s="28">
        <f t="shared" si="13"/>
        <v>100</v>
      </c>
    </row>
    <row r="18" spans="1:43" ht="18.2" customHeight="1" x14ac:dyDescent="0.25">
      <c r="A18" s="49">
        <v>5</v>
      </c>
      <c r="B18" s="49" t="s">
        <v>121</v>
      </c>
      <c r="C18" s="49" t="s">
        <v>160</v>
      </c>
      <c r="D18" s="49" t="s">
        <v>161</v>
      </c>
      <c r="E18" s="50" t="s">
        <v>162</v>
      </c>
      <c r="F18" s="27">
        <v>3213294</v>
      </c>
      <c r="G18" s="1">
        <f t="shared" si="4"/>
        <v>131</v>
      </c>
      <c r="H18" s="1">
        <f t="shared" si="5"/>
        <v>68</v>
      </c>
      <c r="I18" s="12">
        <v>81</v>
      </c>
      <c r="J18" s="12">
        <v>77</v>
      </c>
      <c r="K18" s="12">
        <v>81</v>
      </c>
      <c r="L18" s="12">
        <v>87</v>
      </c>
      <c r="M18" s="12">
        <v>86</v>
      </c>
      <c r="N18" s="12"/>
      <c r="O18" s="12"/>
      <c r="P18" s="2">
        <f t="shared" si="0"/>
        <v>82.75</v>
      </c>
      <c r="Q18" s="12"/>
      <c r="R18" s="3">
        <f t="shared" si="1"/>
        <v>82.75</v>
      </c>
      <c r="S18" s="12"/>
      <c r="T18" s="12"/>
      <c r="U18" s="55">
        <v>0</v>
      </c>
      <c r="V18" s="58">
        <f t="shared" si="14"/>
        <v>100</v>
      </c>
      <c r="W18" s="56">
        <v>38</v>
      </c>
      <c r="X18" s="12">
        <v>32</v>
      </c>
      <c r="Y18" s="12">
        <v>78</v>
      </c>
      <c r="Z18" s="12">
        <v>70</v>
      </c>
      <c r="AA18" s="12"/>
      <c r="AB18" s="12"/>
      <c r="AC18" s="2">
        <f t="shared" si="2"/>
        <v>54.5</v>
      </c>
      <c r="AD18" s="12"/>
      <c r="AE18" s="3">
        <f t="shared" si="3"/>
        <v>54.5</v>
      </c>
      <c r="AF18" s="12"/>
      <c r="AG18" s="12"/>
      <c r="AH18" s="55">
        <v>0</v>
      </c>
      <c r="AI18" s="58">
        <f t="shared" si="6"/>
        <v>100</v>
      </c>
      <c r="AJ18" s="63">
        <f t="shared" si="7"/>
        <v>68.625</v>
      </c>
      <c r="AK18" s="2" t="str">
        <f t="shared" si="8"/>
        <v/>
      </c>
      <c r="AL18" s="3">
        <f t="shared" si="9"/>
        <v>68.625</v>
      </c>
      <c r="AM18" s="4">
        <f t="shared" si="10"/>
        <v>4</v>
      </c>
      <c r="AN18" s="2" t="str">
        <f t="shared" si="11"/>
        <v/>
      </c>
      <c r="AO18" s="12"/>
      <c r="AP18" s="5">
        <f t="shared" si="12"/>
        <v>0</v>
      </c>
      <c r="AQ18" s="28">
        <f t="shared" si="13"/>
        <v>100</v>
      </c>
    </row>
    <row r="19" spans="1:43" ht="18.2" customHeight="1" x14ac:dyDescent="0.25">
      <c r="A19" s="49">
        <v>5</v>
      </c>
      <c r="B19" s="49" t="s">
        <v>121</v>
      </c>
      <c r="C19" s="49" t="s">
        <v>163</v>
      </c>
      <c r="D19" s="49" t="s">
        <v>164</v>
      </c>
      <c r="E19" s="50" t="s">
        <v>165</v>
      </c>
      <c r="F19" s="27">
        <v>4268429</v>
      </c>
      <c r="G19" s="1">
        <f t="shared" si="4"/>
        <v>131</v>
      </c>
      <c r="H19" s="1">
        <f t="shared" si="5"/>
        <v>68</v>
      </c>
      <c r="I19" s="12">
        <v>87</v>
      </c>
      <c r="J19" s="12">
        <v>84</v>
      </c>
      <c r="K19" s="12">
        <v>84</v>
      </c>
      <c r="L19" s="12">
        <v>86</v>
      </c>
      <c r="M19" s="12">
        <v>82</v>
      </c>
      <c r="N19" s="12"/>
      <c r="O19" s="12"/>
      <c r="P19" s="2">
        <f t="shared" si="0"/>
        <v>84</v>
      </c>
      <c r="Q19" s="12"/>
      <c r="R19" s="3">
        <f t="shared" si="1"/>
        <v>84</v>
      </c>
      <c r="S19" s="12"/>
      <c r="T19" s="12"/>
      <c r="U19" s="55">
        <v>0</v>
      </c>
      <c r="V19" s="58">
        <f t="shared" si="14"/>
        <v>100</v>
      </c>
      <c r="W19" s="56">
        <v>50</v>
      </c>
      <c r="X19" s="12">
        <v>34</v>
      </c>
      <c r="Y19" s="12">
        <v>56</v>
      </c>
      <c r="Z19" s="12">
        <v>50</v>
      </c>
      <c r="AA19" s="12"/>
      <c r="AB19" s="12"/>
      <c r="AC19" s="2">
        <f t="shared" si="2"/>
        <v>47.5</v>
      </c>
      <c r="AD19" s="12"/>
      <c r="AE19" s="3">
        <f t="shared" si="3"/>
        <v>47.5</v>
      </c>
      <c r="AF19" s="12"/>
      <c r="AG19" s="12"/>
      <c r="AH19" s="55">
        <v>0</v>
      </c>
      <c r="AI19" s="58">
        <f t="shared" si="6"/>
        <v>100</v>
      </c>
      <c r="AJ19" s="63">
        <f t="shared" si="7"/>
        <v>65.75</v>
      </c>
      <c r="AK19" s="2" t="str">
        <f t="shared" si="8"/>
        <v/>
      </c>
      <c r="AL19" s="3">
        <f t="shared" si="9"/>
        <v>65.75</v>
      </c>
      <c r="AM19" s="4">
        <f t="shared" si="10"/>
        <v>4</v>
      </c>
      <c r="AN19" s="2" t="str">
        <f t="shared" si="11"/>
        <v/>
      </c>
      <c r="AO19" s="12"/>
      <c r="AP19" s="5">
        <f t="shared" si="12"/>
        <v>0</v>
      </c>
      <c r="AQ19" s="28">
        <f t="shared" si="13"/>
        <v>100</v>
      </c>
    </row>
    <row r="20" spans="1:43" ht="18.2" customHeight="1" x14ac:dyDescent="0.25">
      <c r="A20" s="49">
        <v>5</v>
      </c>
      <c r="B20" s="49" t="s">
        <v>121</v>
      </c>
      <c r="C20" s="49" t="s">
        <v>166</v>
      </c>
      <c r="D20" s="49" t="s">
        <v>167</v>
      </c>
      <c r="E20" s="50" t="s">
        <v>168</v>
      </c>
      <c r="F20" s="27">
        <v>3213294</v>
      </c>
      <c r="G20" s="1">
        <f t="shared" si="4"/>
        <v>131</v>
      </c>
      <c r="H20" s="1">
        <f t="shared" si="5"/>
        <v>68</v>
      </c>
      <c r="I20" s="12">
        <v>94</v>
      </c>
      <c r="J20" s="12">
        <v>78</v>
      </c>
      <c r="K20" s="12">
        <v>73</v>
      </c>
      <c r="L20" s="12">
        <v>77</v>
      </c>
      <c r="M20" s="12">
        <v>73</v>
      </c>
      <c r="N20" s="12"/>
      <c r="O20" s="12"/>
      <c r="P20" s="2">
        <f t="shared" si="0"/>
        <v>75.25</v>
      </c>
      <c r="Q20" s="12"/>
      <c r="R20" s="3">
        <f t="shared" si="1"/>
        <v>75.25</v>
      </c>
      <c r="S20" s="12"/>
      <c r="T20" s="12"/>
      <c r="U20" s="55">
        <v>0</v>
      </c>
      <c r="V20" s="58">
        <f t="shared" si="14"/>
        <v>100</v>
      </c>
      <c r="W20" s="56">
        <v>36</v>
      </c>
      <c r="X20" s="12">
        <v>81</v>
      </c>
      <c r="Y20" s="12">
        <v>88</v>
      </c>
      <c r="Z20" s="12">
        <v>77</v>
      </c>
      <c r="AA20" s="12"/>
      <c r="AB20" s="12"/>
      <c r="AC20" s="2">
        <f t="shared" si="2"/>
        <v>70.5</v>
      </c>
      <c r="AD20" s="12"/>
      <c r="AE20" s="3">
        <f t="shared" si="3"/>
        <v>70.5</v>
      </c>
      <c r="AF20" s="12"/>
      <c r="AG20" s="12"/>
      <c r="AH20" s="55">
        <v>0</v>
      </c>
      <c r="AI20" s="58">
        <f t="shared" si="6"/>
        <v>100</v>
      </c>
      <c r="AJ20" s="63">
        <f t="shared" si="7"/>
        <v>72.875</v>
      </c>
      <c r="AK20" s="2" t="str">
        <f t="shared" si="8"/>
        <v/>
      </c>
      <c r="AL20" s="3">
        <f t="shared" si="9"/>
        <v>72.875</v>
      </c>
      <c r="AM20" s="4">
        <f t="shared" si="10"/>
        <v>4</v>
      </c>
      <c r="AN20" s="2" t="str">
        <f t="shared" si="11"/>
        <v/>
      </c>
      <c r="AO20" s="12"/>
      <c r="AP20" s="5">
        <f t="shared" si="12"/>
        <v>0</v>
      </c>
      <c r="AQ20" s="28">
        <f t="shared" si="13"/>
        <v>100</v>
      </c>
    </row>
    <row r="21" spans="1:43" ht="18.2" customHeight="1" x14ac:dyDescent="0.25">
      <c r="A21" s="49">
        <v>5</v>
      </c>
      <c r="B21" s="49" t="s">
        <v>121</v>
      </c>
      <c r="C21" s="49" t="s">
        <v>169</v>
      </c>
      <c r="D21" s="49" t="s">
        <v>170</v>
      </c>
      <c r="E21" s="50" t="s">
        <v>171</v>
      </c>
      <c r="F21" s="27">
        <v>3213294</v>
      </c>
      <c r="G21" s="1">
        <f t="shared" si="4"/>
        <v>131</v>
      </c>
      <c r="H21" s="1">
        <f t="shared" si="5"/>
        <v>68</v>
      </c>
      <c r="I21" s="12">
        <v>95</v>
      </c>
      <c r="J21" s="12">
        <v>84</v>
      </c>
      <c r="K21" s="12">
        <v>87</v>
      </c>
      <c r="L21" s="12">
        <v>89</v>
      </c>
      <c r="M21" s="12">
        <v>92</v>
      </c>
      <c r="N21" s="12"/>
      <c r="O21" s="12"/>
      <c r="P21" s="2">
        <f t="shared" si="0"/>
        <v>88</v>
      </c>
      <c r="Q21" s="12"/>
      <c r="R21" s="3">
        <f t="shared" si="1"/>
        <v>88</v>
      </c>
      <c r="S21" s="12"/>
      <c r="T21" s="12"/>
      <c r="U21" s="55">
        <v>0</v>
      </c>
      <c r="V21" s="58">
        <f t="shared" si="14"/>
        <v>100</v>
      </c>
      <c r="W21" s="56">
        <v>81</v>
      </c>
      <c r="X21" s="12">
        <v>83</v>
      </c>
      <c r="Y21" s="12">
        <v>81</v>
      </c>
      <c r="Z21" s="12">
        <v>92</v>
      </c>
      <c r="AA21" s="12"/>
      <c r="AB21" s="12"/>
      <c r="AC21" s="2">
        <f t="shared" si="2"/>
        <v>84.25</v>
      </c>
      <c r="AD21" s="12"/>
      <c r="AE21" s="3">
        <f t="shared" si="3"/>
        <v>84.25</v>
      </c>
      <c r="AF21" s="12"/>
      <c r="AG21" s="12"/>
      <c r="AH21" s="55">
        <v>0</v>
      </c>
      <c r="AI21" s="58">
        <f t="shared" si="6"/>
        <v>100</v>
      </c>
      <c r="AJ21" s="63">
        <f t="shared" si="7"/>
        <v>86.125</v>
      </c>
      <c r="AK21" s="2" t="str">
        <f t="shared" si="8"/>
        <v/>
      </c>
      <c r="AL21" s="3">
        <f t="shared" si="9"/>
        <v>86.125</v>
      </c>
      <c r="AM21" s="4">
        <f t="shared" si="10"/>
        <v>5</v>
      </c>
      <c r="AN21" s="2" t="str">
        <f t="shared" si="11"/>
        <v/>
      </c>
      <c r="AO21" s="12"/>
      <c r="AP21" s="5">
        <f t="shared" si="12"/>
        <v>0</v>
      </c>
      <c r="AQ21" s="28">
        <f t="shared" si="13"/>
        <v>100</v>
      </c>
    </row>
    <row r="22" spans="1:43" ht="18.2" customHeight="1" x14ac:dyDescent="0.25">
      <c r="A22" s="49">
        <v>5</v>
      </c>
      <c r="B22" s="49" t="s">
        <v>121</v>
      </c>
      <c r="C22" s="49" t="s">
        <v>172</v>
      </c>
      <c r="D22" s="49" t="s">
        <v>173</v>
      </c>
      <c r="E22" s="50" t="s">
        <v>174</v>
      </c>
      <c r="F22" s="27">
        <v>4268429</v>
      </c>
      <c r="G22" s="1">
        <f t="shared" si="4"/>
        <v>131</v>
      </c>
      <c r="H22" s="1">
        <f t="shared" si="5"/>
        <v>68</v>
      </c>
      <c r="I22" s="12">
        <v>94</v>
      </c>
      <c r="J22" s="12">
        <v>96</v>
      </c>
      <c r="K22" s="12">
        <v>100</v>
      </c>
      <c r="L22" s="12">
        <v>100</v>
      </c>
      <c r="M22" s="12">
        <v>90</v>
      </c>
      <c r="N22" s="12"/>
      <c r="O22" s="12"/>
      <c r="P22" s="2">
        <f t="shared" si="0"/>
        <v>96.5</v>
      </c>
      <c r="Q22" s="12"/>
      <c r="R22" s="3">
        <f t="shared" si="1"/>
        <v>96.5</v>
      </c>
      <c r="S22" s="12"/>
      <c r="T22" s="12"/>
      <c r="U22" s="55">
        <v>0</v>
      </c>
      <c r="V22" s="58">
        <f t="shared" si="14"/>
        <v>100</v>
      </c>
      <c r="W22" s="56">
        <v>100</v>
      </c>
      <c r="X22" s="12">
        <v>94</v>
      </c>
      <c r="Y22" s="12">
        <v>90</v>
      </c>
      <c r="Z22" s="12">
        <v>90</v>
      </c>
      <c r="AA22" s="12"/>
      <c r="AB22" s="12"/>
      <c r="AC22" s="2">
        <f t="shared" si="2"/>
        <v>93.5</v>
      </c>
      <c r="AD22" s="12"/>
      <c r="AE22" s="3">
        <f t="shared" si="3"/>
        <v>93.5</v>
      </c>
      <c r="AF22" s="12"/>
      <c r="AG22" s="12"/>
      <c r="AH22" s="55">
        <v>0</v>
      </c>
      <c r="AI22" s="58">
        <f t="shared" si="6"/>
        <v>100</v>
      </c>
      <c r="AJ22" s="63">
        <f t="shared" si="7"/>
        <v>95</v>
      </c>
      <c r="AK22" s="2" t="str">
        <f t="shared" si="8"/>
        <v/>
      </c>
      <c r="AL22" s="3">
        <f t="shared" si="9"/>
        <v>95</v>
      </c>
      <c r="AM22" s="4">
        <f t="shared" si="10"/>
        <v>5</v>
      </c>
      <c r="AN22" s="2" t="str">
        <f t="shared" si="11"/>
        <v/>
      </c>
      <c r="AO22" s="12"/>
      <c r="AP22" s="5">
        <f t="shared" si="12"/>
        <v>0</v>
      </c>
      <c r="AQ22" s="28">
        <f t="shared" si="13"/>
        <v>100</v>
      </c>
    </row>
    <row r="23" spans="1:43" ht="18.2" customHeight="1" x14ac:dyDescent="0.25">
      <c r="A23" s="49">
        <v>5</v>
      </c>
      <c r="B23" s="49" t="s">
        <v>121</v>
      </c>
      <c r="C23" s="49" t="s">
        <v>175</v>
      </c>
      <c r="D23" s="49" t="s">
        <v>176</v>
      </c>
      <c r="E23" s="50" t="s">
        <v>177</v>
      </c>
      <c r="F23" s="27">
        <v>4268429</v>
      </c>
      <c r="G23" s="1">
        <f t="shared" si="4"/>
        <v>131</v>
      </c>
      <c r="H23" s="1">
        <f t="shared" si="5"/>
        <v>68</v>
      </c>
      <c r="I23" s="12">
        <v>76</v>
      </c>
      <c r="J23" s="12">
        <v>83</v>
      </c>
      <c r="K23" s="12">
        <v>82</v>
      </c>
      <c r="L23" s="12">
        <v>81</v>
      </c>
      <c r="M23" s="12">
        <v>86</v>
      </c>
      <c r="N23" s="12"/>
      <c r="O23" s="12"/>
      <c r="P23" s="2">
        <f t="shared" si="0"/>
        <v>83</v>
      </c>
      <c r="Q23" s="12"/>
      <c r="R23" s="3">
        <f t="shared" si="1"/>
        <v>83</v>
      </c>
      <c r="S23" s="12"/>
      <c r="T23" s="12"/>
      <c r="U23" s="55">
        <v>0</v>
      </c>
      <c r="V23" s="58">
        <f t="shared" si="14"/>
        <v>100</v>
      </c>
      <c r="W23" s="56">
        <v>100</v>
      </c>
      <c r="X23" s="12">
        <v>97</v>
      </c>
      <c r="Y23" s="12">
        <v>98</v>
      </c>
      <c r="Z23" s="12">
        <v>92</v>
      </c>
      <c r="AA23" s="12"/>
      <c r="AB23" s="12"/>
      <c r="AC23" s="2">
        <f t="shared" si="2"/>
        <v>96.75</v>
      </c>
      <c r="AD23" s="12"/>
      <c r="AE23" s="3">
        <f t="shared" si="3"/>
        <v>96.75</v>
      </c>
      <c r="AF23" s="12"/>
      <c r="AG23" s="12"/>
      <c r="AH23" s="55">
        <v>0</v>
      </c>
      <c r="AI23" s="58">
        <f t="shared" si="6"/>
        <v>100</v>
      </c>
      <c r="AJ23" s="63">
        <f t="shared" si="7"/>
        <v>89.875</v>
      </c>
      <c r="AK23" s="2" t="str">
        <f t="shared" si="8"/>
        <v/>
      </c>
      <c r="AL23" s="3">
        <f t="shared" si="9"/>
        <v>89.875</v>
      </c>
      <c r="AM23" s="4">
        <f t="shared" si="10"/>
        <v>5</v>
      </c>
      <c r="AN23" s="2" t="str">
        <f t="shared" si="11"/>
        <v/>
      </c>
      <c r="AO23" s="12"/>
      <c r="AP23" s="5">
        <f t="shared" si="12"/>
        <v>0</v>
      </c>
      <c r="AQ23" s="28">
        <f t="shared" si="13"/>
        <v>100</v>
      </c>
    </row>
    <row r="24" spans="1:43" ht="18.2" customHeight="1" x14ac:dyDescent="0.25">
      <c r="A24" s="49">
        <v>5</v>
      </c>
      <c r="B24" s="49" t="s">
        <v>121</v>
      </c>
      <c r="C24" s="49" t="s">
        <v>178</v>
      </c>
      <c r="D24" s="49" t="s">
        <v>179</v>
      </c>
      <c r="E24" s="50" t="s">
        <v>180</v>
      </c>
      <c r="F24" s="27">
        <v>4268429</v>
      </c>
      <c r="G24" s="1">
        <f t="shared" si="4"/>
        <v>131</v>
      </c>
      <c r="H24" s="1">
        <f t="shared" si="5"/>
        <v>68</v>
      </c>
      <c r="I24" s="12">
        <v>80</v>
      </c>
      <c r="J24" s="12">
        <v>86</v>
      </c>
      <c r="K24" s="12">
        <v>84</v>
      </c>
      <c r="L24" s="12">
        <v>86</v>
      </c>
      <c r="M24" s="12">
        <v>81</v>
      </c>
      <c r="N24" s="12"/>
      <c r="O24" s="12"/>
      <c r="P24" s="2">
        <f t="shared" si="0"/>
        <v>84.25</v>
      </c>
      <c r="Q24" s="12"/>
      <c r="R24" s="3">
        <f t="shared" si="1"/>
        <v>84.25</v>
      </c>
      <c r="S24" s="12"/>
      <c r="T24" s="12"/>
      <c r="U24" s="55">
        <v>0</v>
      </c>
      <c r="V24" s="58">
        <f t="shared" si="14"/>
        <v>100</v>
      </c>
      <c r="W24" s="56">
        <v>100</v>
      </c>
      <c r="X24" s="12">
        <v>93</v>
      </c>
      <c r="Y24" s="12">
        <v>77</v>
      </c>
      <c r="Z24" s="12">
        <v>81</v>
      </c>
      <c r="AA24" s="12"/>
      <c r="AB24" s="12"/>
      <c r="AC24" s="2">
        <f t="shared" si="2"/>
        <v>87.75</v>
      </c>
      <c r="AD24" s="12"/>
      <c r="AE24" s="3">
        <f t="shared" si="3"/>
        <v>87.75</v>
      </c>
      <c r="AF24" s="12"/>
      <c r="AG24" s="12"/>
      <c r="AH24" s="55">
        <v>0</v>
      </c>
      <c r="AI24" s="58">
        <f t="shared" si="6"/>
        <v>100</v>
      </c>
      <c r="AJ24" s="63">
        <f t="shared" si="7"/>
        <v>86</v>
      </c>
      <c r="AK24" s="2" t="str">
        <f t="shared" si="8"/>
        <v/>
      </c>
      <c r="AL24" s="3">
        <f t="shared" si="9"/>
        <v>86</v>
      </c>
      <c r="AM24" s="4">
        <f t="shared" si="10"/>
        <v>5</v>
      </c>
      <c r="AN24" s="2" t="str">
        <f t="shared" si="11"/>
        <v/>
      </c>
      <c r="AO24" s="12"/>
      <c r="AP24" s="5">
        <f t="shared" si="12"/>
        <v>0</v>
      </c>
      <c r="AQ24" s="28">
        <f t="shared" si="13"/>
        <v>100</v>
      </c>
    </row>
    <row r="25" spans="1:43" ht="18.2" customHeight="1" x14ac:dyDescent="0.25">
      <c r="A25" s="49">
        <v>5</v>
      </c>
      <c r="B25" s="49" t="s">
        <v>121</v>
      </c>
      <c r="C25" s="49" t="s">
        <v>181</v>
      </c>
      <c r="D25" s="49" t="s">
        <v>182</v>
      </c>
      <c r="E25" s="50" t="s">
        <v>183</v>
      </c>
      <c r="F25" s="27">
        <v>4268429</v>
      </c>
      <c r="G25" s="1">
        <f t="shared" si="4"/>
        <v>131</v>
      </c>
      <c r="H25" s="1">
        <f t="shared" si="5"/>
        <v>68</v>
      </c>
      <c r="I25" s="12">
        <v>91</v>
      </c>
      <c r="J25" s="12">
        <v>88</v>
      </c>
      <c r="K25" s="12">
        <v>84</v>
      </c>
      <c r="L25" s="12">
        <v>75</v>
      </c>
      <c r="M25" s="12">
        <v>89</v>
      </c>
      <c r="N25" s="12"/>
      <c r="O25" s="12"/>
      <c r="P25" s="2">
        <f t="shared" si="0"/>
        <v>84</v>
      </c>
      <c r="Q25" s="12"/>
      <c r="R25" s="3">
        <f t="shared" si="1"/>
        <v>84</v>
      </c>
      <c r="S25" s="12"/>
      <c r="T25" s="12"/>
      <c r="U25" s="55">
        <v>0</v>
      </c>
      <c r="V25" s="58">
        <f t="shared" si="14"/>
        <v>100</v>
      </c>
      <c r="W25" s="56">
        <v>80</v>
      </c>
      <c r="X25" s="12">
        <v>81</v>
      </c>
      <c r="Y25" s="12">
        <v>81</v>
      </c>
      <c r="Z25" s="12">
        <v>82</v>
      </c>
      <c r="AA25" s="12"/>
      <c r="AB25" s="12"/>
      <c r="AC25" s="2">
        <f t="shared" si="2"/>
        <v>81</v>
      </c>
      <c r="AD25" s="12"/>
      <c r="AE25" s="3">
        <f t="shared" si="3"/>
        <v>81</v>
      </c>
      <c r="AF25" s="12"/>
      <c r="AG25" s="12"/>
      <c r="AH25" s="55">
        <v>0</v>
      </c>
      <c r="AI25" s="58">
        <f t="shared" si="6"/>
        <v>100</v>
      </c>
      <c r="AJ25" s="63">
        <f t="shared" si="7"/>
        <v>82.5</v>
      </c>
      <c r="AK25" s="2" t="str">
        <f t="shared" si="8"/>
        <v/>
      </c>
      <c r="AL25" s="3">
        <f t="shared" si="9"/>
        <v>82.5</v>
      </c>
      <c r="AM25" s="4">
        <f t="shared" si="10"/>
        <v>5</v>
      </c>
      <c r="AN25" s="2" t="str">
        <f t="shared" si="11"/>
        <v/>
      </c>
      <c r="AO25" s="12"/>
      <c r="AP25" s="5">
        <f t="shared" si="12"/>
        <v>0</v>
      </c>
      <c r="AQ25" s="28">
        <f t="shared" si="13"/>
        <v>100</v>
      </c>
    </row>
    <row r="26" spans="1:43" ht="18.2" customHeight="1" x14ac:dyDescent="0.25">
      <c r="A26" s="49">
        <v>5</v>
      </c>
      <c r="B26" s="49" t="s">
        <v>121</v>
      </c>
      <c r="C26" s="49" t="s">
        <v>184</v>
      </c>
      <c r="D26" s="49" t="s">
        <v>185</v>
      </c>
      <c r="E26" s="50" t="s">
        <v>186</v>
      </c>
      <c r="F26" s="27">
        <v>4268429</v>
      </c>
      <c r="G26" s="1">
        <f t="shared" si="4"/>
        <v>131</v>
      </c>
      <c r="H26" s="1">
        <f t="shared" si="5"/>
        <v>68</v>
      </c>
      <c r="I26" s="12">
        <v>94</v>
      </c>
      <c r="J26" s="12">
        <v>91</v>
      </c>
      <c r="K26" s="12">
        <v>87</v>
      </c>
      <c r="L26" s="12">
        <v>85</v>
      </c>
      <c r="M26" s="12">
        <v>77</v>
      </c>
      <c r="N26" s="12"/>
      <c r="O26" s="12"/>
      <c r="P26" s="2">
        <f t="shared" si="0"/>
        <v>85</v>
      </c>
      <c r="Q26" s="12"/>
      <c r="R26" s="3">
        <f t="shared" si="1"/>
        <v>85</v>
      </c>
      <c r="S26" s="12"/>
      <c r="T26" s="12"/>
      <c r="U26" s="55">
        <v>0</v>
      </c>
      <c r="V26" s="58">
        <f t="shared" si="14"/>
        <v>100</v>
      </c>
      <c r="W26" s="56">
        <v>60</v>
      </c>
      <c r="X26" s="12">
        <v>52</v>
      </c>
      <c r="Y26" s="12">
        <v>70</v>
      </c>
      <c r="Z26" s="12">
        <v>74</v>
      </c>
      <c r="AA26" s="12"/>
      <c r="AB26" s="12"/>
      <c r="AC26" s="2">
        <f t="shared" si="2"/>
        <v>64</v>
      </c>
      <c r="AD26" s="12"/>
      <c r="AE26" s="3">
        <f t="shared" si="3"/>
        <v>64</v>
      </c>
      <c r="AF26" s="12"/>
      <c r="AG26" s="12"/>
      <c r="AH26" s="55">
        <v>0</v>
      </c>
      <c r="AI26" s="58">
        <f t="shared" si="6"/>
        <v>100</v>
      </c>
      <c r="AJ26" s="63">
        <f t="shared" si="7"/>
        <v>74.5</v>
      </c>
      <c r="AK26" s="2" t="str">
        <f t="shared" si="8"/>
        <v/>
      </c>
      <c r="AL26" s="3">
        <f t="shared" si="9"/>
        <v>74.5</v>
      </c>
      <c r="AM26" s="4">
        <f t="shared" si="10"/>
        <v>4</v>
      </c>
      <c r="AN26" s="2" t="str">
        <f t="shared" si="11"/>
        <v/>
      </c>
      <c r="AO26" s="12"/>
      <c r="AP26" s="5">
        <f t="shared" si="12"/>
        <v>0</v>
      </c>
      <c r="AQ26" s="28">
        <f t="shared" si="13"/>
        <v>100</v>
      </c>
    </row>
    <row r="27" spans="1:43" ht="18.2" customHeight="1" x14ac:dyDescent="0.25">
      <c r="A27" s="49">
        <v>5</v>
      </c>
      <c r="B27" s="49" t="s">
        <v>121</v>
      </c>
      <c r="C27" s="49" t="s">
        <v>187</v>
      </c>
      <c r="D27" s="49" t="s">
        <v>188</v>
      </c>
      <c r="E27" s="50" t="s">
        <v>189</v>
      </c>
      <c r="F27" s="27">
        <v>4268429</v>
      </c>
      <c r="G27" s="1">
        <f t="shared" si="4"/>
        <v>131</v>
      </c>
      <c r="H27" s="1">
        <f t="shared" si="5"/>
        <v>68</v>
      </c>
      <c r="I27" s="12">
        <v>83</v>
      </c>
      <c r="J27" s="12">
        <v>79</v>
      </c>
      <c r="K27" s="12">
        <v>74</v>
      </c>
      <c r="L27" s="12">
        <v>70</v>
      </c>
      <c r="M27" s="12">
        <v>71</v>
      </c>
      <c r="N27" s="12"/>
      <c r="O27" s="12"/>
      <c r="P27" s="2">
        <f t="shared" si="0"/>
        <v>73.5</v>
      </c>
      <c r="Q27" s="12"/>
      <c r="R27" s="3">
        <f t="shared" si="1"/>
        <v>73.5</v>
      </c>
      <c r="S27" s="12"/>
      <c r="T27" s="12"/>
      <c r="U27" s="55">
        <v>0</v>
      </c>
      <c r="V27" s="58">
        <f t="shared" si="14"/>
        <v>100</v>
      </c>
      <c r="W27" s="56">
        <v>77</v>
      </c>
      <c r="X27" s="12">
        <v>56</v>
      </c>
      <c r="Y27" s="12">
        <v>53</v>
      </c>
      <c r="Z27" s="12">
        <v>66</v>
      </c>
      <c r="AA27" s="12"/>
      <c r="AB27" s="12"/>
      <c r="AC27" s="2">
        <f t="shared" si="2"/>
        <v>63</v>
      </c>
      <c r="AD27" s="12"/>
      <c r="AE27" s="3">
        <f t="shared" si="3"/>
        <v>63</v>
      </c>
      <c r="AF27" s="12"/>
      <c r="AG27" s="12"/>
      <c r="AH27" s="55">
        <v>0</v>
      </c>
      <c r="AI27" s="58">
        <f t="shared" si="6"/>
        <v>100</v>
      </c>
      <c r="AJ27" s="63">
        <f t="shared" si="7"/>
        <v>68.25</v>
      </c>
      <c r="AK27" s="2" t="str">
        <f t="shared" si="8"/>
        <v/>
      </c>
      <c r="AL27" s="3">
        <f t="shared" si="9"/>
        <v>68.25</v>
      </c>
      <c r="AM27" s="4">
        <f t="shared" si="10"/>
        <v>4</v>
      </c>
      <c r="AN27" s="2" t="str">
        <f t="shared" si="11"/>
        <v/>
      </c>
      <c r="AO27" s="12"/>
      <c r="AP27" s="5">
        <f t="shared" si="12"/>
        <v>0</v>
      </c>
      <c r="AQ27" s="28">
        <f t="shared" si="13"/>
        <v>100</v>
      </c>
    </row>
    <row r="28" spans="1:43" ht="18.2" customHeight="1" x14ac:dyDescent="0.25">
      <c r="A28" s="49">
        <v>5</v>
      </c>
      <c r="B28" s="49" t="s">
        <v>121</v>
      </c>
      <c r="C28" s="49" t="s">
        <v>190</v>
      </c>
      <c r="D28" s="49" t="s">
        <v>191</v>
      </c>
      <c r="E28" s="50" t="s">
        <v>192</v>
      </c>
      <c r="F28" s="27">
        <v>4268429</v>
      </c>
      <c r="G28" s="1">
        <f t="shared" si="4"/>
        <v>131</v>
      </c>
      <c r="H28" s="1">
        <f t="shared" si="5"/>
        <v>68</v>
      </c>
      <c r="I28" s="12">
        <v>96</v>
      </c>
      <c r="J28" s="12">
        <v>77</v>
      </c>
      <c r="K28" s="12">
        <v>79</v>
      </c>
      <c r="L28" s="12">
        <v>74</v>
      </c>
      <c r="M28" s="12">
        <v>60</v>
      </c>
      <c r="N28" s="12"/>
      <c r="O28" s="12"/>
      <c r="P28" s="2">
        <f t="shared" si="0"/>
        <v>72.5</v>
      </c>
      <c r="Q28" s="12"/>
      <c r="R28" s="3">
        <f t="shared" si="1"/>
        <v>72.5</v>
      </c>
      <c r="S28" s="12"/>
      <c r="T28" s="12"/>
      <c r="U28" s="55">
        <v>0</v>
      </c>
      <c r="V28" s="58">
        <f t="shared" si="14"/>
        <v>100</v>
      </c>
      <c r="W28" s="56">
        <v>84</v>
      </c>
      <c r="X28" s="12">
        <v>94</v>
      </c>
      <c r="Y28" s="12">
        <v>86</v>
      </c>
      <c r="Z28" s="12">
        <v>82</v>
      </c>
      <c r="AA28" s="12"/>
      <c r="AB28" s="12"/>
      <c r="AC28" s="2">
        <f t="shared" si="2"/>
        <v>86.5</v>
      </c>
      <c r="AD28" s="12"/>
      <c r="AE28" s="3">
        <f t="shared" si="3"/>
        <v>86.5</v>
      </c>
      <c r="AF28" s="12"/>
      <c r="AG28" s="12"/>
      <c r="AH28" s="55">
        <v>0</v>
      </c>
      <c r="AI28" s="58">
        <f t="shared" si="6"/>
        <v>100</v>
      </c>
      <c r="AJ28" s="63">
        <f t="shared" si="7"/>
        <v>79.5</v>
      </c>
      <c r="AK28" s="2" t="str">
        <f t="shared" si="8"/>
        <v/>
      </c>
      <c r="AL28" s="3">
        <f t="shared" si="9"/>
        <v>79.5</v>
      </c>
      <c r="AM28" s="4">
        <f t="shared" si="10"/>
        <v>4</v>
      </c>
      <c r="AN28" s="2" t="str">
        <f t="shared" si="11"/>
        <v/>
      </c>
      <c r="AO28" s="12"/>
      <c r="AP28" s="5">
        <f t="shared" si="12"/>
        <v>0</v>
      </c>
      <c r="AQ28" s="28">
        <f t="shared" si="13"/>
        <v>100</v>
      </c>
    </row>
    <row r="29" spans="1:43" ht="18.2" customHeight="1" x14ac:dyDescent="0.25">
      <c r="A29" s="49">
        <v>5</v>
      </c>
      <c r="B29" s="49" t="s">
        <v>121</v>
      </c>
      <c r="C29" s="49" t="s">
        <v>193</v>
      </c>
      <c r="D29" s="49" t="s">
        <v>194</v>
      </c>
      <c r="E29" s="50" t="s">
        <v>195</v>
      </c>
      <c r="F29" s="27">
        <v>4268429</v>
      </c>
      <c r="G29" s="1">
        <f t="shared" si="4"/>
        <v>131</v>
      </c>
      <c r="H29" s="1">
        <f t="shared" si="5"/>
        <v>68</v>
      </c>
      <c r="I29" s="12">
        <v>74</v>
      </c>
      <c r="J29" s="12">
        <v>79</v>
      </c>
      <c r="K29" s="12">
        <v>80</v>
      </c>
      <c r="L29" s="12">
        <v>81</v>
      </c>
      <c r="M29" s="12">
        <v>77</v>
      </c>
      <c r="N29" s="12"/>
      <c r="O29" s="12"/>
      <c r="P29" s="2">
        <f t="shared" si="0"/>
        <v>79.25</v>
      </c>
      <c r="Q29" s="12"/>
      <c r="R29" s="3">
        <f t="shared" si="1"/>
        <v>79.25</v>
      </c>
      <c r="S29" s="12"/>
      <c r="T29" s="12"/>
      <c r="U29" s="55">
        <v>0</v>
      </c>
      <c r="V29" s="58">
        <f t="shared" si="14"/>
        <v>100</v>
      </c>
      <c r="W29" s="56">
        <v>80</v>
      </c>
      <c r="X29" s="12">
        <v>81</v>
      </c>
      <c r="Y29" s="12">
        <v>70</v>
      </c>
      <c r="Z29" s="12">
        <v>77</v>
      </c>
      <c r="AA29" s="12"/>
      <c r="AB29" s="12"/>
      <c r="AC29" s="2">
        <f t="shared" si="2"/>
        <v>77</v>
      </c>
      <c r="AD29" s="12"/>
      <c r="AE29" s="3">
        <f t="shared" si="3"/>
        <v>77</v>
      </c>
      <c r="AF29" s="12"/>
      <c r="AG29" s="12"/>
      <c r="AH29" s="55">
        <v>0</v>
      </c>
      <c r="AI29" s="58">
        <f t="shared" si="6"/>
        <v>100</v>
      </c>
      <c r="AJ29" s="63">
        <f t="shared" si="7"/>
        <v>78.125</v>
      </c>
      <c r="AK29" s="2" t="str">
        <f t="shared" si="8"/>
        <v/>
      </c>
      <c r="AL29" s="3">
        <f t="shared" si="9"/>
        <v>78.125</v>
      </c>
      <c r="AM29" s="4">
        <f t="shared" si="10"/>
        <v>4</v>
      </c>
      <c r="AN29" s="2" t="str">
        <f t="shared" si="11"/>
        <v/>
      </c>
      <c r="AO29" s="12"/>
      <c r="AP29" s="5">
        <f t="shared" si="12"/>
        <v>0</v>
      </c>
      <c r="AQ29" s="28">
        <f t="shared" si="13"/>
        <v>100</v>
      </c>
    </row>
    <row r="30" spans="1:43" ht="18.2" customHeight="1" x14ac:dyDescent="0.25">
      <c r="A30" s="49">
        <v>5</v>
      </c>
      <c r="B30" s="49" t="s">
        <v>121</v>
      </c>
      <c r="C30" s="49" t="s">
        <v>196</v>
      </c>
      <c r="D30" s="49" t="s">
        <v>197</v>
      </c>
      <c r="E30" s="50" t="s">
        <v>198</v>
      </c>
      <c r="F30" s="27">
        <v>4268429</v>
      </c>
      <c r="G30" s="1">
        <f t="shared" si="4"/>
        <v>131</v>
      </c>
      <c r="H30" s="1">
        <f t="shared" si="5"/>
        <v>68</v>
      </c>
      <c r="I30" s="12">
        <v>85</v>
      </c>
      <c r="J30" s="12">
        <v>84</v>
      </c>
      <c r="K30" s="12">
        <v>90</v>
      </c>
      <c r="L30" s="12">
        <v>84</v>
      </c>
      <c r="M30" s="12">
        <v>86</v>
      </c>
      <c r="N30" s="12"/>
      <c r="O30" s="12"/>
      <c r="P30" s="2">
        <f t="shared" si="0"/>
        <v>86</v>
      </c>
      <c r="Q30" s="12"/>
      <c r="R30" s="3">
        <f t="shared" si="1"/>
        <v>86</v>
      </c>
      <c r="S30" s="12"/>
      <c r="T30" s="12"/>
      <c r="U30" s="55">
        <v>0</v>
      </c>
      <c r="V30" s="58">
        <f t="shared" si="14"/>
        <v>100</v>
      </c>
      <c r="W30" s="56">
        <v>100</v>
      </c>
      <c r="X30" s="12">
        <v>95</v>
      </c>
      <c r="Y30" s="12">
        <v>81</v>
      </c>
      <c r="Z30" s="12">
        <v>86</v>
      </c>
      <c r="AA30" s="12"/>
      <c r="AB30" s="12"/>
      <c r="AC30" s="2">
        <f t="shared" si="2"/>
        <v>90.5</v>
      </c>
      <c r="AD30" s="12"/>
      <c r="AE30" s="3">
        <f t="shared" si="3"/>
        <v>90.5</v>
      </c>
      <c r="AF30" s="12"/>
      <c r="AG30" s="12"/>
      <c r="AH30" s="55">
        <v>0</v>
      </c>
      <c r="AI30" s="58">
        <f t="shared" si="6"/>
        <v>100</v>
      </c>
      <c r="AJ30" s="63">
        <f t="shared" si="7"/>
        <v>88.25</v>
      </c>
      <c r="AK30" s="2" t="str">
        <f t="shared" si="8"/>
        <v/>
      </c>
      <c r="AL30" s="3">
        <f t="shared" si="9"/>
        <v>88.25</v>
      </c>
      <c r="AM30" s="4">
        <f t="shared" si="10"/>
        <v>5</v>
      </c>
      <c r="AN30" s="2" t="str">
        <f t="shared" si="11"/>
        <v/>
      </c>
      <c r="AO30" s="12"/>
      <c r="AP30" s="5">
        <f t="shared" si="12"/>
        <v>0</v>
      </c>
      <c r="AQ30" s="28">
        <f t="shared" si="13"/>
        <v>100</v>
      </c>
    </row>
    <row r="31" spans="1:43" ht="18.2" customHeight="1" x14ac:dyDescent="0.25">
      <c r="A31" s="49">
        <v>5</v>
      </c>
      <c r="B31" s="49" t="s">
        <v>121</v>
      </c>
      <c r="C31" s="49" t="s">
        <v>199</v>
      </c>
      <c r="D31" s="49" t="s">
        <v>200</v>
      </c>
      <c r="E31" s="50" t="s">
        <v>201</v>
      </c>
      <c r="F31" s="27">
        <v>4268429</v>
      </c>
      <c r="G31" s="1">
        <f t="shared" si="4"/>
        <v>131</v>
      </c>
      <c r="H31" s="1">
        <f t="shared" si="5"/>
        <v>68</v>
      </c>
      <c r="I31" s="12">
        <v>84</v>
      </c>
      <c r="J31" s="12">
        <v>89</v>
      </c>
      <c r="K31" s="12">
        <v>79</v>
      </c>
      <c r="L31" s="12">
        <v>79</v>
      </c>
      <c r="M31" s="12">
        <v>70</v>
      </c>
      <c r="N31" s="12"/>
      <c r="O31" s="12"/>
      <c r="P31" s="2">
        <f t="shared" si="0"/>
        <v>79.25</v>
      </c>
      <c r="Q31" s="12"/>
      <c r="R31" s="3">
        <f t="shared" si="1"/>
        <v>79.25</v>
      </c>
      <c r="S31" s="12"/>
      <c r="T31" s="12"/>
      <c r="U31" s="55">
        <v>0</v>
      </c>
      <c r="V31" s="58">
        <f t="shared" si="14"/>
        <v>100</v>
      </c>
      <c r="W31" s="56">
        <v>60</v>
      </c>
      <c r="X31" s="12">
        <v>42</v>
      </c>
      <c r="Y31" s="12">
        <v>41</v>
      </c>
      <c r="Z31" s="12">
        <v>42</v>
      </c>
      <c r="AA31" s="12"/>
      <c r="AB31" s="12"/>
      <c r="AC31" s="2">
        <f t="shared" si="2"/>
        <v>46.25</v>
      </c>
      <c r="AD31" s="12"/>
      <c r="AE31" s="3">
        <f t="shared" si="3"/>
        <v>46.25</v>
      </c>
      <c r="AF31" s="12"/>
      <c r="AG31" s="12"/>
      <c r="AH31" s="55">
        <v>0</v>
      </c>
      <c r="AI31" s="58">
        <f t="shared" si="6"/>
        <v>100</v>
      </c>
      <c r="AJ31" s="63">
        <f t="shared" si="7"/>
        <v>62.75</v>
      </c>
      <c r="AK31" s="2" t="str">
        <f t="shared" si="8"/>
        <v/>
      </c>
      <c r="AL31" s="3">
        <f t="shared" si="9"/>
        <v>62.75</v>
      </c>
      <c r="AM31" s="4">
        <f t="shared" si="10"/>
        <v>4</v>
      </c>
      <c r="AN31" s="2" t="str">
        <f t="shared" si="11"/>
        <v/>
      </c>
      <c r="AO31" s="12"/>
      <c r="AP31" s="5">
        <f t="shared" si="12"/>
        <v>0</v>
      </c>
      <c r="AQ31" s="28">
        <f t="shared" si="13"/>
        <v>100</v>
      </c>
    </row>
    <row r="32" spans="1:43" ht="18.2" customHeight="1" x14ac:dyDescent="0.25">
      <c r="A32" s="49">
        <v>5</v>
      </c>
      <c r="B32" s="49" t="s">
        <v>121</v>
      </c>
      <c r="C32" s="49" t="s">
        <v>202</v>
      </c>
      <c r="D32" s="49" t="s">
        <v>203</v>
      </c>
      <c r="E32" s="50" t="s">
        <v>204</v>
      </c>
      <c r="F32" s="27">
        <v>4268429</v>
      </c>
      <c r="G32" s="1">
        <f t="shared" si="4"/>
        <v>131</v>
      </c>
      <c r="H32" s="1">
        <f t="shared" si="5"/>
        <v>68</v>
      </c>
      <c r="I32" s="12">
        <v>98</v>
      </c>
      <c r="J32" s="12">
        <v>78</v>
      </c>
      <c r="K32" s="12">
        <v>77</v>
      </c>
      <c r="L32" s="12">
        <v>84</v>
      </c>
      <c r="M32" s="12">
        <v>89</v>
      </c>
      <c r="N32" s="12"/>
      <c r="O32" s="12"/>
      <c r="P32" s="2">
        <f t="shared" si="0"/>
        <v>82</v>
      </c>
      <c r="Q32" s="12"/>
      <c r="R32" s="3">
        <f t="shared" si="1"/>
        <v>82</v>
      </c>
      <c r="S32" s="12"/>
      <c r="T32" s="12"/>
      <c r="U32" s="55">
        <v>0</v>
      </c>
      <c r="V32" s="58">
        <f t="shared" si="14"/>
        <v>100</v>
      </c>
      <c r="W32" s="56">
        <v>100</v>
      </c>
      <c r="X32" s="12">
        <v>81</v>
      </c>
      <c r="Y32" s="12">
        <v>81</v>
      </c>
      <c r="Z32" s="12">
        <v>86</v>
      </c>
      <c r="AA32" s="12"/>
      <c r="AB32" s="12"/>
      <c r="AC32" s="2">
        <f t="shared" si="2"/>
        <v>87</v>
      </c>
      <c r="AD32" s="12"/>
      <c r="AE32" s="3">
        <f t="shared" si="3"/>
        <v>87</v>
      </c>
      <c r="AF32" s="12"/>
      <c r="AG32" s="12"/>
      <c r="AH32" s="55">
        <v>0</v>
      </c>
      <c r="AI32" s="58">
        <f t="shared" si="6"/>
        <v>100</v>
      </c>
      <c r="AJ32" s="63">
        <f t="shared" si="7"/>
        <v>84.5</v>
      </c>
      <c r="AK32" s="2" t="str">
        <f t="shared" si="8"/>
        <v/>
      </c>
      <c r="AL32" s="3">
        <f t="shared" si="9"/>
        <v>84.5</v>
      </c>
      <c r="AM32" s="4">
        <f t="shared" si="10"/>
        <v>5</v>
      </c>
      <c r="AN32" s="2" t="str">
        <f t="shared" si="11"/>
        <v/>
      </c>
      <c r="AO32" s="12"/>
      <c r="AP32" s="5">
        <f t="shared" si="12"/>
        <v>0</v>
      </c>
      <c r="AQ32" s="28">
        <f t="shared" si="13"/>
        <v>100</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131</v>
      </c>
      <c r="H55" s="22">
        <f>IF(H4="","",$H$4)</f>
        <v>68</v>
      </c>
      <c r="I55" s="23">
        <f t="shared" ref="I55:V55" si="17">IFERROR(AVERAGE(I5:I54),"")</f>
        <v>88.428571428571431</v>
      </c>
      <c r="J55" s="23">
        <f t="shared" si="17"/>
        <v>83.892857142857139</v>
      </c>
      <c r="K55" s="23">
        <f t="shared" si="17"/>
        <v>83.5</v>
      </c>
      <c r="L55" s="23">
        <f t="shared" si="17"/>
        <v>83.678571428571431</v>
      </c>
      <c r="M55" s="23">
        <f t="shared" si="17"/>
        <v>82.25</v>
      </c>
      <c r="N55" s="23" t="str">
        <f t="shared" si="17"/>
        <v/>
      </c>
      <c r="O55" s="23" t="str">
        <f t="shared" si="17"/>
        <v/>
      </c>
      <c r="P55" s="23">
        <f t="shared" si="17"/>
        <v>83.330357142857139</v>
      </c>
      <c r="Q55" s="23" t="str">
        <f t="shared" si="17"/>
        <v/>
      </c>
      <c r="R55" s="23">
        <f t="shared" si="17"/>
        <v>83.330357142857139</v>
      </c>
      <c r="S55" s="23" t="str">
        <f t="shared" si="17"/>
        <v/>
      </c>
      <c r="T55" s="23" t="str">
        <f t="shared" si="17"/>
        <v/>
      </c>
      <c r="U55" s="24">
        <f>IFERROR(SUM(U5:U54),"")</f>
        <v>0</v>
      </c>
      <c r="V55" s="23">
        <f t="shared" si="17"/>
        <v>100</v>
      </c>
      <c r="W55" s="23">
        <f t="shared" ref="W55:AG55" si="18">IFERROR(AVERAGE(W5:W54),"")</f>
        <v>76.75</v>
      </c>
      <c r="X55" s="23">
        <f t="shared" si="18"/>
        <v>73.642857142857139</v>
      </c>
      <c r="Y55" s="23">
        <f t="shared" si="18"/>
        <v>76.428571428571431</v>
      </c>
      <c r="Z55" s="23">
        <f t="shared" si="18"/>
        <v>78.428571428571431</v>
      </c>
      <c r="AA55" s="23" t="str">
        <f t="shared" si="18"/>
        <v/>
      </c>
      <c r="AB55" s="23" t="str">
        <f t="shared" si="18"/>
        <v/>
      </c>
      <c r="AC55" s="23">
        <f t="shared" si="18"/>
        <v>76.3125</v>
      </c>
      <c r="AD55" s="23" t="str">
        <f t="shared" si="18"/>
        <v/>
      </c>
      <c r="AE55" s="23">
        <f t="shared" si="18"/>
        <v>76.3125</v>
      </c>
      <c r="AF55" s="23" t="str">
        <f t="shared" si="18"/>
        <v/>
      </c>
      <c r="AG55" s="23" t="str">
        <f t="shared" si="18"/>
        <v/>
      </c>
      <c r="AH55" s="24">
        <f>IFERROR(SUM(AH5:AH54),"")</f>
        <v>0</v>
      </c>
      <c r="AI55" s="23">
        <f t="shared" ref="AI55" si="19">IFERROR(AVERAGE(AI5:AI54),"")</f>
        <v>100</v>
      </c>
      <c r="AJ55" s="23">
        <f t="shared" ref="AJ55" si="20">IFERROR(AVERAGE(AJ5:AJ54),"")</f>
        <v>79.821428571428569</v>
      </c>
      <c r="AK55" s="23" t="str">
        <f t="shared" ref="AK55" si="21">IFERROR(AVERAGE(AK5:AK54),"")</f>
        <v/>
      </c>
      <c r="AL55" s="23">
        <f t="shared" ref="AL55" si="22">IFERROR(AVERAGE(AL5:AL54),"")</f>
        <v>79.821428571428569</v>
      </c>
      <c r="AM55" s="24">
        <f>IF(AL55&lt;=30,2,IF(AL55&lt;=60,3,IF(AL55&lt;=80,4,IF(AL55&lt;=100,5,""))))</f>
        <v>4</v>
      </c>
      <c r="AN55" s="23" t="str">
        <f>IFERROR(AVERAGE(AN5:AN54),"")</f>
        <v/>
      </c>
      <c r="AO55" s="23" t="str">
        <f>IFERROR(AVERAGE(AO5:AO54),"")</f>
        <v/>
      </c>
      <c r="AP55" s="24">
        <f>IFERROR(SUM(AP5:AP54),"")</f>
        <v>0</v>
      </c>
      <c r="AQ55" s="23">
        <f t="shared" ref="AQ55" si="23">IFERROR(AVERAGE(AQ5:AQ54),"")</f>
        <v>100</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23</v>
      </c>
      <c r="J57" s="6">
        <f t="shared" ref="J57:AK57" si="24">COUNTIFS(J5:J54,"&gt;80",J5:J54,"&lt;=100")</f>
        <v>20</v>
      </c>
      <c r="K57" s="6">
        <f t="shared" si="24"/>
        <v>21</v>
      </c>
      <c r="L57" s="6">
        <f t="shared" si="24"/>
        <v>22</v>
      </c>
      <c r="M57" s="6">
        <f t="shared" si="24"/>
        <v>20</v>
      </c>
      <c r="N57" s="6">
        <f t="shared" si="24"/>
        <v>0</v>
      </c>
      <c r="O57" s="6">
        <f t="shared" si="24"/>
        <v>0</v>
      </c>
      <c r="P57" s="6">
        <f t="shared" si="24"/>
        <v>22</v>
      </c>
      <c r="Q57" s="6">
        <f t="shared" si="24"/>
        <v>0</v>
      </c>
      <c r="R57" s="6">
        <f t="shared" si="24"/>
        <v>22</v>
      </c>
      <c r="S57" s="6">
        <f t="shared" si="24"/>
        <v>0</v>
      </c>
      <c r="T57" s="6">
        <f t="shared" si="24"/>
        <v>0</v>
      </c>
      <c r="U57" s="71"/>
      <c r="V57" s="71"/>
      <c r="W57" s="6">
        <f t="shared" ref="W57:AG57" si="25">COUNTIFS(W5:W54,"&gt;80",W5:W54,"&lt;=100")</f>
        <v>14</v>
      </c>
      <c r="X57" s="6">
        <f t="shared" si="25"/>
        <v>16</v>
      </c>
      <c r="Y57" s="6">
        <f t="shared" si="25"/>
        <v>16</v>
      </c>
      <c r="Z57" s="6">
        <f t="shared" si="25"/>
        <v>15</v>
      </c>
      <c r="AA57" s="6">
        <f t="shared" si="25"/>
        <v>0</v>
      </c>
      <c r="AB57" s="6">
        <f t="shared" si="25"/>
        <v>0</v>
      </c>
      <c r="AC57" s="6">
        <f t="shared" si="25"/>
        <v>15</v>
      </c>
      <c r="AD57" s="6">
        <f t="shared" si="25"/>
        <v>0</v>
      </c>
      <c r="AE57" s="6">
        <f t="shared" si="25"/>
        <v>15</v>
      </c>
      <c r="AF57" s="6">
        <f t="shared" si="25"/>
        <v>0</v>
      </c>
      <c r="AG57" s="6">
        <f t="shared" si="25"/>
        <v>0</v>
      </c>
      <c r="AH57" s="71"/>
      <c r="AI57" s="71"/>
      <c r="AJ57" s="6">
        <f t="shared" si="24"/>
        <v>15</v>
      </c>
      <c r="AK57" s="6">
        <f t="shared" si="24"/>
        <v>0</v>
      </c>
      <c r="AL57" s="6">
        <f>COUNTIFS(AL5:AL54,"&gt;80",AL5:AL54,"&lt;=100")</f>
        <v>15</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5</v>
      </c>
      <c r="J58" s="6">
        <f t="shared" si="27"/>
        <v>8</v>
      </c>
      <c r="K58" s="6">
        <f t="shared" si="27"/>
        <v>7</v>
      </c>
      <c r="L58" s="6">
        <f t="shared" si="27"/>
        <v>6</v>
      </c>
      <c r="M58" s="6">
        <f t="shared" si="27"/>
        <v>7</v>
      </c>
      <c r="N58" s="6">
        <f t="shared" si="27"/>
        <v>0</v>
      </c>
      <c r="O58" s="6">
        <f t="shared" si="27"/>
        <v>0</v>
      </c>
      <c r="P58" s="6">
        <f t="shared" si="27"/>
        <v>6</v>
      </c>
      <c r="Q58" s="6">
        <f t="shared" si="27"/>
        <v>0</v>
      </c>
      <c r="R58" s="6">
        <f t="shared" si="27"/>
        <v>6</v>
      </c>
      <c r="S58" s="6">
        <f t="shared" si="27"/>
        <v>0</v>
      </c>
      <c r="T58" s="6">
        <f t="shared" si="27"/>
        <v>0</v>
      </c>
      <c r="U58" s="72"/>
      <c r="V58" s="72"/>
      <c r="W58" s="6">
        <f t="shared" ref="W58:AG58" si="28">COUNTIFS(W5:W54,"&gt;60",W5:W54,"&lt;=80")</f>
        <v>8</v>
      </c>
      <c r="X58" s="6">
        <f t="shared" si="28"/>
        <v>6</v>
      </c>
      <c r="Y58" s="6">
        <f t="shared" si="28"/>
        <v>6</v>
      </c>
      <c r="Z58" s="6">
        <f t="shared" si="28"/>
        <v>10</v>
      </c>
      <c r="AA58" s="6">
        <f t="shared" si="28"/>
        <v>0</v>
      </c>
      <c r="AB58" s="6">
        <f t="shared" si="28"/>
        <v>0</v>
      </c>
      <c r="AC58" s="6">
        <f t="shared" si="28"/>
        <v>9</v>
      </c>
      <c r="AD58" s="6">
        <f t="shared" si="28"/>
        <v>0</v>
      </c>
      <c r="AE58" s="6">
        <f t="shared" si="28"/>
        <v>9</v>
      </c>
      <c r="AF58" s="6">
        <f t="shared" si="28"/>
        <v>0</v>
      </c>
      <c r="AG58" s="6">
        <f t="shared" si="28"/>
        <v>0</v>
      </c>
      <c r="AH58" s="72"/>
      <c r="AI58" s="72"/>
      <c r="AJ58" s="6">
        <f t="shared" si="27"/>
        <v>12</v>
      </c>
      <c r="AK58" s="6">
        <f t="shared" si="27"/>
        <v>0</v>
      </c>
      <c r="AL58" s="6">
        <f t="shared" si="27"/>
        <v>12</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0</v>
      </c>
      <c r="J59" s="6">
        <f t="shared" si="30"/>
        <v>0</v>
      </c>
      <c r="K59" s="6">
        <f t="shared" si="30"/>
        <v>0</v>
      </c>
      <c r="L59" s="6">
        <f t="shared" si="30"/>
        <v>0</v>
      </c>
      <c r="M59" s="6">
        <f t="shared" si="30"/>
        <v>1</v>
      </c>
      <c r="N59" s="6">
        <f t="shared" si="30"/>
        <v>0</v>
      </c>
      <c r="O59" s="6">
        <f t="shared" si="30"/>
        <v>0</v>
      </c>
      <c r="P59" s="6">
        <f t="shared" si="30"/>
        <v>0</v>
      </c>
      <c r="Q59" s="6">
        <f t="shared" si="30"/>
        <v>0</v>
      </c>
      <c r="R59" s="6">
        <f t="shared" si="30"/>
        <v>0</v>
      </c>
      <c r="S59" s="6">
        <f t="shared" si="30"/>
        <v>0</v>
      </c>
      <c r="T59" s="6">
        <f t="shared" si="30"/>
        <v>0</v>
      </c>
      <c r="U59" s="72"/>
      <c r="V59" s="72"/>
      <c r="W59" s="6">
        <f t="shared" ref="W59:AG59" si="31">COUNTIFS(W5:W54,"&gt;30",W5:W54,"&lt;=60")</f>
        <v>6</v>
      </c>
      <c r="X59" s="6">
        <f t="shared" si="31"/>
        <v>6</v>
      </c>
      <c r="Y59" s="6">
        <f t="shared" si="31"/>
        <v>6</v>
      </c>
      <c r="Z59" s="6">
        <f t="shared" si="31"/>
        <v>3</v>
      </c>
      <c r="AA59" s="6">
        <f t="shared" si="31"/>
        <v>0</v>
      </c>
      <c r="AB59" s="6">
        <f t="shared" si="31"/>
        <v>0</v>
      </c>
      <c r="AC59" s="6">
        <f t="shared" si="31"/>
        <v>4</v>
      </c>
      <c r="AD59" s="6">
        <f t="shared" si="31"/>
        <v>0</v>
      </c>
      <c r="AE59" s="6">
        <f t="shared" si="31"/>
        <v>4</v>
      </c>
      <c r="AF59" s="6">
        <f t="shared" si="31"/>
        <v>0</v>
      </c>
      <c r="AG59" s="6">
        <f t="shared" si="31"/>
        <v>0</v>
      </c>
      <c r="AH59" s="72"/>
      <c r="AI59" s="72"/>
      <c r="AJ59" s="6">
        <f t="shared" si="30"/>
        <v>1</v>
      </c>
      <c r="AK59" s="6">
        <f t="shared" si="30"/>
        <v>0</v>
      </c>
      <c r="AL59" s="6">
        <f t="shared" si="30"/>
        <v>1</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28</v>
      </c>
      <c r="J61" s="7">
        <f t="shared" ref="J61:AL61" si="36">SUM(J57:J60)</f>
        <v>28</v>
      </c>
      <c r="K61" s="7">
        <f t="shared" si="36"/>
        <v>28</v>
      </c>
      <c r="L61" s="7">
        <f t="shared" si="36"/>
        <v>28</v>
      </c>
      <c r="M61" s="7">
        <f t="shared" si="36"/>
        <v>28</v>
      </c>
      <c r="N61" s="7">
        <f t="shared" si="36"/>
        <v>0</v>
      </c>
      <c r="O61" s="7">
        <f t="shared" si="36"/>
        <v>0</v>
      </c>
      <c r="P61" s="7">
        <f t="shared" si="36"/>
        <v>28</v>
      </c>
      <c r="Q61" s="7">
        <f t="shared" si="36"/>
        <v>0</v>
      </c>
      <c r="R61" s="7">
        <f t="shared" si="36"/>
        <v>28</v>
      </c>
      <c r="S61" s="7">
        <f t="shared" si="36"/>
        <v>0</v>
      </c>
      <c r="T61" s="7">
        <f t="shared" si="36"/>
        <v>0</v>
      </c>
      <c r="U61" s="72"/>
      <c r="V61" s="72"/>
      <c r="W61" s="7">
        <f t="shared" ref="W61:AG61" si="37">SUM(W57:W60)</f>
        <v>28</v>
      </c>
      <c r="X61" s="7">
        <f t="shared" si="37"/>
        <v>28</v>
      </c>
      <c r="Y61" s="7">
        <f t="shared" si="37"/>
        <v>28</v>
      </c>
      <c r="Z61" s="7">
        <f t="shared" si="37"/>
        <v>28</v>
      </c>
      <c r="AA61" s="7">
        <f t="shared" si="37"/>
        <v>0</v>
      </c>
      <c r="AB61" s="7">
        <f t="shared" si="37"/>
        <v>0</v>
      </c>
      <c r="AC61" s="7">
        <f t="shared" si="37"/>
        <v>28</v>
      </c>
      <c r="AD61" s="7">
        <f t="shared" si="37"/>
        <v>0</v>
      </c>
      <c r="AE61" s="7">
        <f t="shared" si="37"/>
        <v>28</v>
      </c>
      <c r="AF61" s="7">
        <f t="shared" si="37"/>
        <v>0</v>
      </c>
      <c r="AG61" s="7">
        <f t="shared" si="37"/>
        <v>0</v>
      </c>
      <c r="AH61" s="72"/>
      <c r="AI61" s="72"/>
      <c r="AJ61" s="7">
        <f t="shared" si="36"/>
        <v>28</v>
      </c>
      <c r="AK61" s="7">
        <f t="shared" si="36"/>
        <v>0</v>
      </c>
      <c r="AL61" s="7">
        <f t="shared" si="36"/>
        <v>28</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82.142857142857139</v>
      </c>
      <c r="J62" s="8">
        <f t="shared" ref="J62:AL62" si="39">IFERROR(J57*100/J61,"")</f>
        <v>71.428571428571431</v>
      </c>
      <c r="K62" s="8">
        <f t="shared" si="39"/>
        <v>75</v>
      </c>
      <c r="L62" s="8">
        <f t="shared" si="39"/>
        <v>78.571428571428569</v>
      </c>
      <c r="M62" s="8">
        <f t="shared" si="39"/>
        <v>71.428571428571431</v>
      </c>
      <c r="N62" s="8" t="str">
        <f t="shared" si="39"/>
        <v/>
      </c>
      <c r="O62" s="8" t="str">
        <f t="shared" si="39"/>
        <v/>
      </c>
      <c r="P62" s="8">
        <f t="shared" si="39"/>
        <v>78.571428571428569</v>
      </c>
      <c r="Q62" s="8" t="str">
        <f t="shared" si="39"/>
        <v/>
      </c>
      <c r="R62" s="8">
        <f t="shared" si="39"/>
        <v>78.571428571428569</v>
      </c>
      <c r="S62" s="8" t="str">
        <f t="shared" si="39"/>
        <v/>
      </c>
      <c r="T62" s="8" t="str">
        <f t="shared" si="39"/>
        <v/>
      </c>
      <c r="U62" s="72"/>
      <c r="V62" s="72"/>
      <c r="W62" s="8">
        <f t="shared" ref="W62:AG62" si="40">IFERROR(W57*100/W61,"")</f>
        <v>50</v>
      </c>
      <c r="X62" s="8">
        <f t="shared" si="40"/>
        <v>57.142857142857146</v>
      </c>
      <c r="Y62" s="8">
        <f t="shared" si="40"/>
        <v>57.142857142857146</v>
      </c>
      <c r="Z62" s="8">
        <f t="shared" si="40"/>
        <v>53.571428571428569</v>
      </c>
      <c r="AA62" s="8" t="str">
        <f t="shared" si="40"/>
        <v/>
      </c>
      <c r="AB62" s="8" t="str">
        <f t="shared" si="40"/>
        <v/>
      </c>
      <c r="AC62" s="8">
        <f t="shared" si="40"/>
        <v>53.571428571428569</v>
      </c>
      <c r="AD62" s="8" t="str">
        <f t="shared" si="40"/>
        <v/>
      </c>
      <c r="AE62" s="8">
        <f t="shared" si="40"/>
        <v>53.571428571428569</v>
      </c>
      <c r="AF62" s="8" t="str">
        <f t="shared" si="40"/>
        <v/>
      </c>
      <c r="AG62" s="8" t="str">
        <f t="shared" si="40"/>
        <v/>
      </c>
      <c r="AH62" s="72"/>
      <c r="AI62" s="72"/>
      <c r="AJ62" s="8">
        <f t="shared" si="39"/>
        <v>53.571428571428569</v>
      </c>
      <c r="AK62" s="8" t="str">
        <f t="shared" si="39"/>
        <v/>
      </c>
      <c r="AL62" s="8">
        <f t="shared" si="39"/>
        <v>53.571428571428569</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17.857142857142858</v>
      </c>
      <c r="J63" s="8">
        <f t="shared" ref="J63:AL63" si="42">IFERROR(J58*100/J61,"")</f>
        <v>28.571428571428573</v>
      </c>
      <c r="K63" s="8">
        <f t="shared" si="42"/>
        <v>25</v>
      </c>
      <c r="L63" s="8">
        <f t="shared" si="42"/>
        <v>21.428571428571427</v>
      </c>
      <c r="M63" s="8">
        <f t="shared" si="42"/>
        <v>25</v>
      </c>
      <c r="N63" s="8" t="str">
        <f t="shared" si="42"/>
        <v/>
      </c>
      <c r="O63" s="8" t="str">
        <f t="shared" si="42"/>
        <v/>
      </c>
      <c r="P63" s="8">
        <f t="shared" si="42"/>
        <v>21.428571428571427</v>
      </c>
      <c r="Q63" s="8" t="str">
        <f t="shared" si="42"/>
        <v/>
      </c>
      <c r="R63" s="8">
        <f t="shared" si="42"/>
        <v>21.428571428571427</v>
      </c>
      <c r="S63" s="8" t="str">
        <f t="shared" si="42"/>
        <v/>
      </c>
      <c r="T63" s="8" t="str">
        <f t="shared" si="42"/>
        <v/>
      </c>
      <c r="U63" s="72"/>
      <c r="V63" s="72"/>
      <c r="W63" s="8">
        <f t="shared" ref="W63:AG63" si="43">IFERROR(W58*100/W61,"")</f>
        <v>28.571428571428573</v>
      </c>
      <c r="X63" s="8">
        <f t="shared" si="43"/>
        <v>21.428571428571427</v>
      </c>
      <c r="Y63" s="8">
        <f t="shared" si="43"/>
        <v>21.428571428571427</v>
      </c>
      <c r="Z63" s="8">
        <f t="shared" si="43"/>
        <v>35.714285714285715</v>
      </c>
      <c r="AA63" s="8" t="str">
        <f t="shared" si="43"/>
        <v/>
      </c>
      <c r="AB63" s="8" t="str">
        <f t="shared" si="43"/>
        <v/>
      </c>
      <c r="AC63" s="8">
        <f t="shared" si="43"/>
        <v>32.142857142857146</v>
      </c>
      <c r="AD63" s="8" t="str">
        <f t="shared" si="43"/>
        <v/>
      </c>
      <c r="AE63" s="8">
        <f t="shared" si="43"/>
        <v>32.142857142857146</v>
      </c>
      <c r="AF63" s="8" t="str">
        <f t="shared" si="43"/>
        <v/>
      </c>
      <c r="AG63" s="8" t="str">
        <f t="shared" si="43"/>
        <v/>
      </c>
      <c r="AH63" s="72"/>
      <c r="AI63" s="72"/>
      <c r="AJ63" s="8">
        <f t="shared" si="42"/>
        <v>42.857142857142854</v>
      </c>
      <c r="AK63" s="8" t="str">
        <f t="shared" si="42"/>
        <v/>
      </c>
      <c r="AL63" s="8">
        <f t="shared" si="42"/>
        <v>42.857142857142854</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0</v>
      </c>
      <c r="J64" s="8">
        <f t="shared" ref="J64:AL64" si="45">IFERROR(J59*100/J61,"")</f>
        <v>0</v>
      </c>
      <c r="K64" s="8">
        <f t="shared" si="45"/>
        <v>0</v>
      </c>
      <c r="L64" s="8">
        <f t="shared" si="45"/>
        <v>0</v>
      </c>
      <c r="M64" s="8">
        <f t="shared" si="45"/>
        <v>3.5714285714285716</v>
      </c>
      <c r="N64" s="8" t="str">
        <f t="shared" si="45"/>
        <v/>
      </c>
      <c r="O64" s="8" t="str">
        <f t="shared" si="45"/>
        <v/>
      </c>
      <c r="P64" s="8">
        <f t="shared" si="45"/>
        <v>0</v>
      </c>
      <c r="Q64" s="8" t="str">
        <f t="shared" si="45"/>
        <v/>
      </c>
      <c r="R64" s="8">
        <f t="shared" si="45"/>
        <v>0</v>
      </c>
      <c r="S64" s="8" t="str">
        <f t="shared" si="45"/>
        <v/>
      </c>
      <c r="T64" s="8" t="str">
        <f t="shared" si="45"/>
        <v/>
      </c>
      <c r="U64" s="72"/>
      <c r="V64" s="72"/>
      <c r="W64" s="8">
        <f t="shared" ref="W64:AG64" si="46">IFERROR(W59*100/W61,"")</f>
        <v>21.428571428571427</v>
      </c>
      <c r="X64" s="8">
        <f t="shared" si="46"/>
        <v>21.428571428571427</v>
      </c>
      <c r="Y64" s="8">
        <f t="shared" si="46"/>
        <v>21.428571428571427</v>
      </c>
      <c r="Z64" s="8">
        <f t="shared" si="46"/>
        <v>10.714285714285714</v>
      </c>
      <c r="AA64" s="8" t="str">
        <f t="shared" si="46"/>
        <v/>
      </c>
      <c r="AB64" s="8" t="str">
        <f t="shared" si="46"/>
        <v/>
      </c>
      <c r="AC64" s="8">
        <f t="shared" si="46"/>
        <v>14.285714285714286</v>
      </c>
      <c r="AD64" s="8" t="str">
        <f t="shared" si="46"/>
        <v/>
      </c>
      <c r="AE64" s="8">
        <f t="shared" si="46"/>
        <v>14.285714285714286</v>
      </c>
      <c r="AF64" s="8" t="str">
        <f t="shared" si="46"/>
        <v/>
      </c>
      <c r="AG64" s="8" t="str">
        <f t="shared" si="46"/>
        <v/>
      </c>
      <c r="AH64" s="72"/>
      <c r="AI64" s="72"/>
      <c r="AJ64" s="8">
        <f t="shared" si="45"/>
        <v>3.5714285714285716</v>
      </c>
      <c r="AK64" s="8" t="str">
        <f t="shared" si="45"/>
        <v/>
      </c>
      <c r="AL64" s="8">
        <f t="shared" si="45"/>
        <v>3.5714285714285716</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0</v>
      </c>
      <c r="K65" s="8">
        <f t="shared" si="48"/>
        <v>0</v>
      </c>
      <c r="L65" s="8">
        <f t="shared" si="48"/>
        <v>0</v>
      </c>
      <c r="M65" s="8">
        <f t="shared" si="48"/>
        <v>0</v>
      </c>
      <c r="N65" s="8" t="str">
        <f t="shared" si="48"/>
        <v/>
      </c>
      <c r="O65" s="8" t="str">
        <f t="shared" si="48"/>
        <v/>
      </c>
      <c r="P65" s="8">
        <f t="shared" si="48"/>
        <v>0</v>
      </c>
      <c r="Q65" s="8" t="str">
        <f t="shared" si="48"/>
        <v/>
      </c>
      <c r="R65" s="8">
        <f t="shared" si="48"/>
        <v>0</v>
      </c>
      <c r="S65" s="8" t="str">
        <f t="shared" si="48"/>
        <v/>
      </c>
      <c r="T65" s="8" t="str">
        <f t="shared" si="48"/>
        <v/>
      </c>
      <c r="U65" s="72"/>
      <c r="V65" s="72"/>
      <c r="W65" s="8">
        <f t="shared" ref="W65:AG65" si="49">IFERROR(W60*100/W61,"")</f>
        <v>0</v>
      </c>
      <c r="X65" s="8">
        <f t="shared" si="49"/>
        <v>0</v>
      </c>
      <c r="Y65" s="8">
        <f t="shared" si="49"/>
        <v>0</v>
      </c>
      <c r="Z65" s="8">
        <f t="shared" si="49"/>
        <v>0</v>
      </c>
      <c r="AA65" s="8" t="str">
        <f t="shared" si="49"/>
        <v/>
      </c>
      <c r="AB65" s="8" t="str">
        <f t="shared" si="49"/>
        <v/>
      </c>
      <c r="AC65" s="8">
        <f t="shared" si="49"/>
        <v>0</v>
      </c>
      <c r="AD65" s="8" t="str">
        <f t="shared" si="49"/>
        <v/>
      </c>
      <c r="AE65" s="8">
        <f t="shared" si="49"/>
        <v>0</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2023-06-26T15:42:23Z</dcterms:modified>
</cp:coreProperties>
</file>