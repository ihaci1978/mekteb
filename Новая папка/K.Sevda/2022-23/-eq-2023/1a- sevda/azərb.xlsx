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<sst xmlns="http://schemas.openxmlformats.org/spreadsheetml/2006/main" count="271" uniqueCount="196">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</sst>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69" zoomScaleNormal="69" workbookViewId="0">
      <pane xSplit="6" ySplit="4" topLeftCell="W21" activePane="bottomRight" state="frozen"/>
      <selection pane="topRight" activeCell="G1" sqref="G1"/>
      <selection pane="bottomLeft" activeCell="A5" sqref="A5"/>
      <selection pane="bottomRight" activeCell="AD35" sqref="AD3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270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1072039</v>
      </c>
      <c r="G5" s="16">
        <f>IF(F5="","",$G$4)</f>
        <v>101</v>
      </c>
      <c r="H5" s="16">
        <f>IF(F5="","",$H$4)</f>
        <v>270</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1072039</v>
      </c>
      <c r="G6" s="1">
        <f t="shared" ref="G6:G54" si="4">IF(F6="","",$G$4)</f>
        <v>101</v>
      </c>
      <c r="H6" s="1">
        <f t="shared" ref="H6:H54" si="5">IF(F6="","",$H$4)</f>
        <v>270</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1072039</v>
      </c>
      <c r="G7" s="1">
        <f t="shared" si="4"/>
        <v>101</v>
      </c>
      <c r="H7" s="1">
        <f t="shared" si="5"/>
        <v>270</v>
      </c>
      <c r="I7" s="12"/>
      <c r="J7" s="12"/>
      <c r="K7" s="12"/>
      <c r="L7" s="12"/>
      <c r="M7" s="12"/>
      <c r="N7" s="12"/>
      <c r="O7" s="12"/>
      <c r="P7" s="2" t="str">
        <f t="shared" si="0"/>
        <v/>
      </c>
      <c r="Q7" s="12"/>
      <c r="R7" s="3" t="str">
        <f t="shared" si="1"/>
        <v/>
      </c>
      <c r="S7" s="12"/>
      <c r="T7" s="12"/>
      <c r="U7" s="55">
        <v>4</v>
      </c>
      <c r="V7" s="58">
        <f t="shared" ref="V7:V54" si="14">IF(U7="","",((H7/2)-U7)*100/(H7/2))</f>
        <v>97.037037037037038</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4</v>
      </c>
      <c r="AQ7" s="28">
        <f t="shared" si="13"/>
        <v>98.518518518518519</v>
      </c>
    </row>
    <row r="8" spans="1:43" ht="18.2" customHeight="1" thickBot="1" x14ac:dyDescent="0.3">
      <c r="A8" s="49">
        <v>1</v>
      </c>
      <c r="B8" s="49" t="s">
        <v>121</v>
      </c>
      <c r="C8" s="49" t="s">
        <v>131</v>
      </c>
      <c r="D8" s="49" t="s">
        <v>132</v>
      </c>
      <c r="E8" s="50" t="s">
        <v>133</v>
      </c>
      <c r="F8" s="15">
        <v>1072039</v>
      </c>
      <c r="G8" s="1">
        <f t="shared" si="4"/>
        <v>101</v>
      </c>
      <c r="H8" s="1">
        <f t="shared" si="5"/>
        <v>270</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1072039</v>
      </c>
      <c r="G9" s="1">
        <f t="shared" si="4"/>
        <v>101</v>
      </c>
      <c r="H9" s="1">
        <f t="shared" si="5"/>
        <v>270</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1072039</v>
      </c>
      <c r="G10" s="1">
        <f t="shared" si="4"/>
        <v>101</v>
      </c>
      <c r="H10" s="1">
        <f t="shared" si="5"/>
        <v>270</v>
      </c>
      <c r="I10" s="12"/>
      <c r="J10" s="12"/>
      <c r="K10" s="12"/>
      <c r="L10" s="12"/>
      <c r="M10" s="12"/>
      <c r="N10" s="12"/>
      <c r="O10" s="12"/>
      <c r="P10" s="2" t="str">
        <f t="shared" si="0"/>
        <v/>
      </c>
      <c r="Q10" s="12"/>
      <c r="R10" s="3" t="str">
        <f t="shared" si="1"/>
        <v/>
      </c>
      <c r="S10" s="12"/>
      <c r="T10" s="12"/>
      <c r="U10" s="55">
        <v>2</v>
      </c>
      <c r="V10" s="58">
        <f t="shared" si="14"/>
        <v>98.518518518518519</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2</v>
      </c>
      <c r="AQ10" s="28">
        <f t="shared" si="13"/>
        <v>99.259259259259252</v>
      </c>
    </row>
    <row r="11" spans="1:43" ht="18.2" customHeight="1" thickBot="1" x14ac:dyDescent="0.3">
      <c r="A11" s="49">
        <v>1</v>
      </c>
      <c r="B11" s="49" t="s">
        <v>121</v>
      </c>
      <c r="C11" s="49" t="s">
        <v>140</v>
      </c>
      <c r="D11" s="49" t="s">
        <v>135</v>
      </c>
      <c r="E11" s="50" t="s">
        <v>141</v>
      </c>
      <c r="F11" s="15">
        <v>1072039</v>
      </c>
      <c r="G11" s="1">
        <f t="shared" si="4"/>
        <v>101</v>
      </c>
      <c r="H11" s="1">
        <f t="shared" si="5"/>
        <v>270</v>
      </c>
      <c r="I11" s="12"/>
      <c r="J11" s="12"/>
      <c r="K11" s="12"/>
      <c r="L11" s="12"/>
      <c r="M11" s="12"/>
      <c r="N11" s="12"/>
      <c r="O11" s="12"/>
      <c r="P11" s="2" t="str">
        <f t="shared" si="0"/>
        <v/>
      </c>
      <c r="Q11" s="12"/>
      <c r="R11" s="3" t="str">
        <f t="shared" si="1"/>
        <v/>
      </c>
      <c r="S11" s="12"/>
      <c r="T11" s="12"/>
      <c r="U11" s="55">
        <v>12</v>
      </c>
      <c r="V11" s="58">
        <f t="shared" si="14"/>
        <v>91.111111111111114</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12</v>
      </c>
      <c r="AQ11" s="28">
        <f t="shared" si="13"/>
        <v>95.555555555555557</v>
      </c>
    </row>
    <row r="12" spans="1:43" ht="18.2" customHeight="1" thickBot="1" x14ac:dyDescent="0.3">
      <c r="A12" s="49">
        <v>1</v>
      </c>
      <c r="B12" s="49" t="s">
        <v>121</v>
      </c>
      <c r="C12" s="49" t="s">
        <v>142</v>
      </c>
      <c r="D12" s="49" t="s">
        <v>143</v>
      </c>
      <c r="E12" s="50" t="s">
        <v>144</v>
      </c>
      <c r="F12" s="15">
        <v>1072039</v>
      </c>
      <c r="G12" s="1">
        <f t="shared" si="4"/>
        <v>101</v>
      </c>
      <c r="H12" s="1">
        <f t="shared" si="5"/>
        <v>270</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1072039</v>
      </c>
      <c r="G13" s="1">
        <f t="shared" si="4"/>
        <v>101</v>
      </c>
      <c r="H13" s="1">
        <f t="shared" si="5"/>
        <v>270</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1072039</v>
      </c>
      <c r="G14" s="1">
        <f t="shared" si="4"/>
        <v>101</v>
      </c>
      <c r="H14" s="1">
        <f t="shared" si="5"/>
        <v>270</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1072039</v>
      </c>
      <c r="G15" s="1">
        <f t="shared" si="4"/>
        <v>101</v>
      </c>
      <c r="H15" s="1">
        <f t="shared" si="5"/>
        <v>270</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1072039</v>
      </c>
      <c r="G16" s="1">
        <f t="shared" si="4"/>
        <v>101</v>
      </c>
      <c r="H16" s="1">
        <f t="shared" si="5"/>
        <v>270</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2</v>
      </c>
      <c r="AI16" s="58">
        <f t="shared" si="6"/>
        <v>98.518518518518519</v>
      </c>
      <c r="AJ16" s="63" t="str">
        <f t="shared" si="7"/>
        <v/>
      </c>
      <c r="AK16" s="2" t="str">
        <f t="shared" si="8"/>
        <v/>
      </c>
      <c r="AL16" s="3" t="str">
        <f t="shared" si="9"/>
        <v/>
      </c>
      <c r="AM16" s="4" t="str">
        <f t="shared" si="10"/>
        <v/>
      </c>
      <c r="AN16" s="2" t="str">
        <f t="shared" si="11"/>
        <v/>
      </c>
      <c r="AO16" s="12"/>
      <c r="AP16" s="5">
        <f t="shared" si="12"/>
        <v>2</v>
      </c>
      <c r="AQ16" s="28">
        <f t="shared" si="13"/>
        <v>99.259259259259252</v>
      </c>
    </row>
    <row r="17" spans="1:43" ht="18.2" customHeight="1" thickBot="1" x14ac:dyDescent="0.3">
      <c r="A17" s="49">
        <v>1</v>
      </c>
      <c r="B17" s="49" t="s">
        <v>121</v>
      </c>
      <c r="C17" s="49" t="s">
        <v>156</v>
      </c>
      <c r="D17" s="49" t="s">
        <v>157</v>
      </c>
      <c r="E17" s="50" t="s">
        <v>158</v>
      </c>
      <c r="F17" s="15">
        <v>1072039</v>
      </c>
      <c r="G17" s="1">
        <f t="shared" si="4"/>
        <v>101</v>
      </c>
      <c r="H17" s="1">
        <f t="shared" si="5"/>
        <v>270</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1072039</v>
      </c>
      <c r="G18" s="1">
        <f t="shared" si="4"/>
        <v>101</v>
      </c>
      <c r="H18" s="1">
        <f t="shared" si="5"/>
        <v>270</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1072039</v>
      </c>
      <c r="G19" s="1">
        <f t="shared" si="4"/>
        <v>101</v>
      </c>
      <c r="H19" s="1">
        <f t="shared" si="5"/>
        <v>270</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165</v>
      </c>
      <c r="D20" s="49" t="s">
        <v>166</v>
      </c>
      <c r="E20" s="50" t="s">
        <v>167</v>
      </c>
      <c r="F20" s="15">
        <v>1072039</v>
      </c>
      <c r="G20" s="1">
        <f t="shared" si="4"/>
        <v>101</v>
      </c>
      <c r="H20" s="1">
        <f t="shared" si="5"/>
        <v>270</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1072039</v>
      </c>
      <c r="G21" s="1">
        <f t="shared" si="4"/>
        <v>101</v>
      </c>
      <c r="H21" s="1">
        <f t="shared" si="5"/>
        <v>270</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1072039</v>
      </c>
      <c r="G22" s="1">
        <f t="shared" si="4"/>
        <v>101</v>
      </c>
      <c r="H22" s="1">
        <f t="shared" si="5"/>
        <v>270</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1072039</v>
      </c>
      <c r="G23" s="1">
        <f t="shared" si="4"/>
        <v>101</v>
      </c>
      <c r="H23" s="1">
        <f t="shared" si="5"/>
        <v>270</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1072039</v>
      </c>
      <c r="G24" s="1">
        <f t="shared" si="4"/>
        <v>101</v>
      </c>
      <c r="H24" s="1">
        <f t="shared" si="5"/>
        <v>270</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1072039</v>
      </c>
      <c r="G25" s="1">
        <f t="shared" si="4"/>
        <v>101</v>
      </c>
      <c r="H25" s="1">
        <f t="shared" si="5"/>
        <v>270</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136</v>
      </c>
      <c r="F26" s="15">
        <v>1072039</v>
      </c>
      <c r="G26" s="1">
        <f t="shared" si="4"/>
        <v>101</v>
      </c>
      <c r="H26" s="1">
        <f t="shared" si="5"/>
        <v>270</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1072039</v>
      </c>
      <c r="G27" s="1">
        <f t="shared" si="4"/>
        <v>101</v>
      </c>
      <c r="H27" s="1">
        <f t="shared" si="5"/>
        <v>270</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1072039</v>
      </c>
      <c r="G28" s="1">
        <f t="shared" si="4"/>
        <v>101</v>
      </c>
      <c r="H28" s="1">
        <f t="shared" si="5"/>
        <v>270</v>
      </c>
      <c r="I28" s="12"/>
      <c r="J28" s="12"/>
      <c r="K28" s="12"/>
      <c r="L28" s="12"/>
      <c r="M28" s="12"/>
      <c r="N28" s="12"/>
      <c r="O28" s="12"/>
      <c r="P28" s="2" t="str">
        <f t="shared" si="0"/>
        <v/>
      </c>
      <c r="Q28" s="12"/>
      <c r="R28" s="3" t="str">
        <f t="shared" si="1"/>
        <v/>
      </c>
      <c r="S28" s="12"/>
      <c r="T28" s="12"/>
      <c r="U28" s="55">
        <v>12</v>
      </c>
      <c r="V28" s="58">
        <f t="shared" si="14"/>
        <v>91.111111111111114</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12</v>
      </c>
      <c r="AQ28" s="28">
        <f t="shared" si="13"/>
        <v>95.555555555555557</v>
      </c>
    </row>
    <row r="29" spans="1:43" ht="18.2" customHeight="1" thickBot="1" x14ac:dyDescent="0.3">
      <c r="A29" s="49">
        <v>1</v>
      </c>
      <c r="B29" s="49" t="s">
        <v>121</v>
      </c>
      <c r="C29" s="49" t="s">
        <v>189</v>
      </c>
      <c r="D29" s="49" t="s">
        <v>190</v>
      </c>
      <c r="E29" s="50" t="s">
        <v>191</v>
      </c>
      <c r="F29" s="15">
        <v>1072039</v>
      </c>
      <c r="G29" s="1">
        <f t="shared" si="4"/>
        <v>101</v>
      </c>
      <c r="H29" s="1">
        <f t="shared" si="5"/>
        <v>270</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2</v>
      </c>
      <c r="AI29" s="58">
        <f t="shared" si="6"/>
        <v>98.518518518518519</v>
      </c>
      <c r="AJ29" s="63" t="str">
        <f t="shared" si="7"/>
        <v/>
      </c>
      <c r="AK29" s="2" t="str">
        <f t="shared" si="8"/>
        <v/>
      </c>
      <c r="AL29" s="3" t="str">
        <f t="shared" si="9"/>
        <v/>
      </c>
      <c r="AM29" s="4" t="str">
        <f t="shared" si="10"/>
        <v/>
      </c>
      <c r="AN29" s="2" t="str">
        <f t="shared" si="11"/>
        <v/>
      </c>
      <c r="AO29" s="12"/>
      <c r="AP29" s="5">
        <f t="shared" si="12"/>
        <v>2</v>
      </c>
      <c r="AQ29" s="28">
        <f t="shared" si="13"/>
        <v>99.259259259259252</v>
      </c>
    </row>
    <row r="30" spans="1:43" ht="18.2" customHeight="1" thickBot="1" x14ac:dyDescent="0.3">
      <c r="A30" s="49">
        <v>1</v>
      </c>
      <c r="B30" s="49" t="s">
        <v>121</v>
      </c>
      <c r="C30" s="49" t="s">
        <v>192</v>
      </c>
      <c r="D30" s="49" t="s">
        <v>193</v>
      </c>
      <c r="E30" s="50" t="s">
        <v>194</v>
      </c>
      <c r="F30" s="15">
        <v>1072039</v>
      </c>
      <c r="G30" s="1">
        <f t="shared" si="4"/>
        <v>101</v>
      </c>
      <c r="H30" s="1">
        <f t="shared" si="5"/>
        <v>270</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1072039</v>
      </c>
      <c r="G31" s="1">
        <f t="shared" si="4"/>
        <v>101</v>
      </c>
      <c r="H31" s="1">
        <f t="shared" si="5"/>
        <v>270</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270</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30</v>
      </c>
      <c r="V55" s="23">
        <f t="shared" si="17"/>
        <v>99.176954732510296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4</v>
      </c>
      <c r="AI55" s="23">
        <f t="shared" ref="AI55" si="19">IFERROR(AVERAGE(AI5:AI54),"")</f>
        <v>99.890260631001368</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34</v>
      </c>
      <c r="AQ55" s="23">
        <f t="shared" ref="AQ55" si="23">IFERROR(AVERAGE(AQ5:AQ54),"")</f>
        <v>99.533607681755839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2023-06-27T04:46:27Z</dcterms:modified>
</cp:coreProperties>
</file>