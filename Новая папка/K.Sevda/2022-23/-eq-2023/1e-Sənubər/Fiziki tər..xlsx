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<sst xmlns="http://schemas.openxmlformats.org/spreadsheetml/2006/main" count="267" uniqueCount="196">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</sst>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K26" sqref="AK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1071413</v>
      </c>
      <c r="G5" s="16">
        <f>IF(F5="","",$G$4)</f>
        <v>131</v>
      </c>
      <c r="H5" s="16">
        <f>IF(F5="","",$H$4)</f>
        <v>69</v>
      </c>
      <c r="I5" s="17"/>
      <c r="J5" s="17"/>
      <c r="K5" s="17"/>
      <c r="L5" s="17"/>
      <c r="M5" s="17"/>
      <c r="N5" s="17"/>
      <c r="O5" s="17"/>
      <c r="P5" s="18" t="str">
        <f t="shared" ref="P5:P36" si="0">IFERROR(AVERAGE(J5:O5),"")</f>
        <v/>
      </c>
      <c r="Q5" s="17"/>
      <c r="R5" s="19" t="str">
        <f t="shared" ref="R5:R36" si="1">IF(Q5="",P5,IF(P5="",Q5,P5*40/100+Q5*60/100))</f>
        <v/>
      </c>
      <c r="S5" s="17"/>
      <c r="T5" s="17"/>
      <c r="U5" s="20">
        <v>3</v>
      </c>
      <c r="V5" s="57">
        <f>IF(U5="","",((H5/2)-U5)*100/(H5/2))</f>
        <v>91.304347826086953</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3</v>
      </c>
      <c r="AQ5" s="26">
        <f>IF(AP5="","",(H5-AP5)*100/H5)</f>
        <v>95.652173913043484</v>
      </c>
    </row>
    <row r="6" spans="1:43" ht="18.2" customHeight="1" thickBot="1" x14ac:dyDescent="0.3">
      <c r="A6" s="49">
        <v>1</v>
      </c>
      <c r="B6" s="49" t="s">
        <v>121</v>
      </c>
      <c r="C6" s="49" t="s">
        <v>125</v>
      </c>
      <c r="D6" s="49" t="s">
        <v>126</v>
      </c>
      <c r="E6" s="50" t="s">
        <v>127</v>
      </c>
      <c r="F6" s="15">
        <v>1071413</v>
      </c>
      <c r="G6" s="1">
        <f t="shared" ref="G6:G54" si="4">IF(F6="","",$G$4)</f>
        <v>131</v>
      </c>
      <c r="H6" s="1">
        <f t="shared" ref="H6:H54" si="5">IF(F6="","",$H$4)</f>
        <v>69</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131</v>
      </c>
      <c r="H7" s="1">
        <f t="shared" si="5"/>
        <v>69</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131</v>
      </c>
      <c r="H8" s="1">
        <f t="shared" si="5"/>
        <v>69</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131</v>
      </c>
      <c r="H9" s="1">
        <f t="shared" si="5"/>
        <v>69</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131</v>
      </c>
      <c r="H10" s="1">
        <f t="shared" si="5"/>
        <v>69</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1071413</v>
      </c>
      <c r="G11" s="1">
        <f t="shared" si="4"/>
        <v>131</v>
      </c>
      <c r="H11" s="1">
        <f t="shared" si="5"/>
        <v>69</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143</v>
      </c>
      <c r="D12" s="49" t="s">
        <v>144</v>
      </c>
      <c r="E12" s="50" t="s">
        <v>145</v>
      </c>
      <c r="F12" s="15">
        <v>1071413</v>
      </c>
      <c r="G12" s="1">
        <f t="shared" si="4"/>
        <v>131</v>
      </c>
      <c r="H12" s="1">
        <f t="shared" si="5"/>
        <v>69</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131</v>
      </c>
      <c r="H13" s="1">
        <f t="shared" si="5"/>
        <v>69</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131</v>
      </c>
      <c r="H14" s="1">
        <f t="shared" si="5"/>
        <v>69</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131</v>
      </c>
      <c r="H15" s="1">
        <f t="shared" si="5"/>
        <v>69</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131</v>
      </c>
      <c r="H16" s="1">
        <f t="shared" si="5"/>
        <v>69</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157</v>
      </c>
      <c r="D17" s="49" t="s">
        <v>158</v>
      </c>
      <c r="E17" s="50" t="s">
        <v>159</v>
      </c>
      <c r="F17" s="15">
        <v>1071413</v>
      </c>
      <c r="G17" s="1">
        <f t="shared" si="4"/>
        <v>131</v>
      </c>
      <c r="H17" s="1">
        <f t="shared" si="5"/>
        <v>69</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131</v>
      </c>
      <c r="H18" s="1">
        <f t="shared" si="5"/>
        <v>69</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131</v>
      </c>
      <c r="H19" s="1">
        <f t="shared" si="5"/>
        <v>69</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1071413</v>
      </c>
      <c r="G20" s="1">
        <f t="shared" si="4"/>
        <v>131</v>
      </c>
      <c r="H20" s="1">
        <f t="shared" si="5"/>
        <v>69</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131</v>
      </c>
      <c r="H21" s="1">
        <f t="shared" si="5"/>
        <v>69</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131</v>
      </c>
      <c r="H22" s="1">
        <f t="shared" si="5"/>
        <v>69</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131</v>
      </c>
      <c r="H23" s="1">
        <f t="shared" si="5"/>
        <v>69</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179</v>
      </c>
      <c r="F24" s="15">
        <v>1071413</v>
      </c>
      <c r="G24" s="1">
        <f t="shared" si="4"/>
        <v>131</v>
      </c>
      <c r="H24" s="1">
        <f t="shared" si="5"/>
        <v>69</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1071413</v>
      </c>
      <c r="G25" s="1">
        <f t="shared" si="4"/>
        <v>131</v>
      </c>
      <c r="H25" s="1">
        <f t="shared" si="5"/>
        <v>69</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1071413</v>
      </c>
      <c r="G26" s="1">
        <f t="shared" si="4"/>
        <v>131</v>
      </c>
      <c r="H26" s="1">
        <f t="shared" si="5"/>
        <v>69</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131</v>
      </c>
      <c r="H27" s="1">
        <f t="shared" si="5"/>
        <v>69</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131</v>
      </c>
      <c r="H28" s="1">
        <f t="shared" si="5"/>
        <v>69</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131</v>
      </c>
      <c r="H29" s="1">
        <f t="shared" si="5"/>
        <v>69</v>
      </c>
      <c r="I29" s="12"/>
      <c r="J29" s="12"/>
      <c r="K29" s="12"/>
      <c r="L29" s="12"/>
      <c r="M29" s="12"/>
      <c r="N29" s="12"/>
      <c r="O29" s="12"/>
      <c r="P29" s="2" t="str">
        <f t="shared" si="0"/>
        <v/>
      </c>
      <c r="Q29" s="12"/>
      <c r="R29" s="3" t="str">
        <f t="shared" si="1"/>
        <v/>
      </c>
      <c r="S29" s="12"/>
      <c r="T29" s="12"/>
      <c r="U29" s="55">
        <v>8</v>
      </c>
      <c r="V29" s="58">
        <f t="shared" si="14"/>
        <v>76.811594202898547</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8</v>
      </c>
      <c r="AQ29" s="28">
        <f t="shared" si="13"/>
        <v>88.405797101449281</v>
      </c>
    </row>
    <row r="30" spans="1:43" ht="18.2" customHeight="1" x14ac:dyDescent="0.25">
      <c r="A30" s="49">
        <v>1</v>
      </c>
      <c r="B30" s="49" t="s">
        <v>121</v>
      </c>
      <c r="C30" s="49" t="s">
        <v>193</v>
      </c>
      <c r="D30" s="49" t="s">
        <v>194</v>
      </c>
      <c r="E30" s="50" t="s">
        <v>195</v>
      </c>
      <c r="F30" s="15">
        <v>1071413</v>
      </c>
      <c r="G30" s="1">
        <f t="shared" si="4"/>
        <v>131</v>
      </c>
      <c r="H30" s="1">
        <f t="shared" si="5"/>
        <v>69</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69</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11</v>
      </c>
      <c r="V55" s="23">
        <f t="shared" si="17"/>
        <v>98.773690078037902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11</v>
      </c>
      <c r="AQ55" s="23">
        <f t="shared" ref="AQ55" si="23">IFERROR(AVERAGE(AQ5:AQ54),"")</f>
        <v>99.386845039018965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2023-06-27T05:40:59Z</dcterms:modified>
</cp:coreProperties>
</file>