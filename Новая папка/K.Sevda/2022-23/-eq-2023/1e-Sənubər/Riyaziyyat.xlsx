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<sst xmlns="http://schemas.openxmlformats.org/spreadsheetml/2006/main" count="267" uniqueCount="196">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</sst>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P5" activePane="bottomRight" state="frozen"/>
      <selection pane="topRight" activeCell="G1" sqref="G1"/>
      <selection pane="bottomLeft" activeCell="A5" sqref="A5"/>
      <selection pane="bottomRight" activeCell="J6" sqref="J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1</v>
      </c>
      <c r="B5" s="49" t="s">
        <v>121</v>
      </c>
      <c r="C5" s="49" t="s">
        <v>122</v>
      </c>
      <c r="D5" s="49" t="s">
        <v>123</v>
      </c>
      <c r="E5" s="50" t="s">
        <v>124</v>
      </c>
      <c r="F5" s="15">
        <v>1071413</v>
      </c>
      <c r="G5" s="16">
        <f>IF(F5="","",$G$4)</f>
        <v>110</v>
      </c>
      <c r="H5" s="16">
        <f>IF(F5="","",$H$4)</f>
        <v>168</v>
      </c>
      <c r="I5" s="17"/>
      <c r="J5" s="17"/>
      <c r="K5" s="17"/>
      <c r="L5" s="17"/>
      <c r="M5" s="17"/>
      <c r="N5" s="17"/>
      <c r="O5" s="17"/>
      <c r="P5" s="18" t="str">
        <f t="shared" ref="P5:P36" si="0">IFERROR(AVERAGE(J5:O5),"")</f>
        <v/>
      </c>
      <c r="Q5" s="17"/>
      <c r="R5" s="19" t="str">
        <f t="shared" ref="R5:R36" si="1">IF(Q5="",P5,IF(P5="",Q5,P5*40/100+Q5*60/100))</f>
        <v/>
      </c>
      <c r="S5" s="17"/>
      <c r="T5" s="17"/>
      <c r="U5" s="20">
        <v>9</v>
      </c>
      <c r="V5" s="57">
        <f>IF(U5="","",((H5/2)-U5)*100/(H5/2))</f>
        <v>89.285714285714292</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9</v>
      </c>
      <c r="AQ5" s="26">
        <f>IF(AP5="","",(H5-AP5)*100/H5)</f>
        <v>94.642857142857139</v>
      </c>
    </row>
    <row r="6" spans="1:43" ht="18.2" customHeight="1" x14ac:dyDescent="0.25">
      <c r="A6" s="49">
        <v>1</v>
      </c>
      <c r="B6" s="49" t="s">
        <v>121</v>
      </c>
      <c r="C6" s="49" t="s">
        <v>125</v>
      </c>
      <c r="D6" s="49" t="s">
        <v>126</v>
      </c>
      <c r="E6" s="50" t="s">
        <v>127</v>
      </c>
      <c r="F6" s="27">
        <v>1071413</v>
      </c>
      <c r="G6" s="1">
        <f t="shared" ref="G6:G54" si="4">IF(F6="","",$G$4)</f>
        <v>110</v>
      </c>
      <c r="H6" s="1">
        <f t="shared" ref="H6:H54" si="5">IF(F6="","",$H$4)</f>
        <v>168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x14ac:dyDescent="0.25">
      <c r="A7" s="49">
        <v>1</v>
      </c>
      <c r="B7" s="49" t="s">
        <v>121</v>
      </c>
      <c r="C7" s="49" t="s">
        <v>128</v>
      </c>
      <c r="D7" s="49" t="s">
        <v>129</v>
      </c>
      <c r="E7" s="50" t="s">
        <v>130</v>
      </c>
      <c r="F7" s="27">
        <v>1071413</v>
      </c>
      <c r="G7" s="1">
        <f t="shared" si="4"/>
        <v>110</v>
      </c>
      <c r="H7" s="1">
        <f t="shared" si="5"/>
        <v>168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x14ac:dyDescent="0.25">
      <c r="A8" s="49">
        <v>1</v>
      </c>
      <c r="B8" s="49" t="s">
        <v>121</v>
      </c>
      <c r="C8" s="49" t="s">
        <v>131</v>
      </c>
      <c r="D8" s="49" t="s">
        <v>132</v>
      </c>
      <c r="E8" s="50" t="s">
        <v>133</v>
      </c>
      <c r="F8" s="27">
        <v>1071413</v>
      </c>
      <c r="G8" s="1">
        <f t="shared" si="4"/>
        <v>110</v>
      </c>
      <c r="H8" s="1">
        <f t="shared" si="5"/>
        <v>168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x14ac:dyDescent="0.25">
      <c r="A9" s="49">
        <v>1</v>
      </c>
      <c r="B9" s="49" t="s">
        <v>121</v>
      </c>
      <c r="C9" s="49" t="s">
        <v>134</v>
      </c>
      <c r="D9" s="49" t="s">
        <v>135</v>
      </c>
      <c r="E9" s="50" t="s">
        <v>136</v>
      </c>
      <c r="F9" s="27">
        <v>1071413</v>
      </c>
      <c r="G9" s="1">
        <f t="shared" si="4"/>
        <v>110</v>
      </c>
      <c r="H9" s="1">
        <f t="shared" si="5"/>
        <v>168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x14ac:dyDescent="0.25">
      <c r="A10" s="49">
        <v>1</v>
      </c>
      <c r="B10" s="49" t="s">
        <v>121</v>
      </c>
      <c r="C10" s="49" t="s">
        <v>137</v>
      </c>
      <c r="D10" s="49" t="s">
        <v>138</v>
      </c>
      <c r="E10" s="50" t="s">
        <v>139</v>
      </c>
      <c r="F10" s="27">
        <v>1071413</v>
      </c>
      <c r="G10" s="1">
        <f t="shared" si="4"/>
        <v>110</v>
      </c>
      <c r="H10" s="1">
        <f t="shared" si="5"/>
        <v>168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1</v>
      </c>
      <c r="AI10" s="58">
        <f t="shared" si="6"/>
        <v>98.80952380952381</v>
      </c>
      <c r="AJ10" s="63" t="str">
        <f t="shared" si="7"/>
        <v/>
      </c>
      <c r="AK10" s="2" t="str">
        <f t="shared" si="8"/>
        <v/>
      </c>
      <c r="AL10" s="3" t="str">
        <f t="shared" si="9"/>
        <v/>
      </c>
      <c r="AM10" s="4" t="str">
        <f t="shared" si="10"/>
        <v/>
      </c>
      <c r="AN10" s="2" t="str">
        <f t="shared" si="11"/>
        <v/>
      </c>
      <c r="AO10" s="12"/>
      <c r="AP10" s="5">
        <f t="shared" si="12"/>
        <v>1</v>
      </c>
      <c r="AQ10" s="28">
        <f t="shared" si="13"/>
        <v>99.404761904761898</v>
      </c>
    </row>
    <row r="11" spans="1:43" ht="18.2" customHeight="1" x14ac:dyDescent="0.25">
      <c r="A11" s="49">
        <v>1</v>
      </c>
      <c r="B11" s="49" t="s">
        <v>121</v>
      </c>
      <c r="C11" s="49" t="s">
        <v>140</v>
      </c>
      <c r="D11" s="49" t="s">
        <v>141</v>
      </c>
      <c r="E11" s="50" t="s">
        <v>142</v>
      </c>
      <c r="F11" s="27">
        <v>1071413</v>
      </c>
      <c r="G11" s="1">
        <f t="shared" si="4"/>
        <v>110</v>
      </c>
      <c r="H11" s="1">
        <f t="shared" si="5"/>
        <v>168</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13</v>
      </c>
      <c r="AI11" s="58">
        <f t="shared" si="6"/>
        <v>84.523809523809518</v>
      </c>
      <c r="AJ11" s="63" t="str">
        <f t="shared" si="7"/>
        <v/>
      </c>
      <c r="AK11" s="2" t="str">
        <f t="shared" si="8"/>
        <v/>
      </c>
      <c r="AL11" s="3" t="str">
        <f t="shared" si="9"/>
        <v/>
      </c>
      <c r="AM11" s="4" t="str">
        <f t="shared" si="10"/>
        <v/>
      </c>
      <c r="AN11" s="2" t="str">
        <f t="shared" si="11"/>
        <v/>
      </c>
      <c r="AO11" s="12"/>
      <c r="AP11" s="5">
        <f t="shared" si="12"/>
        <v>13</v>
      </c>
      <c r="AQ11" s="28">
        <f t="shared" si="13"/>
        <v>92.261904761904759</v>
      </c>
    </row>
    <row r="12" spans="1:43" ht="18.2" customHeight="1" x14ac:dyDescent="0.25">
      <c r="A12" s="49">
        <v>1</v>
      </c>
      <c r="B12" s="49" t="s">
        <v>121</v>
      </c>
      <c r="C12" s="49" t="s">
        <v>143</v>
      </c>
      <c r="D12" s="49" t="s">
        <v>144</v>
      </c>
      <c r="E12" s="50" t="s">
        <v>145</v>
      </c>
      <c r="F12" s="27">
        <v>1071413</v>
      </c>
      <c r="G12" s="1">
        <f t="shared" si="4"/>
        <v>110</v>
      </c>
      <c r="H12" s="1">
        <f t="shared" si="5"/>
        <v>168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x14ac:dyDescent="0.25">
      <c r="A13" s="49">
        <v>1</v>
      </c>
      <c r="B13" s="49" t="s">
        <v>121</v>
      </c>
      <c r="C13" s="49" t="s">
        <v>146</v>
      </c>
      <c r="D13" s="49" t="s">
        <v>147</v>
      </c>
      <c r="E13" s="50" t="s">
        <v>148</v>
      </c>
      <c r="F13" s="27">
        <v>1071413</v>
      </c>
      <c r="G13" s="1">
        <f t="shared" si="4"/>
        <v>110</v>
      </c>
      <c r="H13" s="1">
        <f t="shared" si="5"/>
        <v>168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x14ac:dyDescent="0.25">
      <c r="A14" s="49">
        <v>1</v>
      </c>
      <c r="B14" s="49" t="s">
        <v>121</v>
      </c>
      <c r="C14" s="49" t="s">
        <v>149</v>
      </c>
      <c r="D14" s="49" t="s">
        <v>150</v>
      </c>
      <c r="E14" s="50" t="s">
        <v>151</v>
      </c>
      <c r="F14" s="27">
        <v>1071413</v>
      </c>
      <c r="G14" s="1">
        <f t="shared" si="4"/>
        <v>110</v>
      </c>
      <c r="H14" s="1">
        <f t="shared" si="5"/>
        <v>168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x14ac:dyDescent="0.25">
      <c r="A15" s="49">
        <v>1</v>
      </c>
      <c r="B15" s="49" t="s">
        <v>121</v>
      </c>
      <c r="C15" s="49" t="s">
        <v>149</v>
      </c>
      <c r="D15" s="49" t="s">
        <v>152</v>
      </c>
      <c r="E15" s="50" t="s">
        <v>153</v>
      </c>
      <c r="F15" s="27">
        <v>1071413</v>
      </c>
      <c r="G15" s="1">
        <f t="shared" si="4"/>
        <v>110</v>
      </c>
      <c r="H15" s="1">
        <f t="shared" si="5"/>
        <v>168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1</v>
      </c>
      <c r="AI15" s="58">
        <f t="shared" si="6"/>
        <v>98.80952380952381</v>
      </c>
      <c r="AJ15" s="63" t="str">
        <f t="shared" si="7"/>
        <v/>
      </c>
      <c r="AK15" s="2" t="str">
        <f t="shared" si="8"/>
        <v/>
      </c>
      <c r="AL15" s="3" t="str">
        <f t="shared" si="9"/>
        <v/>
      </c>
      <c r="AM15" s="4" t="str">
        <f t="shared" si="10"/>
        <v/>
      </c>
      <c r="AN15" s="2" t="str">
        <f t="shared" si="11"/>
        <v/>
      </c>
      <c r="AO15" s="12"/>
      <c r="AP15" s="5">
        <f t="shared" si="12"/>
        <v>1</v>
      </c>
      <c r="AQ15" s="28">
        <f t="shared" si="13"/>
        <v>99.404761904761898</v>
      </c>
    </row>
    <row r="16" spans="1:43" ht="18.2" customHeight="1" x14ac:dyDescent="0.25">
      <c r="A16" s="49">
        <v>1</v>
      </c>
      <c r="B16" s="49" t="s">
        <v>121</v>
      </c>
      <c r="C16" s="49" t="s">
        <v>154</v>
      </c>
      <c r="D16" s="49" t="s">
        <v>155</v>
      </c>
      <c r="E16" s="50" t="s">
        <v>156</v>
      </c>
      <c r="F16" s="27">
        <v>1071413</v>
      </c>
      <c r="G16" s="1">
        <f t="shared" si="4"/>
        <v>110</v>
      </c>
      <c r="H16" s="1">
        <f t="shared" si="5"/>
        <v>168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4</v>
      </c>
      <c r="AI16" s="58">
        <f t="shared" si="6"/>
        <v>95.238095238095241</v>
      </c>
      <c r="AJ16" s="63" t="str">
        <f t="shared" si="7"/>
        <v/>
      </c>
      <c r="AK16" s="2" t="str">
        <f t="shared" si="8"/>
        <v/>
      </c>
      <c r="AL16" s="3" t="str">
        <f t="shared" si="9"/>
        <v/>
      </c>
      <c r="AM16" s="4" t="str">
        <f t="shared" si="10"/>
        <v/>
      </c>
      <c r="AN16" s="2" t="str">
        <f t="shared" si="11"/>
        <v/>
      </c>
      <c r="AO16" s="12"/>
      <c r="AP16" s="5">
        <f t="shared" si="12"/>
        <v>4</v>
      </c>
      <c r="AQ16" s="28">
        <f t="shared" si="13"/>
        <v>97.61904761904762</v>
      </c>
    </row>
    <row r="17" spans="1:43" ht="18.2" customHeight="1" x14ac:dyDescent="0.25">
      <c r="A17" s="49">
        <v>1</v>
      </c>
      <c r="B17" s="49" t="s">
        <v>121</v>
      </c>
      <c r="C17" s="49" t="s">
        <v>157</v>
      </c>
      <c r="D17" s="49" t="s">
        <v>158</v>
      </c>
      <c r="E17" s="50" t="s">
        <v>159</v>
      </c>
      <c r="F17" s="27">
        <v>1071413</v>
      </c>
      <c r="G17" s="1">
        <f t="shared" si="4"/>
        <v>110</v>
      </c>
      <c r="H17" s="1">
        <f t="shared" si="5"/>
        <v>168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x14ac:dyDescent="0.25">
      <c r="A18" s="49">
        <v>1</v>
      </c>
      <c r="B18" s="49" t="s">
        <v>121</v>
      </c>
      <c r="C18" s="49" t="s">
        <v>160</v>
      </c>
      <c r="D18" s="49" t="s">
        <v>161</v>
      </c>
      <c r="E18" s="50" t="s">
        <v>162</v>
      </c>
      <c r="F18" s="27">
        <v>1071413</v>
      </c>
      <c r="G18" s="1">
        <f t="shared" si="4"/>
        <v>110</v>
      </c>
      <c r="H18" s="1">
        <f t="shared" si="5"/>
        <v>168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x14ac:dyDescent="0.25">
      <c r="A19" s="49">
        <v>1</v>
      </c>
      <c r="B19" s="49" t="s">
        <v>121</v>
      </c>
      <c r="C19" s="49" t="s">
        <v>163</v>
      </c>
      <c r="D19" s="49" t="s">
        <v>164</v>
      </c>
      <c r="E19" s="50" t="s">
        <v>165</v>
      </c>
      <c r="F19" s="27">
        <v>1071413</v>
      </c>
      <c r="G19" s="1">
        <f t="shared" si="4"/>
        <v>110</v>
      </c>
      <c r="H19" s="1">
        <f t="shared" si="5"/>
        <v>168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98.80952380952381</v>
      </c>
      <c r="AJ19" s="63" t="str">
        <f t="shared" si="7"/>
        <v/>
      </c>
      <c r="AK19" s="2" t="str">
        <f t="shared" si="8"/>
        <v/>
      </c>
      <c r="AL19" s="3" t="str">
        <f t="shared" si="9"/>
        <v/>
      </c>
      <c r="AM19" s="4" t="str">
        <f t="shared" si="10"/>
        <v/>
      </c>
      <c r="AN19" s="2" t="str">
        <f t="shared" si="11"/>
        <v/>
      </c>
      <c r="AO19" s="12"/>
      <c r="AP19" s="5">
        <f t="shared" si="12"/>
        <v>1</v>
      </c>
      <c r="AQ19" s="28">
        <f t="shared" si="13"/>
        <v>99.404761904761898</v>
      </c>
    </row>
    <row r="20" spans="1:43" ht="18.2" customHeight="1" x14ac:dyDescent="0.25">
      <c r="A20" s="49">
        <v>1</v>
      </c>
      <c r="B20" s="49" t="s">
        <v>121</v>
      </c>
      <c r="C20" s="49" t="s">
        <v>166</v>
      </c>
      <c r="D20" s="49" t="s">
        <v>167</v>
      </c>
      <c r="E20" s="50" t="s">
        <v>168</v>
      </c>
      <c r="F20" s="27">
        <v>1071413</v>
      </c>
      <c r="G20" s="1">
        <f t="shared" si="4"/>
        <v>110</v>
      </c>
      <c r="H20" s="1">
        <f t="shared" si="5"/>
        <v>168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121</v>
      </c>
      <c r="C21" s="49" t="s">
        <v>169</v>
      </c>
      <c r="D21" s="49" t="s">
        <v>170</v>
      </c>
      <c r="E21" s="50" t="s">
        <v>171</v>
      </c>
      <c r="F21" s="27">
        <v>1071413</v>
      </c>
      <c r="G21" s="1">
        <f t="shared" si="4"/>
        <v>110</v>
      </c>
      <c r="H21" s="1">
        <f t="shared" si="5"/>
        <v>168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x14ac:dyDescent="0.25">
      <c r="A22" s="49">
        <v>1</v>
      </c>
      <c r="B22" s="49" t="s">
        <v>121</v>
      </c>
      <c r="C22" s="49" t="s">
        <v>172</v>
      </c>
      <c r="D22" s="49" t="s">
        <v>173</v>
      </c>
      <c r="E22" s="50" t="s">
        <v>174</v>
      </c>
      <c r="F22" s="27">
        <v>1071413</v>
      </c>
      <c r="G22" s="1">
        <f t="shared" si="4"/>
        <v>110</v>
      </c>
      <c r="H22" s="1">
        <f t="shared" si="5"/>
        <v>168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121</v>
      </c>
      <c r="C23" s="49" t="s">
        <v>172</v>
      </c>
      <c r="D23" s="49" t="s">
        <v>175</v>
      </c>
      <c r="E23" s="50" t="s">
        <v>176</v>
      </c>
      <c r="F23" s="27">
        <v>1071413</v>
      </c>
      <c r="G23" s="1">
        <f t="shared" si="4"/>
        <v>110</v>
      </c>
      <c r="H23" s="1">
        <f t="shared" si="5"/>
        <v>168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6</v>
      </c>
      <c r="AI23" s="58">
        <f t="shared" si="6"/>
        <v>92.857142857142861</v>
      </c>
      <c r="AJ23" s="63" t="str">
        <f t="shared" si="7"/>
        <v/>
      </c>
      <c r="AK23" s="2" t="str">
        <f t="shared" si="8"/>
        <v/>
      </c>
      <c r="AL23" s="3" t="str">
        <f t="shared" si="9"/>
        <v/>
      </c>
      <c r="AM23" s="4" t="str">
        <f t="shared" si="10"/>
        <v/>
      </c>
      <c r="AN23" s="2" t="str">
        <f t="shared" si="11"/>
        <v/>
      </c>
      <c r="AO23" s="12"/>
      <c r="AP23" s="5">
        <f t="shared" si="12"/>
        <v>6</v>
      </c>
      <c r="AQ23" s="28">
        <f t="shared" si="13"/>
        <v>96.428571428571431</v>
      </c>
    </row>
    <row r="24" spans="1:43" ht="18.2" customHeight="1" x14ac:dyDescent="0.25">
      <c r="A24" s="49">
        <v>1</v>
      </c>
      <c r="B24" s="49" t="s">
        <v>121</v>
      </c>
      <c r="C24" s="49" t="s">
        <v>177</v>
      </c>
      <c r="D24" s="49" t="s">
        <v>178</v>
      </c>
      <c r="E24" s="50" t="s">
        <v>179</v>
      </c>
      <c r="F24" s="27">
        <v>1071413</v>
      </c>
      <c r="G24" s="1">
        <f t="shared" si="4"/>
        <v>110</v>
      </c>
      <c r="H24" s="1">
        <f t="shared" si="5"/>
        <v>168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x14ac:dyDescent="0.25">
      <c r="A25" s="49">
        <v>1</v>
      </c>
      <c r="B25" s="49" t="s">
        <v>121</v>
      </c>
      <c r="C25" s="49" t="s">
        <v>177</v>
      </c>
      <c r="D25" s="49" t="s">
        <v>180</v>
      </c>
      <c r="E25" s="50" t="s">
        <v>181</v>
      </c>
      <c r="F25" s="27">
        <v>1071413</v>
      </c>
      <c r="G25" s="1">
        <f t="shared" si="4"/>
        <v>110</v>
      </c>
      <c r="H25" s="1">
        <f t="shared" si="5"/>
        <v>168</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x14ac:dyDescent="0.25">
      <c r="A26" s="49">
        <v>1</v>
      </c>
      <c r="B26" s="49" t="s">
        <v>121</v>
      </c>
      <c r="C26" s="49" t="s">
        <v>182</v>
      </c>
      <c r="D26" s="49" t="s">
        <v>183</v>
      </c>
      <c r="E26" s="50" t="s">
        <v>184</v>
      </c>
      <c r="F26" s="27">
        <v>1071413</v>
      </c>
      <c r="G26" s="1">
        <f t="shared" si="4"/>
        <v>110</v>
      </c>
      <c r="H26" s="1">
        <f t="shared" si="5"/>
        <v>168</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x14ac:dyDescent="0.25">
      <c r="A27" s="49">
        <v>1</v>
      </c>
      <c r="B27" s="49" t="s">
        <v>121</v>
      </c>
      <c r="C27" s="49" t="s">
        <v>185</v>
      </c>
      <c r="D27" s="49" t="s">
        <v>186</v>
      </c>
      <c r="E27" s="50" t="s">
        <v>187</v>
      </c>
      <c r="F27" s="27">
        <v>1071413</v>
      </c>
      <c r="G27" s="1">
        <f t="shared" si="4"/>
        <v>110</v>
      </c>
      <c r="H27" s="1">
        <f t="shared" si="5"/>
        <v>168</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1</v>
      </c>
      <c r="B28" s="49" t="s">
        <v>121</v>
      </c>
      <c r="C28" s="49" t="s">
        <v>185</v>
      </c>
      <c r="D28" s="49" t="s">
        <v>188</v>
      </c>
      <c r="E28" s="50" t="s">
        <v>189</v>
      </c>
      <c r="F28" s="27">
        <v>1071413</v>
      </c>
      <c r="G28" s="1">
        <f t="shared" si="4"/>
        <v>110</v>
      </c>
      <c r="H28" s="1">
        <f t="shared" si="5"/>
        <v>168</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190</v>
      </c>
      <c r="D29" s="49" t="s">
        <v>191</v>
      </c>
      <c r="E29" s="50" t="s">
        <v>192</v>
      </c>
      <c r="F29" s="27">
        <v>1071413</v>
      </c>
      <c r="G29" s="1">
        <f t="shared" si="4"/>
        <v>110</v>
      </c>
      <c r="H29" s="1">
        <f t="shared" si="5"/>
        <v>168</v>
      </c>
      <c r="I29" s="12"/>
      <c r="J29" s="12"/>
      <c r="K29" s="12"/>
      <c r="L29" s="12"/>
      <c r="M29" s="12"/>
      <c r="N29" s="12"/>
      <c r="O29" s="12"/>
      <c r="P29" s="2" t="str">
        <f t="shared" si="0"/>
        <v/>
      </c>
      <c r="Q29" s="12"/>
      <c r="R29" s="3" t="str">
        <f t="shared" si="1"/>
        <v/>
      </c>
      <c r="S29" s="12"/>
      <c r="T29" s="12"/>
      <c r="U29" s="55">
        <v>14</v>
      </c>
      <c r="V29" s="58">
        <f t="shared" si="14"/>
        <v>83.333333333333329</v>
      </c>
      <c r="W29" s="56"/>
      <c r="X29" s="12"/>
      <c r="Y29" s="12"/>
      <c r="Z29" s="12"/>
      <c r="AA29" s="12"/>
      <c r="AB29" s="12"/>
      <c r="AC29" s="2" t="str">
        <f t="shared" si="2"/>
        <v/>
      </c>
      <c r="AD29" s="12"/>
      <c r="AE29" s="3" t="str">
        <f t="shared" si="3"/>
        <v/>
      </c>
      <c r="AF29" s="12"/>
      <c r="AG29" s="12"/>
      <c r="AH29" s="55">
        <v>12</v>
      </c>
      <c r="AI29" s="58">
        <f t="shared" si="6"/>
        <v>85.714285714285708</v>
      </c>
      <c r="AJ29" s="63" t="str">
        <f t="shared" si="7"/>
        <v/>
      </c>
      <c r="AK29" s="2" t="str">
        <f t="shared" si="8"/>
        <v/>
      </c>
      <c r="AL29" s="3" t="str">
        <f t="shared" si="9"/>
        <v/>
      </c>
      <c r="AM29" s="4" t="str">
        <f t="shared" si="10"/>
        <v/>
      </c>
      <c r="AN29" s="2" t="str">
        <f t="shared" si="11"/>
        <v/>
      </c>
      <c r="AO29" s="12"/>
      <c r="AP29" s="5">
        <f t="shared" si="12"/>
        <v>26</v>
      </c>
      <c r="AQ29" s="28">
        <f t="shared" si="13"/>
        <v>84.523809523809518</v>
      </c>
    </row>
    <row r="30" spans="1:43" ht="18.2" customHeight="1" x14ac:dyDescent="0.25">
      <c r="A30" s="49">
        <v>1</v>
      </c>
      <c r="B30" s="49" t="s">
        <v>121</v>
      </c>
      <c r="C30" s="49" t="s">
        <v>193</v>
      </c>
      <c r="D30" s="49" t="s">
        <v>194</v>
      </c>
      <c r="E30" s="50" t="s">
        <v>195</v>
      </c>
      <c r="F30" s="27">
        <v>1071413</v>
      </c>
      <c r="G30" s="1">
        <f t="shared" si="4"/>
        <v>110</v>
      </c>
      <c r="H30" s="1">
        <f t="shared" si="5"/>
        <v>168</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168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23</v>
      </c>
      <c r="V55" s="23">
        <f t="shared" si="17"/>
        <v>98.946886446886452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38</v>
      </c>
      <c r="AI55" s="23">
        <f t="shared" ref="AI55" si="19">IFERROR(AVERAGE(AI5:AI54),"")</f>
        <v>98.26007326007327</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61</v>
      </c>
      <c r="AQ55" s="23">
        <f t="shared" ref="AQ55" si="23">IFERROR(AVERAGE(AQ5:AQ54),"")</f>
        <v>98.603479853479868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2023-06-26T14:56:52Z</dcterms:modified>
</cp:coreProperties>
</file>