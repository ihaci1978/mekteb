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<sst xmlns="http://schemas.openxmlformats.org/spreadsheetml/2006/main" count="263" uniqueCount="191">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</sst>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5" zoomScaleNormal="75" workbookViewId="0">
      <pane xSplit="6" ySplit="4" topLeftCell="S21" activePane="bottomRight" state="frozen"/>
      <selection pane="topRight" activeCell="G1" sqref="G1"/>
      <selection pane="bottomLeft" activeCell="A5" sqref="A5"/>
      <selection pane="bottomRight" activeCell="AE29" sqref="AE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1070977</v>
      </c>
      <c r="G5" s="16">
        <f>IF(F5="","",$G$4)</f>
        <v>135</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135</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135</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135</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135</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135</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135</v>
      </c>
      <c r="H11" s="1">
        <f t="shared" si="5"/>
        <v>33</v>
      </c>
      <c r="I11" s="12"/>
      <c r="J11" s="12"/>
      <c r="K11" s="12"/>
      <c r="L11" s="12"/>
      <c r="M11" s="12"/>
      <c r="N11" s="12"/>
      <c r="O11" s="12"/>
      <c r="P11" s="2" t="str">
        <f t="shared" si="0"/>
        <v/>
      </c>
      <c r="Q11" s="12"/>
      <c r="R11" s="3" t="str">
        <f t="shared" si="1"/>
        <v/>
      </c>
      <c r="S11" s="12"/>
      <c r="T11" s="12"/>
      <c r="U11" s="55">
        <v>2</v>
      </c>
      <c r="V11" s="58">
        <f t="shared" si="14"/>
        <v>87.878787878787875</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143</v>
      </c>
      <c r="D12" s="49" t="s">
        <v>144</v>
      </c>
      <c r="E12" s="50" t="s">
        <v>145</v>
      </c>
      <c r="F12" s="15">
        <v>1070977</v>
      </c>
      <c r="G12" s="1">
        <f t="shared" si="4"/>
        <v>135</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135</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135</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135</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135</v>
      </c>
      <c r="H16" s="1">
        <f t="shared" si="5"/>
        <v>33</v>
      </c>
      <c r="I16" s="12"/>
      <c r="J16" s="12"/>
      <c r="K16" s="12"/>
      <c r="L16" s="12"/>
      <c r="M16" s="12"/>
      <c r="N16" s="12"/>
      <c r="O16" s="12"/>
      <c r="P16" s="2" t="str">
        <f t="shared" si="0"/>
        <v/>
      </c>
      <c r="Q16" s="12"/>
      <c r="R16" s="3" t="str">
        <f t="shared" si="1"/>
        <v/>
      </c>
      <c r="S16" s="12"/>
      <c r="T16" s="12"/>
      <c r="U16" s="55">
        <v>1</v>
      </c>
      <c r="V16" s="58">
        <f t="shared" si="14"/>
        <v>93.939393939393938</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thickBot="1" x14ac:dyDescent="0.3">
      <c r="A17" s="49">
        <v>1</v>
      </c>
      <c r="B17" s="49" t="s">
        <v>121</v>
      </c>
      <c r="C17" s="49" t="s">
        <v>158</v>
      </c>
      <c r="D17" s="49" t="s">
        <v>159</v>
      </c>
      <c r="E17" s="50" t="s">
        <v>160</v>
      </c>
      <c r="F17" s="15">
        <v>1070977</v>
      </c>
      <c r="G17" s="1">
        <f t="shared" si="4"/>
        <v>135</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158</v>
      </c>
      <c r="D18" s="49" t="s">
        <v>161</v>
      </c>
      <c r="E18" s="50" t="s">
        <v>160</v>
      </c>
      <c r="F18" s="15">
        <v>1070977</v>
      </c>
      <c r="G18" s="1">
        <f t="shared" si="4"/>
        <v>135</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1070977</v>
      </c>
      <c r="G19" s="1">
        <f t="shared" si="4"/>
        <v>135</v>
      </c>
      <c r="H19" s="1">
        <f t="shared" si="5"/>
        <v>33</v>
      </c>
      <c r="I19" s="12"/>
      <c r="J19" s="12"/>
      <c r="K19" s="12"/>
      <c r="L19" s="12"/>
      <c r="M19" s="12"/>
      <c r="N19" s="12"/>
      <c r="O19" s="12"/>
      <c r="P19" s="2" t="str">
        <f t="shared" si="0"/>
        <v/>
      </c>
      <c r="Q19" s="12"/>
      <c r="R19" s="3" t="str">
        <f t="shared" si="1"/>
        <v/>
      </c>
      <c r="S19" s="12"/>
      <c r="T19" s="12"/>
      <c r="U19" s="55">
        <v>1</v>
      </c>
      <c r="V19" s="58">
        <f t="shared" si="14"/>
        <v>93.939393939393938</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1</v>
      </c>
      <c r="AQ19" s="28">
        <f t="shared" si="13"/>
        <v>96.969696969696969</v>
      </c>
    </row>
    <row r="20" spans="1:43" ht="18.2" customHeight="1" thickBot="1" x14ac:dyDescent="0.3">
      <c r="A20" s="49">
        <v>1</v>
      </c>
      <c r="B20" s="49" t="s">
        <v>121</v>
      </c>
      <c r="C20" s="49" t="s">
        <v>165</v>
      </c>
      <c r="D20" s="49" t="s">
        <v>166</v>
      </c>
      <c r="E20" s="50" t="s">
        <v>167</v>
      </c>
      <c r="F20" s="15">
        <v>1070977</v>
      </c>
      <c r="G20" s="1">
        <f t="shared" si="4"/>
        <v>135</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135</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135</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1</v>
      </c>
      <c r="AI22" s="58">
        <f t="shared" si="6"/>
        <v>93.939393939393938</v>
      </c>
      <c r="AJ22" s="63" t="str">
        <f t="shared" si="7"/>
        <v/>
      </c>
      <c r="AK22" s="2" t="str">
        <f t="shared" si="8"/>
        <v/>
      </c>
      <c r="AL22" s="3" t="str">
        <f t="shared" si="9"/>
        <v/>
      </c>
      <c r="AM22" s="4" t="str">
        <f t="shared" si="10"/>
        <v/>
      </c>
      <c r="AN22" s="2" t="str">
        <f t="shared" si="11"/>
        <v/>
      </c>
      <c r="AO22" s="12"/>
      <c r="AP22" s="5">
        <f t="shared" si="12"/>
        <v>1</v>
      </c>
      <c r="AQ22" s="28">
        <f t="shared" si="13"/>
        <v>96.969696969696969</v>
      </c>
    </row>
    <row r="23" spans="1:43" ht="18.2" customHeight="1" thickBot="1" x14ac:dyDescent="0.3">
      <c r="A23" s="49">
        <v>1</v>
      </c>
      <c r="B23" s="49" t="s">
        <v>121</v>
      </c>
      <c r="C23" s="49" t="s">
        <v>174</v>
      </c>
      <c r="D23" s="49" t="s">
        <v>175</v>
      </c>
      <c r="E23" s="50" t="s">
        <v>176</v>
      </c>
      <c r="F23" s="15">
        <v>1070977</v>
      </c>
      <c r="G23" s="1">
        <f t="shared" si="4"/>
        <v>135</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130</v>
      </c>
      <c r="F24" s="15">
        <v>1070977</v>
      </c>
      <c r="G24" s="1">
        <f t="shared" si="4"/>
        <v>135</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2</v>
      </c>
      <c r="AI24" s="58">
        <f t="shared" si="6"/>
        <v>87.878787878787875</v>
      </c>
      <c r="AJ24" s="63" t="str">
        <f t="shared" si="7"/>
        <v/>
      </c>
      <c r="AK24" s="2" t="str">
        <f t="shared" si="8"/>
        <v/>
      </c>
      <c r="AL24" s="3" t="str">
        <f t="shared" si="9"/>
        <v/>
      </c>
      <c r="AM24" s="4" t="str">
        <f t="shared" si="10"/>
        <v/>
      </c>
      <c r="AN24" s="2" t="str">
        <f t="shared" si="11"/>
        <v/>
      </c>
      <c r="AO24" s="12"/>
      <c r="AP24" s="5">
        <f t="shared" si="12"/>
        <v>2</v>
      </c>
      <c r="AQ24" s="28">
        <f t="shared" si="13"/>
        <v>93.939393939393938</v>
      </c>
    </row>
    <row r="25" spans="1:43" ht="18.2" customHeight="1" thickBot="1" x14ac:dyDescent="0.3">
      <c r="A25" s="49">
        <v>1</v>
      </c>
      <c r="B25" s="49" t="s">
        <v>121</v>
      </c>
      <c r="C25" s="49" t="s">
        <v>177</v>
      </c>
      <c r="D25" s="49" t="s">
        <v>179</v>
      </c>
      <c r="E25" s="50" t="s">
        <v>180</v>
      </c>
      <c r="F25" s="15">
        <v>1070977</v>
      </c>
      <c r="G25" s="1">
        <f t="shared" si="4"/>
        <v>135</v>
      </c>
      <c r="H25" s="1">
        <f t="shared" si="5"/>
        <v>33</v>
      </c>
      <c r="I25" s="12"/>
      <c r="J25" s="12"/>
      <c r="K25" s="12"/>
      <c r="L25" s="12"/>
      <c r="M25" s="12"/>
      <c r="N25" s="12"/>
      <c r="O25" s="12"/>
      <c r="P25" s="2" t="str">
        <f t="shared" si="0"/>
        <v/>
      </c>
      <c r="Q25" s="12"/>
      <c r="R25" s="3" t="str">
        <f t="shared" si="1"/>
        <v/>
      </c>
      <c r="S25" s="12"/>
      <c r="T25" s="12"/>
      <c r="U25" s="55">
        <v>1</v>
      </c>
      <c r="V25" s="58">
        <f t="shared" si="14"/>
        <v>93.939393939393938</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1</v>
      </c>
      <c r="AQ25" s="28">
        <f t="shared" si="13"/>
        <v>96.969696969696969</v>
      </c>
    </row>
    <row r="26" spans="1:43" ht="18.2" customHeight="1" thickBot="1" x14ac:dyDescent="0.3">
      <c r="A26" s="49">
        <v>1</v>
      </c>
      <c r="B26" s="49" t="s">
        <v>121</v>
      </c>
      <c r="C26" s="49" t="s">
        <v>181</v>
      </c>
      <c r="D26" s="49" t="s">
        <v>182</v>
      </c>
      <c r="E26" s="50" t="s">
        <v>183</v>
      </c>
      <c r="F26" s="15">
        <v>1070977</v>
      </c>
      <c r="G26" s="1">
        <f t="shared" si="4"/>
        <v>135</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184</v>
      </c>
      <c r="D27" s="49" t="s">
        <v>185</v>
      </c>
      <c r="E27" s="50" t="s">
        <v>186</v>
      </c>
      <c r="F27" s="15">
        <v>1070977</v>
      </c>
      <c r="G27" s="1">
        <f t="shared" si="4"/>
        <v>135</v>
      </c>
      <c r="H27" s="1">
        <f t="shared" si="5"/>
        <v>33</v>
      </c>
      <c r="I27" s="12"/>
      <c r="J27" s="12"/>
      <c r="K27" s="12"/>
      <c r="L27" s="12"/>
      <c r="M27" s="12"/>
      <c r="N27" s="12"/>
      <c r="O27" s="12"/>
      <c r="P27" s="2" t="str">
        <f t="shared" si="0"/>
        <v/>
      </c>
      <c r="Q27" s="12"/>
      <c r="R27" s="3" t="str">
        <f t="shared" si="1"/>
        <v/>
      </c>
      <c r="S27" s="12"/>
      <c r="T27" s="12"/>
      <c r="U27" s="55">
        <v>2</v>
      </c>
      <c r="V27" s="58">
        <f t="shared" si="14"/>
        <v>87.878787878787875</v>
      </c>
      <c r="W27" s="56"/>
      <c r="X27" s="12"/>
      <c r="Y27" s="12"/>
      <c r="Z27" s="12"/>
      <c r="AA27" s="12"/>
      <c r="AB27" s="12"/>
      <c r="AC27" s="2" t="str">
        <f t="shared" si="2"/>
        <v/>
      </c>
      <c r="AD27" s="12"/>
      <c r="AE27" s="3" t="str">
        <f t="shared" si="3"/>
        <v/>
      </c>
      <c r="AF27" s="12"/>
      <c r="AG27" s="12"/>
      <c r="AH27" s="55">
        <v>2</v>
      </c>
      <c r="AI27" s="58">
        <f t="shared" si="6"/>
        <v>87.878787878787875</v>
      </c>
      <c r="AJ27" s="63" t="str">
        <f t="shared" si="7"/>
        <v/>
      </c>
      <c r="AK27" s="2" t="str">
        <f t="shared" si="8"/>
        <v/>
      </c>
      <c r="AL27" s="3" t="str">
        <f t="shared" si="9"/>
        <v/>
      </c>
      <c r="AM27" s="4" t="str">
        <f t="shared" si="10"/>
        <v/>
      </c>
      <c r="AN27" s="2" t="str">
        <f t="shared" si="11"/>
        <v/>
      </c>
      <c r="AO27" s="12"/>
      <c r="AP27" s="5">
        <f t="shared" si="12"/>
        <v>4</v>
      </c>
      <c r="AQ27" s="28">
        <f t="shared" si="13"/>
        <v>87.878787878787875</v>
      </c>
    </row>
    <row r="28" spans="1:43" ht="18.2" customHeight="1" thickBot="1" x14ac:dyDescent="0.3">
      <c r="A28" s="49">
        <v>1</v>
      </c>
      <c r="B28" s="49" t="s">
        <v>121</v>
      </c>
      <c r="C28" s="49" t="s">
        <v>187</v>
      </c>
      <c r="D28" s="49" t="s">
        <v>188</v>
      </c>
      <c r="E28" s="50" t="s">
        <v>189</v>
      </c>
      <c r="F28" s="15">
        <v>1070977</v>
      </c>
      <c r="G28" s="1">
        <f t="shared" si="4"/>
        <v>135</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135</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7</v>
      </c>
      <c r="V55" s="23">
        <f t="shared" si="17"/>
        <v>98.303030303030312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98.787878787878796</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12</v>
      </c>
      <c r="AQ55" s="23">
        <f t="shared" ref="AQ55" si="23">IFERROR(AVERAGE(AQ5:AQ54),"")</f>
        <v>98.545454545454561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2023-06-26T14:12:10Z</dcterms:modified>
</cp:coreProperties>
</file>