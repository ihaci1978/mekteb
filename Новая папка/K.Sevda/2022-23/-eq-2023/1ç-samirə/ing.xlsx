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<sst xmlns="http://schemas.openxmlformats.org/spreadsheetml/2006/main" count="263" uniqueCount="191">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</sst>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1" zoomScaleNormal="71" workbookViewId="0">
      <pane xSplit="6" ySplit="4" topLeftCell="Q18" activePane="bottomRight" state="frozen"/>
      <selection pane="topRight" activeCell="G1" sqref="G1"/>
      <selection pane="bottomLeft" activeCell="A5" sqref="A5"/>
      <selection pane="bottomRight" activeCell="AH29" sqref="AH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1269215</v>
      </c>
      <c r="G5" s="16">
        <f>IF(F5="","",$G$4)</f>
        <v>106</v>
      </c>
      <c r="H5" s="16">
        <f>IF(F5="","",$H$4)</f>
        <v>36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1269215</v>
      </c>
      <c r="G6" s="1">
        <f t="shared" ref="G6:G54" si="4">IF(F6="","",$G$4)</f>
        <v>106</v>
      </c>
      <c r="H6" s="1">
        <f t="shared" ref="H6:H54" si="5">IF(F6="","",$H$4)</f>
        <v>36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1269215</v>
      </c>
      <c r="G7" s="1">
        <f t="shared" si="4"/>
        <v>106</v>
      </c>
      <c r="H7" s="1">
        <f t="shared" si="5"/>
        <v>36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1269215</v>
      </c>
      <c r="G8" s="1">
        <f t="shared" si="4"/>
        <v>106</v>
      </c>
      <c r="H8" s="1">
        <f t="shared" si="5"/>
        <v>36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1269215</v>
      </c>
      <c r="G9" s="1">
        <f t="shared" si="4"/>
        <v>106</v>
      </c>
      <c r="H9" s="1">
        <f t="shared" si="5"/>
        <v>36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1269215</v>
      </c>
      <c r="G10" s="1">
        <f t="shared" si="4"/>
        <v>106</v>
      </c>
      <c r="H10" s="1">
        <f t="shared" si="5"/>
        <v>36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1269215</v>
      </c>
      <c r="G11" s="1">
        <f t="shared" si="4"/>
        <v>106</v>
      </c>
      <c r="H11" s="1">
        <f t="shared" si="5"/>
        <v>36</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143</v>
      </c>
      <c r="D12" s="49" t="s">
        <v>144</v>
      </c>
      <c r="E12" s="50" t="s">
        <v>145</v>
      </c>
      <c r="F12" s="15">
        <v>1269215</v>
      </c>
      <c r="G12" s="1">
        <f t="shared" si="4"/>
        <v>106</v>
      </c>
      <c r="H12" s="1">
        <f t="shared" si="5"/>
        <v>36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1269215</v>
      </c>
      <c r="G13" s="1">
        <f t="shared" si="4"/>
        <v>106</v>
      </c>
      <c r="H13" s="1">
        <f t="shared" si="5"/>
        <v>36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1269215</v>
      </c>
      <c r="G14" s="1">
        <f t="shared" si="4"/>
        <v>106</v>
      </c>
      <c r="H14" s="1">
        <f t="shared" si="5"/>
        <v>36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1269215</v>
      </c>
      <c r="G15" s="1">
        <f t="shared" si="4"/>
        <v>106</v>
      </c>
      <c r="H15" s="1">
        <f t="shared" si="5"/>
        <v>36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1269215</v>
      </c>
      <c r="G16" s="1">
        <f t="shared" si="4"/>
        <v>106</v>
      </c>
      <c r="H16" s="1">
        <f t="shared" si="5"/>
        <v>36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x14ac:dyDescent="0.25">
      <c r="A17" s="49">
        <v>1</v>
      </c>
      <c r="B17" s="49" t="s">
        <v>121</v>
      </c>
      <c r="C17" s="49" t="s">
        <v>158</v>
      </c>
      <c r="D17" s="49" t="s">
        <v>159</v>
      </c>
      <c r="E17" s="50" t="s">
        <v>160</v>
      </c>
      <c r="F17" s="15">
        <v>1269215</v>
      </c>
      <c r="G17" s="1">
        <f t="shared" si="4"/>
        <v>106</v>
      </c>
      <c r="H17" s="1">
        <f t="shared" si="5"/>
        <v>36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x14ac:dyDescent="0.25">
      <c r="A18" s="49">
        <v>1</v>
      </c>
      <c r="B18" s="49" t="s">
        <v>121</v>
      </c>
      <c r="C18" s="49" t="s">
        <v>158</v>
      </c>
      <c r="D18" s="49" t="s">
        <v>161</v>
      </c>
      <c r="E18" s="50" t="s">
        <v>160</v>
      </c>
      <c r="F18" s="27">
        <v>1268638</v>
      </c>
      <c r="G18" s="1">
        <f t="shared" si="4"/>
        <v>106</v>
      </c>
      <c r="H18" s="1">
        <f t="shared" si="5"/>
        <v>36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x14ac:dyDescent="0.25">
      <c r="A19" s="49">
        <v>1</v>
      </c>
      <c r="B19" s="49" t="s">
        <v>121</v>
      </c>
      <c r="C19" s="49" t="s">
        <v>162</v>
      </c>
      <c r="D19" s="49" t="s">
        <v>163</v>
      </c>
      <c r="E19" s="50" t="s">
        <v>164</v>
      </c>
      <c r="F19" s="27">
        <v>1268638</v>
      </c>
      <c r="G19" s="1">
        <f t="shared" si="4"/>
        <v>106</v>
      </c>
      <c r="H19" s="1">
        <f t="shared" si="5"/>
        <v>36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x14ac:dyDescent="0.25">
      <c r="A20" s="49">
        <v>1</v>
      </c>
      <c r="B20" s="49" t="s">
        <v>121</v>
      </c>
      <c r="C20" s="49" t="s">
        <v>165</v>
      </c>
      <c r="D20" s="49" t="s">
        <v>166</v>
      </c>
      <c r="E20" s="50" t="s">
        <v>167</v>
      </c>
      <c r="F20" s="27">
        <v>1268638</v>
      </c>
      <c r="G20" s="1">
        <f t="shared" si="4"/>
        <v>106</v>
      </c>
      <c r="H20" s="1">
        <f t="shared" si="5"/>
        <v>36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x14ac:dyDescent="0.25">
      <c r="A21" s="49">
        <v>1</v>
      </c>
      <c r="B21" s="49" t="s">
        <v>121</v>
      </c>
      <c r="C21" s="49" t="s">
        <v>168</v>
      </c>
      <c r="D21" s="49" t="s">
        <v>169</v>
      </c>
      <c r="E21" s="50" t="s">
        <v>170</v>
      </c>
      <c r="F21" s="27">
        <v>1268638</v>
      </c>
      <c r="G21" s="1">
        <f t="shared" si="4"/>
        <v>106</v>
      </c>
      <c r="H21" s="1">
        <f t="shared" si="5"/>
        <v>36</v>
      </c>
      <c r="I21" s="12"/>
      <c r="J21" s="12"/>
      <c r="K21" s="12"/>
      <c r="L21" s="12"/>
      <c r="M21" s="12"/>
      <c r="N21" s="12"/>
      <c r="O21" s="12"/>
      <c r="P21" s="2" t="str">
        <f t="shared" si="0"/>
        <v/>
      </c>
      <c r="Q21" s="12"/>
      <c r="R21" s="3" t="str">
        <f t="shared" si="1"/>
        <v/>
      </c>
      <c r="S21" s="12"/>
      <c r="T21" s="12"/>
      <c r="U21" s="55">
        <v>1</v>
      </c>
      <c r="V21" s="58">
        <f t="shared" si="14"/>
        <v>94.444444444444443</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1</v>
      </c>
      <c r="AQ21" s="28">
        <f t="shared" si="13"/>
        <v>97.222222222222229</v>
      </c>
    </row>
    <row r="22" spans="1:43" ht="18.2" customHeight="1" x14ac:dyDescent="0.25">
      <c r="A22" s="49">
        <v>1</v>
      </c>
      <c r="B22" s="49" t="s">
        <v>121</v>
      </c>
      <c r="C22" s="49" t="s">
        <v>171</v>
      </c>
      <c r="D22" s="49" t="s">
        <v>172</v>
      </c>
      <c r="E22" s="50" t="s">
        <v>173</v>
      </c>
      <c r="F22" s="27">
        <v>1268638</v>
      </c>
      <c r="G22" s="1">
        <f t="shared" si="4"/>
        <v>106</v>
      </c>
      <c r="H22" s="1">
        <f t="shared" si="5"/>
        <v>36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x14ac:dyDescent="0.25">
      <c r="A23" s="49">
        <v>1</v>
      </c>
      <c r="B23" s="49" t="s">
        <v>121</v>
      </c>
      <c r="C23" s="49" t="s">
        <v>174</v>
      </c>
      <c r="D23" s="49" t="s">
        <v>175</v>
      </c>
      <c r="E23" s="50" t="s">
        <v>176</v>
      </c>
      <c r="F23" s="27">
        <v>1268638</v>
      </c>
      <c r="G23" s="1">
        <f t="shared" si="4"/>
        <v>106</v>
      </c>
      <c r="H23" s="1">
        <f t="shared" si="5"/>
        <v>36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x14ac:dyDescent="0.25">
      <c r="A24" s="49">
        <v>1</v>
      </c>
      <c r="B24" s="49" t="s">
        <v>121</v>
      </c>
      <c r="C24" s="49" t="s">
        <v>177</v>
      </c>
      <c r="D24" s="49" t="s">
        <v>178</v>
      </c>
      <c r="E24" s="50" t="s">
        <v>130</v>
      </c>
      <c r="F24" s="27">
        <v>1268638</v>
      </c>
      <c r="G24" s="1">
        <f t="shared" si="4"/>
        <v>106</v>
      </c>
      <c r="H24" s="1">
        <f t="shared" si="5"/>
        <v>36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v>
      </c>
      <c r="AI24" s="58">
        <f t="shared" si="6"/>
        <v>94.444444444444443</v>
      </c>
      <c r="AJ24" s="63" t="str">
        <f t="shared" si="7"/>
        <v/>
      </c>
      <c r="AK24" s="2" t="str">
        <f t="shared" si="8"/>
        <v/>
      </c>
      <c r="AL24" s="3" t="str">
        <f t="shared" si="9"/>
        <v/>
      </c>
      <c r="AM24" s="4" t="str">
        <f t="shared" si="10"/>
        <v/>
      </c>
      <c r="AN24" s="2" t="str">
        <f t="shared" si="11"/>
        <v/>
      </c>
      <c r="AO24" s="12"/>
      <c r="AP24" s="5">
        <f t="shared" si="12"/>
        <v>1</v>
      </c>
      <c r="AQ24" s="28">
        <f t="shared" si="13"/>
        <v>97.222222222222229</v>
      </c>
    </row>
    <row r="25" spans="1:43" ht="18.2" customHeight="1" x14ac:dyDescent="0.25">
      <c r="A25" s="49">
        <v>1</v>
      </c>
      <c r="B25" s="49" t="s">
        <v>121</v>
      </c>
      <c r="C25" s="49" t="s">
        <v>177</v>
      </c>
      <c r="D25" s="49" t="s">
        <v>179</v>
      </c>
      <c r="E25" s="50" t="s">
        <v>180</v>
      </c>
      <c r="F25" s="27">
        <v>1268638</v>
      </c>
      <c r="G25" s="1">
        <f t="shared" si="4"/>
        <v>106</v>
      </c>
      <c r="H25" s="1">
        <f t="shared" si="5"/>
        <v>36</v>
      </c>
      <c r="I25" s="12"/>
      <c r="J25" s="12"/>
      <c r="K25" s="12"/>
      <c r="L25" s="12"/>
      <c r="M25" s="12"/>
      <c r="N25" s="12"/>
      <c r="O25" s="12"/>
      <c r="P25" s="2" t="str">
        <f t="shared" si="0"/>
        <v/>
      </c>
      <c r="Q25" s="12"/>
      <c r="R25" s="3" t="str">
        <f t="shared" si="1"/>
        <v/>
      </c>
      <c r="S25" s="12"/>
      <c r="T25" s="12"/>
      <c r="U25" s="55">
        <v>1</v>
      </c>
      <c r="V25" s="58">
        <f t="shared" si="14"/>
        <v>94.444444444444443</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1</v>
      </c>
      <c r="AQ25" s="28">
        <f t="shared" si="13"/>
        <v>97.222222222222229</v>
      </c>
    </row>
    <row r="26" spans="1:43" ht="18.2" customHeight="1" x14ac:dyDescent="0.25">
      <c r="A26" s="49">
        <v>1</v>
      </c>
      <c r="B26" s="49" t="s">
        <v>121</v>
      </c>
      <c r="C26" s="49" t="s">
        <v>181</v>
      </c>
      <c r="D26" s="49" t="s">
        <v>182</v>
      </c>
      <c r="E26" s="50" t="s">
        <v>183</v>
      </c>
      <c r="F26" s="27">
        <v>1268638</v>
      </c>
      <c r="G26" s="1">
        <f t="shared" si="4"/>
        <v>106</v>
      </c>
      <c r="H26" s="1">
        <f t="shared" si="5"/>
        <v>36</v>
      </c>
      <c r="I26" s="12"/>
      <c r="J26" s="12"/>
      <c r="K26" s="12"/>
      <c r="L26" s="12"/>
      <c r="M26" s="12"/>
      <c r="N26" s="12"/>
      <c r="O26" s="12"/>
      <c r="P26" s="2" t="str">
        <f t="shared" si="0"/>
        <v/>
      </c>
      <c r="Q26" s="12"/>
      <c r="R26" s="3" t="str">
        <f t="shared" si="1"/>
        <v/>
      </c>
      <c r="S26" s="12"/>
      <c r="T26" s="12"/>
      <c r="U26" s="55">
        <v>1</v>
      </c>
      <c r="V26" s="58">
        <f t="shared" si="14"/>
        <v>94.444444444444443</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1</v>
      </c>
      <c r="AQ26" s="28">
        <f t="shared" si="13"/>
        <v>97.222222222222229</v>
      </c>
    </row>
    <row r="27" spans="1:43" ht="18.2" customHeight="1" x14ac:dyDescent="0.25">
      <c r="A27" s="49">
        <v>1</v>
      </c>
      <c r="B27" s="49" t="s">
        <v>121</v>
      </c>
      <c r="C27" s="49" t="s">
        <v>184</v>
      </c>
      <c r="D27" s="49" t="s">
        <v>185</v>
      </c>
      <c r="E27" s="50" t="s">
        <v>186</v>
      </c>
      <c r="F27" s="27">
        <v>1268638</v>
      </c>
      <c r="G27" s="1">
        <f t="shared" si="4"/>
        <v>106</v>
      </c>
      <c r="H27" s="1">
        <f t="shared" si="5"/>
        <v>36</v>
      </c>
      <c r="I27" s="12"/>
      <c r="J27" s="12"/>
      <c r="K27" s="12"/>
      <c r="L27" s="12"/>
      <c r="M27" s="12"/>
      <c r="N27" s="12"/>
      <c r="O27" s="12"/>
      <c r="P27" s="2" t="str">
        <f t="shared" si="0"/>
        <v/>
      </c>
      <c r="Q27" s="12"/>
      <c r="R27" s="3" t="str">
        <f t="shared" si="1"/>
        <v/>
      </c>
      <c r="S27" s="12"/>
      <c r="T27" s="12"/>
      <c r="U27" s="55">
        <v>2</v>
      </c>
      <c r="V27" s="58">
        <f t="shared" si="14"/>
        <v>88.888888888888886</v>
      </c>
      <c r="W27" s="56"/>
      <c r="X27" s="12"/>
      <c r="Y27" s="12"/>
      <c r="Z27" s="12"/>
      <c r="AA27" s="12"/>
      <c r="AB27" s="12"/>
      <c r="AC27" s="2" t="str">
        <f t="shared" si="2"/>
        <v/>
      </c>
      <c r="AD27" s="12"/>
      <c r="AE27" s="3" t="str">
        <f t="shared" si="3"/>
        <v/>
      </c>
      <c r="AF27" s="12"/>
      <c r="AG27" s="12"/>
      <c r="AH27" s="55">
        <v>1</v>
      </c>
      <c r="AI27" s="58">
        <f t="shared" si="6"/>
        <v>94.444444444444443</v>
      </c>
      <c r="AJ27" s="63" t="str">
        <f t="shared" si="7"/>
        <v/>
      </c>
      <c r="AK27" s="2" t="str">
        <f t="shared" si="8"/>
        <v/>
      </c>
      <c r="AL27" s="3" t="str">
        <f t="shared" si="9"/>
        <v/>
      </c>
      <c r="AM27" s="4" t="str">
        <f t="shared" si="10"/>
        <v/>
      </c>
      <c r="AN27" s="2" t="str">
        <f t="shared" si="11"/>
        <v/>
      </c>
      <c r="AO27" s="12"/>
      <c r="AP27" s="5">
        <f t="shared" si="12"/>
        <v>3</v>
      </c>
      <c r="AQ27" s="28">
        <f t="shared" si="13"/>
        <v>91.666666666666671</v>
      </c>
    </row>
    <row r="28" spans="1:43" ht="18.2" customHeight="1" x14ac:dyDescent="0.25">
      <c r="A28" s="49">
        <v>1</v>
      </c>
      <c r="B28" s="49" t="s">
        <v>121</v>
      </c>
      <c r="C28" s="49" t="s">
        <v>187</v>
      </c>
      <c r="D28" s="49" t="s">
        <v>188</v>
      </c>
      <c r="E28" s="50" t="s">
        <v>189</v>
      </c>
      <c r="F28" s="27">
        <v>1268638</v>
      </c>
      <c r="G28" s="1">
        <f t="shared" si="4"/>
        <v>106</v>
      </c>
      <c r="H28" s="1">
        <f t="shared" si="5"/>
        <v>36</v>
      </c>
      <c r="I28" s="12"/>
      <c r="J28" s="12"/>
      <c r="K28" s="12"/>
      <c r="L28" s="12"/>
      <c r="M28" s="12"/>
      <c r="N28" s="12"/>
      <c r="O28" s="12"/>
      <c r="P28" s="2" t="str">
        <f t="shared" si="0"/>
        <v/>
      </c>
      <c r="Q28" s="12"/>
      <c r="R28" s="3" t="str">
        <f t="shared" si="1"/>
        <v/>
      </c>
      <c r="S28" s="12"/>
      <c r="T28" s="12"/>
      <c r="U28" s="55">
        <v>1</v>
      </c>
      <c r="V28" s="58">
        <f t="shared" si="14"/>
        <v>94.444444444444443</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1</v>
      </c>
      <c r="AQ28" s="28">
        <f t="shared" si="13"/>
        <v>97.222222222222229</v>
      </c>
    </row>
    <row r="29" spans="1:43" ht="18.2" customHeight="1" x14ac:dyDescent="0.25">
      <c r="A29" s="49">
        <v>1</v>
      </c>
      <c r="B29" s="49" t="s">
        <v>121</v>
      </c>
      <c r="C29" s="49" t="s">
        <v>187</v>
      </c>
      <c r="D29" s="49" t="s">
        <v>190</v>
      </c>
      <c r="E29" s="50" t="s">
        <v>189</v>
      </c>
      <c r="F29" s="27">
        <v>1268638</v>
      </c>
      <c r="G29" s="1">
        <f t="shared" si="4"/>
        <v>106</v>
      </c>
      <c r="H29" s="1">
        <f t="shared" si="5"/>
        <v>36</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36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6</v>
      </c>
      <c r="V55" s="23">
        <f t="shared" si="17"/>
        <v>98.666666666666643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2</v>
      </c>
      <c r="AI55" s="23">
        <f t="shared" ref="AI55" si="19">IFERROR(AVERAGE(AI5:AI54),"")</f>
        <v>99.555555555555543</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8</v>
      </c>
      <c r="AQ55" s="23">
        <f t="shared" ref="AQ55" si="23">IFERROR(AVERAGE(AQ5:AQ54),"")</f>
        <v>99.1111111111111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2023-06-26T13:55:39Z</dcterms:modified>
</cp:coreProperties>
</file>