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372" activeTab="4"/>
  </bookViews>
  <sheets>
    <sheet name="Azərbaycan dili" sheetId="1" r:id="rId1"/>
    <sheet name="Riyaziyyat" sheetId="2" r:id="rId2"/>
    <sheet name="Həyat bilgisi" sheetId="3" r:id="rId3"/>
    <sheet name="Musiqi" sheetId="4" r:id="rId4"/>
    <sheet name="Təsviri incəsənət" sheetId="5" r:id="rId5"/>
  </sheets>
  <calcPr calcId="152511"/>
  <fileRecoveryPr repairLoad="1"/>
</workbook>
</file>

<file path=xl/calcChain.xml><?xml version="1.0" encoding="utf-8"?>
<calcChain xmlns="http://schemas.openxmlformats.org/spreadsheetml/2006/main">
  <c r="H48" i="5" l="1"/>
  <c r="G48" i="5"/>
  <c r="F48" i="5"/>
  <c r="H47" i="5"/>
  <c r="G47" i="5"/>
  <c r="F47" i="5"/>
  <c r="H46" i="5"/>
  <c r="G46" i="5"/>
  <c r="F46" i="5"/>
  <c r="H45" i="5"/>
  <c r="G45" i="5"/>
  <c r="F45" i="5"/>
  <c r="H44" i="5"/>
  <c r="G44" i="5"/>
  <c r="F44" i="5"/>
  <c r="H43" i="5"/>
  <c r="G43" i="5"/>
  <c r="F43" i="5"/>
  <c r="H42" i="5"/>
  <c r="G42" i="5"/>
  <c r="F42" i="5"/>
  <c r="H41" i="5"/>
  <c r="G41" i="5"/>
  <c r="F41" i="5"/>
  <c r="H40" i="5"/>
  <c r="G40" i="5"/>
  <c r="F40" i="5"/>
  <c r="H39" i="5"/>
  <c r="G39" i="5"/>
  <c r="F39" i="5"/>
  <c r="H38" i="5"/>
  <c r="G38" i="5"/>
  <c r="F38" i="5"/>
  <c r="H37" i="5"/>
  <c r="G37" i="5"/>
  <c r="F37" i="5"/>
  <c r="H36" i="5"/>
  <c r="G36" i="5"/>
  <c r="F36" i="5"/>
  <c r="H35" i="5"/>
  <c r="G35" i="5"/>
  <c r="F35" i="5"/>
  <c r="H34" i="5"/>
  <c r="G34" i="5"/>
  <c r="F34" i="5"/>
  <c r="H33" i="5"/>
  <c r="G33" i="5"/>
  <c r="F33" i="5"/>
  <c r="H32" i="5"/>
  <c r="G32" i="5"/>
  <c r="F32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U26" i="5"/>
  <c r="T26" i="5"/>
  <c r="S26" i="5"/>
  <c r="U25" i="5"/>
  <c r="T25" i="5"/>
  <c r="S25" i="5"/>
  <c r="U24" i="5"/>
  <c r="T24" i="5"/>
  <c r="S24" i="5"/>
  <c r="U23" i="5"/>
  <c r="T23" i="5"/>
  <c r="S23" i="5"/>
  <c r="U22" i="5"/>
  <c r="T22" i="5"/>
  <c r="S22" i="5"/>
  <c r="U21" i="5"/>
  <c r="T21" i="5"/>
  <c r="S21" i="5"/>
  <c r="U20" i="5"/>
  <c r="T20" i="5"/>
  <c r="S20" i="5"/>
  <c r="U19" i="5"/>
  <c r="T19" i="5"/>
  <c r="S19" i="5"/>
  <c r="U18" i="5"/>
  <c r="T18" i="5"/>
  <c r="S18" i="5"/>
  <c r="U17" i="5"/>
  <c r="T17" i="5"/>
  <c r="S17" i="5"/>
  <c r="U16" i="5"/>
  <c r="T16" i="5"/>
  <c r="S16" i="5"/>
  <c r="U15" i="5"/>
  <c r="T15" i="5"/>
  <c r="S15" i="5"/>
  <c r="U14" i="5"/>
  <c r="T14" i="5"/>
  <c r="S14" i="5"/>
  <c r="U13" i="5"/>
  <c r="T13" i="5"/>
  <c r="S13" i="5"/>
  <c r="U12" i="5"/>
  <c r="T12" i="5"/>
  <c r="S12" i="5"/>
  <c r="U11" i="5"/>
  <c r="T11" i="5"/>
  <c r="S11" i="5"/>
  <c r="U10" i="5"/>
  <c r="T10" i="5"/>
  <c r="S10" i="5"/>
  <c r="U9" i="5"/>
  <c r="T9" i="5"/>
  <c r="S9" i="5"/>
  <c r="U8" i="5"/>
  <c r="T8" i="5"/>
  <c r="S8" i="5"/>
  <c r="U7" i="5"/>
  <c r="T7" i="5"/>
  <c r="S7" i="5"/>
  <c r="H48" i="4"/>
  <c r="G48" i="4"/>
  <c r="F48" i="4"/>
  <c r="H47" i="4"/>
  <c r="G47" i="4"/>
  <c r="F47" i="4"/>
  <c r="H46" i="4"/>
  <c r="G46" i="4"/>
  <c r="F46" i="4"/>
  <c r="H45" i="4"/>
  <c r="G45" i="4"/>
  <c r="F45" i="4"/>
  <c r="H44" i="4"/>
  <c r="G44" i="4"/>
  <c r="F44" i="4"/>
  <c r="H43" i="4"/>
  <c r="G43" i="4"/>
  <c r="F43" i="4"/>
  <c r="H42" i="4"/>
  <c r="G42" i="4"/>
  <c r="F42" i="4"/>
  <c r="H41" i="4"/>
  <c r="G41" i="4"/>
  <c r="F41" i="4"/>
  <c r="H40" i="4"/>
  <c r="G40" i="4"/>
  <c r="F40" i="4"/>
  <c r="H39" i="4"/>
  <c r="G39" i="4"/>
  <c r="F39" i="4"/>
  <c r="H38" i="4"/>
  <c r="G38" i="4"/>
  <c r="F38" i="4"/>
  <c r="H37" i="4"/>
  <c r="G37" i="4"/>
  <c r="F37" i="4"/>
  <c r="H36" i="4"/>
  <c r="G36" i="4"/>
  <c r="F36" i="4"/>
  <c r="H35" i="4"/>
  <c r="G35" i="4"/>
  <c r="F35" i="4"/>
  <c r="H34" i="4"/>
  <c r="G34" i="4"/>
  <c r="F34" i="4"/>
  <c r="H33" i="4"/>
  <c r="G33" i="4"/>
  <c r="F33" i="4"/>
  <c r="H32" i="4"/>
  <c r="G32" i="4"/>
  <c r="F32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U26" i="4"/>
  <c r="T26" i="4"/>
  <c r="S26" i="4"/>
  <c r="U25" i="4"/>
  <c r="T25" i="4"/>
  <c r="S25" i="4"/>
  <c r="U24" i="4"/>
  <c r="T24" i="4"/>
  <c r="S24" i="4"/>
  <c r="U23" i="4"/>
  <c r="T23" i="4"/>
  <c r="S23" i="4"/>
  <c r="U22" i="4"/>
  <c r="T22" i="4"/>
  <c r="S22" i="4"/>
  <c r="U21" i="4"/>
  <c r="T21" i="4"/>
  <c r="S21" i="4"/>
  <c r="U20" i="4"/>
  <c r="T20" i="4"/>
  <c r="S20" i="4"/>
  <c r="U19" i="4"/>
  <c r="T19" i="4"/>
  <c r="S19" i="4"/>
  <c r="U18" i="4"/>
  <c r="T18" i="4"/>
  <c r="S18" i="4"/>
  <c r="U17" i="4"/>
  <c r="T17" i="4"/>
  <c r="S17" i="4"/>
  <c r="U16" i="4"/>
  <c r="T16" i="4"/>
  <c r="S16" i="4"/>
  <c r="U15" i="4"/>
  <c r="T15" i="4"/>
  <c r="S15" i="4"/>
  <c r="U14" i="4"/>
  <c r="T14" i="4"/>
  <c r="S14" i="4"/>
  <c r="U13" i="4"/>
  <c r="T13" i="4"/>
  <c r="S13" i="4"/>
  <c r="U12" i="4"/>
  <c r="T12" i="4"/>
  <c r="S12" i="4"/>
  <c r="U11" i="4"/>
  <c r="T11" i="4"/>
  <c r="S11" i="4"/>
  <c r="U10" i="4"/>
  <c r="T10" i="4"/>
  <c r="S10" i="4"/>
  <c r="U9" i="4"/>
  <c r="T9" i="4"/>
  <c r="S9" i="4"/>
  <c r="U8" i="4"/>
  <c r="T8" i="4"/>
  <c r="S8" i="4"/>
  <c r="U7" i="4"/>
  <c r="T7" i="4"/>
  <c r="S7" i="4"/>
  <c r="G48" i="3"/>
  <c r="H48" i="3" s="1"/>
  <c r="F47" i="3"/>
  <c r="H44" i="3"/>
  <c r="G44" i="3"/>
  <c r="F44" i="3"/>
  <c r="H43" i="3"/>
  <c r="G43" i="3"/>
  <c r="F43" i="3"/>
  <c r="H42" i="3"/>
  <c r="G42" i="3"/>
  <c r="F42" i="3"/>
  <c r="H41" i="3"/>
  <c r="G41" i="3"/>
  <c r="F41" i="3"/>
  <c r="H40" i="3"/>
  <c r="G40" i="3"/>
  <c r="F40" i="3"/>
  <c r="H39" i="3"/>
  <c r="G39" i="3"/>
  <c r="F39" i="3"/>
  <c r="H38" i="3"/>
  <c r="G38" i="3"/>
  <c r="F38" i="3"/>
  <c r="H37" i="3"/>
  <c r="G37" i="3"/>
  <c r="F37" i="3"/>
  <c r="H36" i="3"/>
  <c r="G36" i="3"/>
  <c r="F36" i="3"/>
  <c r="H35" i="3"/>
  <c r="G35" i="3"/>
  <c r="F35" i="3"/>
  <c r="H34" i="3"/>
  <c r="G34" i="3"/>
  <c r="F34" i="3"/>
  <c r="H33" i="3"/>
  <c r="G33" i="3"/>
  <c r="F33" i="3"/>
  <c r="H32" i="3"/>
  <c r="G32" i="3"/>
  <c r="F32" i="3"/>
  <c r="R28" i="3"/>
  <c r="G47" i="3" s="1"/>
  <c r="H47" i="3" s="1"/>
  <c r="Q28" i="3"/>
  <c r="G46" i="3" s="1"/>
  <c r="H46" i="3" s="1"/>
  <c r="P28" i="3"/>
  <c r="G45" i="3" s="1"/>
  <c r="H45" i="3" s="1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R27" i="3"/>
  <c r="Q27" i="3"/>
  <c r="F46" i="3" s="1"/>
  <c r="P27" i="3"/>
  <c r="F45" i="3" s="1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S26" i="3"/>
  <c r="T26" i="3" s="1"/>
  <c r="U26" i="3" s="1"/>
  <c r="S25" i="3"/>
  <c r="T25" i="3" s="1"/>
  <c r="U25" i="3" s="1"/>
  <c r="S24" i="3"/>
  <c r="T24" i="3" s="1"/>
  <c r="U24" i="3" s="1"/>
  <c r="S23" i="3"/>
  <c r="T23" i="3" s="1"/>
  <c r="U23" i="3" s="1"/>
  <c r="S22" i="3"/>
  <c r="T22" i="3" s="1"/>
  <c r="U22" i="3" s="1"/>
  <c r="S21" i="3"/>
  <c r="T21" i="3" s="1"/>
  <c r="U21" i="3" s="1"/>
  <c r="S20" i="3"/>
  <c r="T20" i="3" s="1"/>
  <c r="U20" i="3" s="1"/>
  <c r="S19" i="3"/>
  <c r="T19" i="3" s="1"/>
  <c r="U19" i="3" s="1"/>
  <c r="S18" i="3"/>
  <c r="T18" i="3" s="1"/>
  <c r="U18" i="3" s="1"/>
  <c r="S17" i="3"/>
  <c r="T17" i="3" s="1"/>
  <c r="U17" i="3" s="1"/>
  <c r="S16" i="3"/>
  <c r="T16" i="3" s="1"/>
  <c r="U16" i="3" s="1"/>
  <c r="S15" i="3"/>
  <c r="T15" i="3" s="1"/>
  <c r="U15" i="3" s="1"/>
  <c r="S14" i="3"/>
  <c r="T14" i="3" s="1"/>
  <c r="U14" i="3" s="1"/>
  <c r="S13" i="3"/>
  <c r="T13" i="3" s="1"/>
  <c r="U13" i="3" s="1"/>
  <c r="S12" i="3"/>
  <c r="S11" i="3"/>
  <c r="T11" i="3" s="1"/>
  <c r="U11" i="3" s="1"/>
  <c r="S10" i="3"/>
  <c r="T10" i="3" s="1"/>
  <c r="U10" i="3" s="1"/>
  <c r="S9" i="3"/>
  <c r="T9" i="3" s="1"/>
  <c r="U9" i="3" s="1"/>
  <c r="S8" i="3"/>
  <c r="T8" i="3" s="1"/>
  <c r="U8" i="3" s="1"/>
  <c r="S7" i="3"/>
  <c r="T7" i="3" s="1"/>
  <c r="U7" i="3" s="1"/>
  <c r="H48" i="2"/>
  <c r="G48" i="2"/>
  <c r="F48" i="2"/>
  <c r="H47" i="2"/>
  <c r="G47" i="2"/>
  <c r="F47" i="2"/>
  <c r="H46" i="2"/>
  <c r="G46" i="2"/>
  <c r="F46" i="2"/>
  <c r="H45" i="2"/>
  <c r="G45" i="2"/>
  <c r="F45" i="2"/>
  <c r="H44" i="2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U26" i="2"/>
  <c r="T26" i="2"/>
  <c r="S26" i="2"/>
  <c r="U25" i="2"/>
  <c r="T25" i="2"/>
  <c r="S25" i="2"/>
  <c r="U24" i="2"/>
  <c r="T24" i="2"/>
  <c r="S24" i="2"/>
  <c r="U23" i="2"/>
  <c r="T23" i="2"/>
  <c r="S23" i="2"/>
  <c r="U22" i="2"/>
  <c r="T22" i="2"/>
  <c r="S22" i="2"/>
  <c r="U21" i="2"/>
  <c r="T21" i="2"/>
  <c r="S21" i="2"/>
  <c r="U20" i="2"/>
  <c r="T20" i="2"/>
  <c r="S20" i="2"/>
  <c r="U19" i="2"/>
  <c r="T19" i="2"/>
  <c r="S19" i="2"/>
  <c r="U18" i="2"/>
  <c r="T18" i="2"/>
  <c r="S18" i="2"/>
  <c r="U17" i="2"/>
  <c r="T17" i="2"/>
  <c r="S17" i="2"/>
  <c r="U16" i="2"/>
  <c r="T16" i="2"/>
  <c r="S16" i="2"/>
  <c r="U15" i="2"/>
  <c r="T15" i="2"/>
  <c r="S15" i="2"/>
  <c r="U14" i="2"/>
  <c r="T14" i="2"/>
  <c r="S14" i="2"/>
  <c r="U13" i="2"/>
  <c r="T13" i="2"/>
  <c r="S13" i="2"/>
  <c r="U12" i="2"/>
  <c r="T12" i="2"/>
  <c r="S12" i="2"/>
  <c r="U11" i="2"/>
  <c r="T11" i="2"/>
  <c r="S11" i="2"/>
  <c r="U10" i="2"/>
  <c r="T10" i="2"/>
  <c r="S10" i="2"/>
  <c r="U9" i="2"/>
  <c r="T9" i="2"/>
  <c r="S9" i="2"/>
  <c r="U8" i="2"/>
  <c r="T8" i="2"/>
  <c r="S8" i="2"/>
  <c r="U7" i="2"/>
  <c r="T7" i="2"/>
  <c r="S7" i="2"/>
  <c r="H47" i="1"/>
  <c r="G47" i="1"/>
  <c r="F47" i="1"/>
  <c r="H45" i="1"/>
  <c r="G45" i="1"/>
  <c r="F45" i="1"/>
  <c r="H44" i="1"/>
  <c r="G44" i="1"/>
  <c r="F44" i="1"/>
  <c r="H43" i="1"/>
  <c r="G43" i="1"/>
  <c r="F43" i="1"/>
  <c r="H42" i="1"/>
  <c r="G42" i="1"/>
  <c r="F42" i="1"/>
  <c r="H41" i="1"/>
  <c r="G41" i="1"/>
  <c r="F41" i="1"/>
  <c r="H40" i="1"/>
  <c r="G40" i="1"/>
  <c r="F40" i="1"/>
  <c r="H39" i="1"/>
  <c r="G39" i="1"/>
  <c r="F39" i="1"/>
  <c r="H38" i="1"/>
  <c r="G38" i="1"/>
  <c r="F38" i="1"/>
  <c r="H37" i="1"/>
  <c r="G37" i="1"/>
  <c r="F37" i="1"/>
  <c r="H36" i="1"/>
  <c r="G36" i="1"/>
  <c r="F36" i="1"/>
  <c r="H35" i="1"/>
  <c r="G35" i="1"/>
  <c r="F35" i="1"/>
  <c r="H34" i="1"/>
  <c r="G34" i="1"/>
  <c r="F34" i="1"/>
  <c r="H33" i="1"/>
  <c r="G33" i="1"/>
  <c r="F33" i="1"/>
  <c r="H32" i="1"/>
  <c r="G32" i="1"/>
  <c r="F32" i="1"/>
  <c r="H31" i="1"/>
  <c r="G31" i="1"/>
  <c r="F31" i="1"/>
  <c r="U27" i="1"/>
  <c r="T27" i="1"/>
  <c r="S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T26" i="1"/>
  <c r="S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U25" i="1"/>
  <c r="T25" i="1"/>
  <c r="S25" i="1"/>
  <c r="U24" i="1"/>
  <c r="T24" i="1"/>
  <c r="S24" i="1"/>
  <c r="U23" i="1"/>
  <c r="T23" i="1"/>
  <c r="S23" i="1"/>
  <c r="U22" i="1"/>
  <c r="T22" i="1"/>
  <c r="S22" i="1"/>
  <c r="U21" i="1"/>
  <c r="T21" i="1"/>
  <c r="S21" i="1"/>
  <c r="U20" i="1"/>
  <c r="T20" i="1"/>
  <c r="S20" i="1"/>
  <c r="U19" i="1"/>
  <c r="T19" i="1"/>
  <c r="S19" i="1"/>
  <c r="U18" i="1"/>
  <c r="T18" i="1"/>
  <c r="S18" i="1"/>
  <c r="U17" i="1"/>
  <c r="T17" i="1"/>
  <c r="S17" i="1"/>
  <c r="U16" i="1"/>
  <c r="T16" i="1"/>
  <c r="S16" i="1"/>
  <c r="U15" i="1"/>
  <c r="T15" i="1"/>
  <c r="S15" i="1"/>
  <c r="U14" i="1"/>
  <c r="T14" i="1"/>
  <c r="S14" i="1"/>
  <c r="U13" i="1"/>
  <c r="T13" i="1"/>
  <c r="S13" i="1"/>
  <c r="U12" i="1"/>
  <c r="T12" i="1"/>
  <c r="S12" i="1"/>
  <c r="U11" i="1"/>
  <c r="T11" i="1"/>
  <c r="S11" i="1"/>
  <c r="U10" i="1"/>
  <c r="T10" i="1"/>
  <c r="S10" i="1"/>
  <c r="U9" i="1"/>
  <c r="T9" i="1"/>
  <c r="S9" i="1"/>
  <c r="U8" i="1"/>
  <c r="T8" i="1"/>
  <c r="S8" i="1"/>
  <c r="U7" i="1"/>
  <c r="T7" i="1"/>
  <c r="S7" i="1"/>
  <c r="U6" i="1"/>
  <c r="T6" i="1"/>
  <c r="S6" i="1"/>
  <c r="S27" i="3" l="1"/>
  <c r="F48" i="3"/>
  <c r="T12" i="3"/>
  <c r="S28" i="3"/>
  <c r="T28" i="3" l="1"/>
  <c r="U28" i="3" s="1"/>
  <c r="U12" i="3"/>
  <c r="T27" i="3"/>
</calcChain>
</file>

<file path=xl/sharedStrings.xml><?xml version="1.0" encoding="utf-8"?>
<sst xmlns="http://schemas.openxmlformats.org/spreadsheetml/2006/main" count="782" uniqueCount="198">
  <si>
    <t>4-CÜ SİNİF RİYAZİYYAT — DİAQNOSTİK QİYMƏTLƏNDİRMƏ VƏ ALT-STANDARTLAR ÜZRƏ TƏHLİL CƏDVƏLİ (27 ŞAGİRD)</t>
  </si>
  <si>
    <t>4-CÜ SİNİF MUSİQİ — DİAQNOSTİK QİYMƏTLƏNDİRMƏ VƏ ALT-STANDARTLAR ÜZRƏ TƏHLİL CƏDVƏLİ (27 ŞAGİRD)</t>
  </si>
  <si>
    <t>4-CÜ SİNİF HƏYAT BİLGİSİ — DİAQNOSTİK QİYMƏTLƏNDİRMƏ VƏ ALT-STANDARTLAR ÜZRƏ TƏHLİL CƏDVƏLİ (27 ŞAGİRD)</t>
  </si>
  <si>
    <t>Fənn: Riyaziyyat | Sinif: 4b sinfi | Şagird Sayı: 27 nəfər | Maksimal Bal: 16 | Qiymətləndirmə Tipi: Diaqnostik</t>
  </si>
  <si>
    <t>Fənn: Musiqi | Sinif: 4b sinfi | Şagird Sayı: 27 nəfər | Maksimal Bal: 16 | Qiymətləndirmə Tipi: Diaqnostik</t>
  </si>
  <si>
    <t>Fənn: Həyat Bilgisi | Sinif: 4b sinfi | Şagird Sayı: 27 nəfər | Maksimal Bal: 16 | Qiymətləndirmə Tipi: Diaqnostik</t>
  </si>
  <si>
    <t>Hazırladı 205 nömrəli məktəbin metodisti Nuriyyə Zeynalova</t>
  </si>
  <si>
    <t>№</t>
  </si>
  <si>
    <t>Şagirdin Adı və Soyadı</t>
  </si>
  <si>
    <t>Sual 1</t>
  </si>
  <si>
    <t>Sual 2</t>
  </si>
  <si>
    <t>Sual 3</t>
  </si>
  <si>
    <t>Sual 4</t>
  </si>
  <si>
    <t>Sual 5</t>
  </si>
  <si>
    <t>Sual 6</t>
  </si>
  <si>
    <t>Sual 7</t>
  </si>
  <si>
    <t>Sual 8</t>
  </si>
  <si>
    <t>Sual 9</t>
  </si>
  <si>
    <t>Sual 10</t>
  </si>
  <si>
    <t>Sual 11</t>
  </si>
  <si>
    <t>Sual 12</t>
  </si>
  <si>
    <t>Sual 13</t>
  </si>
  <si>
    <t>Sual 14</t>
  </si>
  <si>
    <t>Sual 15</t>
  </si>
  <si>
    <t>Sual 16</t>
  </si>
  <si>
    <t>Toplam Bal</t>
  </si>
  <si>
    <t>Ümumi %</t>
  </si>
  <si>
    <t>Səviyyə</t>
  </si>
  <si>
    <t>Alt-standart:</t>
  </si>
  <si>
    <t>4-1.1.1</t>
  </si>
  <si>
    <t>4-1.1.3</t>
  </si>
  <si>
    <t>4-1.2.1</t>
  </si>
  <si>
    <t>4-2.1.1</t>
  </si>
  <si>
    <t>4-1.1.4</t>
  </si>
  <si>
    <t>4-1.1.2</t>
  </si>
  <si>
    <t>4-3.1.1</t>
  </si>
  <si>
    <t>4-1.2.1; 4-2.1.1</t>
  </si>
  <si>
    <t>4-1.1.1; 4-1.2.1; 4-2.1.1</t>
  </si>
  <si>
    <t>4-2.2.1</t>
  </si>
  <si>
    <t>4-4.4.2</t>
  </si>
  <si>
    <t>4-2.3.1</t>
  </si>
  <si>
    <t>4-4.1.1</t>
  </si>
  <si>
    <t>Maks: 16</t>
  </si>
  <si>
    <t>4-2.3.2</t>
  </si>
  <si>
    <t>4-4.5.1</t>
  </si>
  <si>
    <t>100%</t>
  </si>
  <si>
    <t>Meyar</t>
  </si>
  <si>
    <t>4-4.3.1</t>
  </si>
  <si>
    <t>4-4.6.2</t>
  </si>
  <si>
    <t>4-4.4.2; 4-4.5.1</t>
  </si>
  <si>
    <t>4-1.2.6</t>
  </si>
  <si>
    <t>4-4.1.1; 4-4.4.2; 4-4.6.2</t>
  </si>
  <si>
    <t>4-2.2.2</t>
  </si>
  <si>
    <t>4-1.2.2; 4-1.2.3</t>
  </si>
  <si>
    <t>4-1.1.2; 4-1.1.4; 4-1.2.2; 4-1.2.3; 4-2.2.2</t>
  </si>
  <si>
    <t>4-1.2.1; 4-1.2.2; 4-1.2.3; 4-2.2.2</t>
  </si>
  <si>
    <t>4-1.2.6; 4-2.2.3</t>
  </si>
  <si>
    <t>Düzgün Cavab Sayı (Cəm):</t>
  </si>
  <si>
    <t>Sinif Cəmi</t>
  </si>
  <si>
    <t>Sual üzrə Mənimsəmə %:</t>
  </si>
  <si>
    <t>ALT-STANDARTLAR ÜZRƏ NƏTİCƏLƏRİN TƏHLİL CƏDVƏLİ (27 ŞAGİRD ÜZRƏ DƏQİQ)</t>
  </si>
  <si>
    <t>Sual №</t>
  </si>
  <si>
    <t>Məzmun Xətti</t>
  </si>
  <si>
    <t>Təkmilləşdirilmiş Alt-standart</t>
  </si>
  <si>
    <t>Təlim Məqsədi</t>
  </si>
  <si>
    <t>Taksonomiya Mərhələsi</t>
  </si>
  <si>
    <t>Düzgün Cavab Sayı</t>
  </si>
  <si>
    <t>Mənimsəmə Faizi (%)</t>
  </si>
  <si>
    <t>Səviyyə / Qeyd</t>
  </si>
  <si>
    <t>Musiqi aləmi</t>
  </si>
  <si>
    <t>Xalq musiqisi ilə professional musiqini sadə və tanış nümunələr əsasında fərqləndirir.</t>
  </si>
  <si>
    <t>Anlamaq</t>
  </si>
  <si>
    <t>İnstrumental ansamblı digər musiqi kollektivlərindən fərqləndirir.</t>
  </si>
  <si>
    <t>Azərbaycan xalq rəqslərinin kollektiv ifa xüsusiyyətlərini müəyyən edir.</t>
  </si>
  <si>
    <t>Vokal kollektivlərini ifaçıların sayına və tərkibinə görə fərqləndirir.</t>
  </si>
  <si>
    <t>İnsan və təbiət</t>
  </si>
  <si>
    <t>Canlı orqanizmin xüsusiyyətləri və orqanların həyati əhəmiyyəti haqqında biliklərini tətbiq edir.</t>
  </si>
  <si>
    <t>Tətbiq etmək</t>
  </si>
  <si>
    <t>Emosional dəyərləndirmə</t>
  </si>
  <si>
    <t>Mahnının melodiyası, mətni, məzmunu və xarakteri haqqında sadə fikir bildirir.</t>
  </si>
  <si>
    <t>Dəyərləndirmək</t>
  </si>
  <si>
    <t>Melodiyada səslər arasındakı məsafənin interval adlandığını müəyyən edir.</t>
  </si>
  <si>
    <t>Xatırlamaq</t>
  </si>
  <si>
    <t>Bitkiləri xüsusiyyətlərinə görə fərqləndirir və onların insan həyatındakı əhəmiyyətini müəyyən edir.</t>
  </si>
  <si>
    <t>Musiqinin tempini, ladını və dinamik çalarlarını sadə əlamətlərinə görə müəyyən edir.</t>
  </si>
  <si>
    <t>Taksonomiya Səviyyəsi</t>
  </si>
  <si>
    <t>Ədədlər və əməllər</t>
  </si>
  <si>
    <t>Ədədin yazılışında rəqəmin mərtəbə qiymətini müəyyən edir.</t>
  </si>
  <si>
    <t>Heyvanların xüsusiyyətlərini və insan həyatındakı əhəmiyyətini müəyyən edir.</t>
  </si>
  <si>
    <t>Musiqi fəaliyyəti</t>
  </si>
  <si>
    <t>Dinlədiyi musiqidə əks-səda və ikisəsli ifa xüsusiyyətlərini fərqləndirir.</t>
  </si>
  <si>
    <t>Təhlil etmək</t>
  </si>
  <si>
    <t>Canlıların insan həyatında faydalı roluna dair biliklərini tətbiq edir.</t>
  </si>
  <si>
    <t>Musiqi aləmi, Emosional dəyərləndirmə</t>
  </si>
  <si>
    <t>Musiqi anlayışlarını onların sadə izahları ilə uyğunlaşdırır.</t>
  </si>
  <si>
    <t>Sağlamlıq və təhlükəsizlik</t>
  </si>
  <si>
    <t>Gündəlik fəaliyyətdə sağlamlığın qorunmasına xidmət edən düzgün davranışı seçir.</t>
  </si>
  <si>
    <t>Xalq və professional musiqi, musiqi kollektivləri və ifadə vasitələri haqqında fikirləri dəyərləndirir.</t>
  </si>
  <si>
    <t>Dinləyib-anlama</t>
  </si>
  <si>
    <t>Dinlədiyi və ya sevdiyi musiqinin yaratdığı emosional təəssüratı sadə cümlələrlə ifadə edir.</t>
  </si>
  <si>
    <t>Sağlamlığın qorunmasına müsbət təsir edən gündəlik fəaliyyətləri fərqləndirir.</t>
  </si>
  <si>
    <t>1 000 000 dairəsində ədədi mərtəbə toplananlarının cəmi şəklində təqdim edir.</t>
  </si>
  <si>
    <t>Dinlədiyi mətndə açıq şəkildə verilmiş faktı müəyyən edir və suala cavab verir.</t>
  </si>
  <si>
    <t>ÜMUMİ SİNİF MƏNİMSƏMƏ NƏTİCƏSİ:</t>
  </si>
  <si>
    <t>Bitkilərin xüsusiyyətlərini və ətraf mühitlə əlaqəsini müəyyən edir.</t>
  </si>
  <si>
    <t>İnsan və cəmiyyət</t>
  </si>
  <si>
    <t>İctimai davranış normalarına uyğun olaraq ətraf mühitə məsuliyyətli münasibəti müəyyən edir.</t>
  </si>
  <si>
    <t>Ədədi tələb olunan mərtəbəyə qədər yuvarlaqlaşdırır.</t>
  </si>
  <si>
    <t>İnsanın sosial varlıq kimi formalaşmasında ünsiyyətin rolunu müəyyən edir.</t>
  </si>
  <si>
    <t>Dinlədiyi mətndə obrazın davranışından çıxış edərək onun xüsusiyyətini müəyyənləşdirir.</t>
  </si>
  <si>
    <t>Rəqəmin müxtəlif ədədlərdəki mərtəbə qiymətini müəyyənləşdirir və müqayisə edir.</t>
  </si>
  <si>
    <t>Şəxsiyyətin formalaşmasında ailənin rolunu izah edir.</t>
  </si>
  <si>
    <t>Ailədə qəbul edilmiş sosial norma və vəzifələrə uyğun davranışı müəyyən edir.</t>
  </si>
  <si>
    <t>1 000 000 dairəsində ədədləri müqayisə edir və artan sıra ilə düzür.</t>
  </si>
  <si>
    <t>Dinlədiyi mətnin məzmununu ümumiləşdirərək əsas fikri müəyyən edir.</t>
  </si>
  <si>
    <t>Ünsiyyət mədəniyyətinə uyğun davranışları fərqləndirir.</t>
  </si>
  <si>
    <t>Oxu</t>
  </si>
  <si>
    <t>Oxuduğu mətndə açıq şəkildə verilmiş məlumatı müəyyən edir.</t>
  </si>
  <si>
    <t>Yuvarlaqlaşdırma qaydasını izah edir və nəticəni əsaslandırır.</t>
  </si>
  <si>
    <t>Dövlətçilik və milli dəyərlərə münasibətini ifadə edir.</t>
  </si>
  <si>
    <t>Mətndəki fikir və hadisələri əlaqələndirərək ifadənin mənasını müəyyən edir.</t>
  </si>
  <si>
    <t>Dürüstlük, mərhəmət, əməksevərlik və mehribanlıq kimi mənəvi dəyərləri fərqləndirir.</t>
  </si>
  <si>
    <t>Çoxrəqəmli ədədlərlə toplama və çıxma əməllərini yerinə yetirir.</t>
  </si>
  <si>
    <t>Mətndəki hadisələri məzmun və plan üzrə düzgün ardıcıllıqla qruplaşdırır.</t>
  </si>
  <si>
    <t>Sosial normalar, ailə münasibətləri və ünsiyyətlə bağlı fikirləri qiymətləndirir.</t>
  </si>
  <si>
    <t>Çoxaddımlı məsələni uyğun əməllər seçməklə həll edir.</t>
  </si>
  <si>
    <t>Obrazların davranışını müqayisə edərək ortaq xüsusiyyəti müəyyən edir.</t>
  </si>
  <si>
    <t>Ailə, kollektiv və Vətən qarşısında vəzifələrini nümunələrlə izah edir və müsbət mənəvi keyfiyyətlərin əhəmiyyətini dəyərləndirir.</t>
  </si>
  <si>
    <t>Cəbr və funksiyalar</t>
  </si>
  <si>
    <t>Məchul vuruğun tapılmasına aid sadə tənliyi həll edir.</t>
  </si>
  <si>
    <t>Mətndə irəli sürülən fikri əsaslandıran hadisəni müəyyən edir.</t>
  </si>
  <si>
    <t>Mətndəki əsas fikri ikinci dərəcəli fikirlərdən fərqləndirərək müəyyən edir.</t>
  </si>
  <si>
    <t>Vurma və bölmə hesablamalarını təhlil edərək səhv nəticəni müəyyən edir.</t>
  </si>
  <si>
    <t>Mətndəki obrazın davranışına münasibət bildirir və onu mətnə əsasən dəyərləndirir.</t>
  </si>
  <si>
    <t>Əməllər ardıcıllığını təhlil edir və düzgün həll yolunu müəyyənləşdirir.</t>
  </si>
  <si>
    <t>Dil qaydaları</t>
  </si>
  <si>
    <t>Sözləri əlifba ardıcıllığına uyğun düzür.</t>
  </si>
  <si>
    <t>Sözlərin quruluş və yazılış xüsusiyyətlərinə əsasən mürəkkəb sözü müəyyən edir.</t>
  </si>
  <si>
    <t>Məsələnin şərtinə uyğun çoxaddımlı riyazi ifadəni seçir.</t>
  </si>
  <si>
    <t>Feilin zaman və şəxs xüsusiyyətlərini qrammatik formadan çıxış edərək müəyyən edir.</t>
  </si>
  <si>
    <t>Yuvarlaqlaşdırmadan istifadə etməklə təxmini nəticəni qiymətləndirir və yanaşmanı əsaslandırır.</t>
  </si>
  <si>
    <t>Sifətin cümlədəki funksiyasına dair verilmiş fikirlərin doğruluğunu müəyyən edir.</t>
  </si>
  <si>
    <t>Sözləri leksik-qrammatik xüsusiyyətlərinə görə uyğun nitq hissələri ilə əlaqələndirir.</t>
  </si>
  <si>
    <t>Ədədlər və əməllər, Cəbr və funksiyalar</t>
  </si>
  <si>
    <t>Ədədlər, yuvarlaqlaşdırma, vurma-bölmə və tənliklərə aid mülahizələrin doğruluğunu qiymətləndirir.</t>
  </si>
  <si>
    <t>Hesablamaları və tənlikləri uyğun nəticələrlə əlaqələndirir.</t>
  </si>
  <si>
    <t>Verilən məlumatları əlaqələndirərək çoxaddımlı məsələ yaradır, uyğun ifadə və ya tənlik qurur və həll edir.</t>
  </si>
  <si>
    <t>Yaratmaq</t>
  </si>
  <si>
    <t>4-CÜ SİNİF TƏSVİRİ İNCƏSƏNƏT — DİAQNOSTİK QİYMƏTLƏNDİRMƏ VƏ ALT-STANDARTLAR ÜZRƏ TƏHLİL CƏDVƏLİ (27 ŞAGİRD)</t>
  </si>
  <si>
    <t>Fənn: Təsviri incəsənət | Sinif: 4b sinfi | Şagird Sayı: 27 nəfər | Maksimal Bal: 16 | Qiymətləndirmə Tipi: Diaqnostik</t>
  </si>
  <si>
    <t>4-2.1.2</t>
  </si>
  <si>
    <t>Cəmiyyət və təsviri sənət</t>
  </si>
  <si>
    <t>Qədim insanların yaşayış tərzini əks etdirən təsvirlər əsasında onların ilk yaşayış məkanını müəyyən edir.</t>
  </si>
  <si>
    <t>Qədim qayaüstü rəsmlərin mövzusunu sadə əlamətlərinə görə müəyyən edir.</t>
  </si>
  <si>
    <t>Alaçığı quruluşuna və istifadə edilən materiallara görə digər tikililərdən fərqləndirir.</t>
  </si>
  <si>
    <t>Təsviri və quraşdırma fəaliyyəti</t>
  </si>
  <si>
    <t>Yaxın və uzaq obyektlərin ölçü fərqindən çıxış edərək perspektiv anlayışını müəyyən edir.</t>
  </si>
  <si>
    <t>Cansız əşyaların birlikdə təsvirini natürmort janrı kimi tanıyır.</t>
  </si>
  <si>
    <t>İnsanın xarici görünüşünü əks etdirən əsəri portret janrı kimi müəyyən edir.</t>
  </si>
  <si>
    <t>Əşya üzərində işıq düşən və kölgədə qalan hissələri fərqləndirir.</t>
  </si>
  <si>
    <t>Səth üzərində yaradılmış qabarıq təsviri relyef kimi tanıyır.</t>
  </si>
  <si>
    <t>a</t>
  </si>
  <si>
    <t>Türbəni tanınmış şəxsin xatirəsini əbədiləşdirmək məqsədilə tikilən memarlıq abidəsi kimi müəyyən edir.</t>
  </si>
  <si>
    <t>Məbədi ibadət və dini mərasimlər üçün nəzərdə tutulan tikili kimi tanıyır.</t>
  </si>
  <si>
    <t>Körpünü çayın və ya dərənin iki tərəfini birləşdirən memarlıq tikilisi kimi müəyyən edir.</t>
  </si>
  <si>
    <t>Qalanı müdafiə məqsədilə inşa edilən tikili kimi tanıyır.</t>
  </si>
  <si>
    <t>Karvansaranı karvanların və yolçuların müvəqqəti qalması üçün tikilən bina kimi müəyyən edir.</t>
  </si>
  <si>
    <t>Portret, natürmort, mənzərə və ornament anlayışlarını xüsusiyyətləri ilə uyğunlaşdırır.</t>
  </si>
  <si>
    <t>Estetik reaksiya</t>
  </si>
  <si>
    <t>Təsviri sənət və memarlıqla bağlı fikirlərin doğru və ya yanlış olduğunu müəyyən edir.</t>
  </si>
  <si>
    <t>Tarixi tikili haqqında münasibət bildirir və tikilinin istifadə məqsədini sadə cümlə ilə izah edir.</t>
  </si>
  <si>
    <t>Abbaslı Ayan Çərkəz qızı</t>
  </si>
  <si>
    <t>Ağayev Rafiq Anar oğlu</t>
  </si>
  <si>
    <t>Ağayev Roman Məhərrəm oğlu</t>
  </si>
  <si>
    <t>Aslanova Zeynəb Elsevər qızı</t>
  </si>
  <si>
    <t>Atayeva Məriyəm Zöhrab qızı</t>
  </si>
  <si>
    <t>Dadaşov Fəxri Fədai oğlu</t>
  </si>
  <si>
    <t>Dadaşova Mənsurə Malik qızı</t>
  </si>
  <si>
    <t>Qasımzadə Murad Arzuman oğlu</t>
  </si>
  <si>
    <t>Quliyev Süpan Elçin oğlu</t>
  </si>
  <si>
    <t>Mehrabov İbrahim Aftandil oğlu</t>
  </si>
  <si>
    <t>Məmmədzadə Dərya Siyavuş qızı</t>
  </si>
  <si>
    <t>Məmmədzadə Rauf Siyavuş oğlu</t>
  </si>
  <si>
    <t>Mustafayeva Humay Vahid qızı</t>
  </si>
  <si>
    <t>Nuralıyeva Aylin Xəyal qızı</t>
  </si>
  <si>
    <t>Nuruşov Mehdi Nadir oğlu</t>
  </si>
  <si>
    <r>
      <t xml:space="preserve">Osmanova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sma Bəhruz qızı</t>
    </r>
  </si>
  <si>
    <t>Saxrayev Tunar Elçin oğlu</t>
  </si>
  <si>
    <t>Şıxalıyev Mehdi Elçin oğlu</t>
  </si>
  <si>
    <t>Şirinov Tuncay Sərxan oğlu</t>
  </si>
  <si>
    <t>Şöyübov Salih Seymur oğlu</t>
  </si>
  <si>
    <t>ALT-STANDARTLAR ÜZRƏ NƏTİCƏLƏRİN TƏHLİL CƏDVƏLİ (20 ŞAGİRD ÜZRƏ DƏQİQ)</t>
  </si>
  <si>
    <t>4-4.4.3</t>
  </si>
  <si>
    <t>4-3.2.1</t>
  </si>
  <si>
    <t>Sual16</t>
  </si>
  <si>
    <t>Fənn: Azərbaycan dili | Sinif: 4a sinfi | Şagird Sayı: 20 nəfər | Maksimal Bal: 16 | Qiymətləndirmə Tipi: Diaqnostik</t>
  </si>
  <si>
    <t>4-CÜ SİNİF AZƏRBAYCAN DİLİ — DİAQNOSTİK QİYMƏTLƏNDİRMƏ VƏ ALT-STANDARTLAR ÜZRƏ TƏHLİL CƏDVƏLİ (20 ŞAGİRD)</t>
  </si>
  <si>
    <r>
      <t xml:space="preserve">Osmanova </t>
    </r>
    <r>
      <rPr>
        <sz val="10"/>
        <rFont val="Calibri"/>
        <family val="2"/>
        <scheme val="minor"/>
      </rPr>
      <t>Ə</t>
    </r>
    <r>
      <rPr>
        <sz val="10"/>
        <rFont val="Microsoft PhagsPa"/>
        <family val="2"/>
      </rPr>
      <t>sma Bəhruz qızı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</si>
</sst>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11"/>
      <name val="Calibri"/>
    </font>
    <font>
      <b/>
      <sz val="10"/>
      <color theme="1"/>
      <name val="Calibri"/>
    </font>
    <font>
      <sz val="11"/>
      <color theme="1"/>
      <name val="Calibri"/>
    </font>
    <font>
      <b/>
      <sz val="10"/>
      <color rgb="FFFFFFFF"/>
      <name val="Calibri"/>
    </font>
    <font>
      <sz val="11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10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0"/>
      <color rgb="FF071E58"/>
      <name val="Microsoft PhagsPa"/>
      <family val="2"/>
    </font>
    <font>
      <sz val="10"/>
      <color rgb="FF071E58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13"/>
      <color rgb="FFFFFFFF"/>
      <name val="Calibri"/>
      <family val="2"/>
    </font>
    <font>
      <sz val="10"/>
      <name val="Calibri"/>
    </font>
    <font>
      <sz val="10"/>
      <name val="Microsoft PhagsPa"/>
      <family val="2"/>
    </font>
    <font>
      <sz val="10"/>
      <name val="Calibri"/>
      <family val="2"/>
      <scheme val="minor"/>
    </font>
    <font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 applyFont="1" applyAlignment="1"/>
    <xf numFmtId="0" fontId="4" fillId="0" borderId="0" xfId="0" applyFont="1"/>
    <xf numFmtId="0" fontId="4" fillId="0" borderId="0" xfId="0" applyFont="1" applyAlignment="1"/>
    <xf numFmtId="0" fontId="5" fillId="0" borderId="0" xfId="0" applyFont="1"/>
    <xf numFmtId="0" fontId="6" fillId="5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left" vertical="center" wrapText="1"/>
    </xf>
    <xf numFmtId="1" fontId="11" fillId="6" borderId="4" xfId="0" applyNumberFormat="1" applyFont="1" applyFill="1" applyBorder="1" applyAlignment="1">
      <alignment horizontal="center" vertical="center" wrapText="1"/>
    </xf>
    <xf numFmtId="9" fontId="11" fillId="6" borderId="4" xfId="0" applyNumberFormat="1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left" vertical="center" wrapText="1"/>
    </xf>
    <xf numFmtId="1" fontId="9" fillId="6" borderId="4" xfId="0" applyNumberFormat="1" applyFont="1" applyFill="1" applyBorder="1" applyAlignment="1">
      <alignment horizontal="center" vertical="center" wrapText="1"/>
    </xf>
    <xf numFmtId="9" fontId="9" fillId="6" borderId="4" xfId="0" applyNumberFormat="1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1" fontId="4" fillId="4" borderId="4" xfId="0" applyNumberFormat="1" applyFont="1" applyFill="1" applyBorder="1" applyAlignment="1">
      <alignment horizontal="center" vertical="center"/>
    </xf>
    <xf numFmtId="9" fontId="4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" fontId="8" fillId="4" borderId="4" xfId="0" applyNumberFormat="1" applyFont="1" applyFill="1" applyBorder="1" applyAlignment="1">
      <alignment horizontal="center" vertical="center"/>
    </xf>
    <xf numFmtId="9" fontId="8" fillId="4" borderId="4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9" fontId="9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0" xfId="0" applyFont="1" applyAlignment="1"/>
    <xf numFmtId="0" fontId="0" fillId="0" borderId="0" xfId="0" applyFont="1" applyAlignment="1"/>
    <xf numFmtId="0" fontId="9" fillId="0" borderId="8" xfId="0" applyFont="1" applyBorder="1" applyAlignment="1">
      <alignment horizontal="center" vertical="center" wrapText="1"/>
    </xf>
    <xf numFmtId="0" fontId="14" fillId="7" borderId="8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3" borderId="8" xfId="0" applyFont="1" applyFill="1" applyBorder="1"/>
    <xf numFmtId="0" fontId="8" fillId="3" borderId="8" xfId="0" applyFont="1" applyFill="1" applyBorder="1" applyAlignment="1">
      <alignment horizontal="right" vertical="center"/>
    </xf>
    <xf numFmtId="0" fontId="7" fillId="3" borderId="8" xfId="0" applyFont="1" applyFill="1" applyBorder="1" applyAlignment="1"/>
    <xf numFmtId="0" fontId="16" fillId="2" borderId="8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9" fontId="9" fillId="0" borderId="8" xfId="0" applyNumberFormat="1" applyFont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9" fontId="4" fillId="4" borderId="8" xfId="0" applyNumberFormat="1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/>
    </xf>
    <xf numFmtId="0" fontId="13" fillId="3" borderId="8" xfId="0" applyFont="1" applyFill="1" applyBorder="1" applyAlignment="1">
      <alignment horizontal="center"/>
    </xf>
    <xf numFmtId="0" fontId="18" fillId="6" borderId="4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left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1" fillId="7" borderId="8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horizontal="right" vertical="center"/>
    </xf>
    <xf numFmtId="0" fontId="8" fillId="4" borderId="7" xfId="0" applyFont="1" applyFill="1" applyBorder="1" applyAlignment="1">
      <alignment horizontal="right" vertical="center"/>
    </xf>
    <xf numFmtId="0" fontId="8" fillId="4" borderId="6" xfId="0" applyFont="1" applyFill="1" applyBorder="1" applyAlignment="1">
      <alignment horizontal="right" vertical="center"/>
    </xf>
    <xf numFmtId="0" fontId="17" fillId="5" borderId="5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19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0" fillId="0" borderId="0" xfId="0" applyFont="1" applyAlignment="1"/>
    <xf numFmtId="0" fontId="4" fillId="4" borderId="8" xfId="0" applyFont="1" applyFill="1" applyBorder="1" applyAlignment="1">
      <alignment horizontal="right" vertical="center"/>
    </xf>
    <xf numFmtId="0" fontId="3" fillId="0" borderId="8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6" xfId="0" applyFont="1" applyBorder="1"/>
    <xf numFmtId="0" fontId="4" fillId="4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3"/>
  <sheetViews>
    <sheetView workbookViewId="0">
      <selection activeCell="A6" sqref="A6:B25"/>
    </sheetView>
  </sheetViews>
  <sheetFormatPr defaultColWidth="14.44140625" defaultRowHeight="15" customHeight="1"/>
  <cols>
    <col min="1" max="1" width="4" customWidth="1"/>
    <col min="2" max="2" width="29" customWidth="1"/>
    <col min="3" max="3" width="8.109375" customWidth="1"/>
    <col min="4" max="4" width="24.21875" customWidth="1"/>
    <col min="5" max="5" width="7.5546875" customWidth="1"/>
    <col min="6" max="6" width="7.88671875" customWidth="1"/>
    <col min="7" max="7" width="8.33203125" customWidth="1"/>
    <col min="8" max="8" width="9.6640625" customWidth="1"/>
    <col min="9" max="18" width="9" customWidth="1"/>
    <col min="19" max="19" width="10.88671875" customWidth="1"/>
    <col min="20" max="20" width="10.6640625" customWidth="1"/>
    <col min="21" max="21" width="14" customWidth="1"/>
  </cols>
  <sheetData>
    <row r="1" spans="1:21" ht="19.5" customHeight="1">
      <c r="A1" s="61" t="s">
        <v>196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</row>
    <row r="2" spans="1:21" ht="19.5" customHeight="1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</row>
    <row r="3" spans="1:21" ht="14.4">
      <c r="A3" s="59" t="s">
        <v>195</v>
      </c>
      <c r="B3" s="60"/>
      <c r="C3" s="60"/>
      <c r="D3" s="60"/>
      <c r="E3" s="60"/>
      <c r="F3" s="60"/>
      <c r="G3" s="60"/>
      <c r="H3" s="60"/>
      <c r="I3" s="60"/>
    </row>
    <row r="4" spans="1:21" ht="24.75" customHeight="1">
      <c r="A4" s="32" t="s">
        <v>7</v>
      </c>
      <c r="B4" s="32" t="s">
        <v>8</v>
      </c>
      <c r="C4" s="36" t="s">
        <v>9</v>
      </c>
      <c r="D4" s="32" t="s">
        <v>10</v>
      </c>
      <c r="E4" s="32" t="s">
        <v>11</v>
      </c>
      <c r="F4" s="32" t="s">
        <v>12</v>
      </c>
      <c r="G4" s="32" t="s">
        <v>13</v>
      </c>
      <c r="H4" s="32" t="s">
        <v>14</v>
      </c>
      <c r="I4" s="32" t="s">
        <v>15</v>
      </c>
      <c r="J4" s="32" t="s">
        <v>16</v>
      </c>
      <c r="K4" s="32" t="s">
        <v>17</v>
      </c>
      <c r="L4" s="32" t="s">
        <v>18</v>
      </c>
      <c r="M4" s="32" t="s">
        <v>19</v>
      </c>
      <c r="N4" s="32" t="s">
        <v>20</v>
      </c>
      <c r="O4" s="32" t="s">
        <v>21</v>
      </c>
      <c r="P4" s="32" t="s">
        <v>22</v>
      </c>
      <c r="Q4" s="32" t="s">
        <v>23</v>
      </c>
      <c r="R4" s="32" t="s">
        <v>24</v>
      </c>
      <c r="S4" s="32" t="s">
        <v>25</v>
      </c>
      <c r="T4" s="32" t="s">
        <v>26</v>
      </c>
      <c r="U4" s="32" t="s">
        <v>27</v>
      </c>
    </row>
    <row r="5" spans="1:21" ht="19.5" customHeight="1">
      <c r="A5" s="33"/>
      <c r="B5" s="34" t="s">
        <v>28</v>
      </c>
      <c r="C5" s="42" t="s">
        <v>29</v>
      </c>
      <c r="D5" s="43" t="s">
        <v>29</v>
      </c>
      <c r="E5" s="43" t="s">
        <v>29</v>
      </c>
      <c r="F5" s="43" t="s">
        <v>29</v>
      </c>
      <c r="G5" s="43" t="s">
        <v>38</v>
      </c>
      <c r="H5" s="43" t="s">
        <v>43</v>
      </c>
      <c r="I5" s="43" t="s">
        <v>38</v>
      </c>
      <c r="J5" s="43" t="s">
        <v>40</v>
      </c>
      <c r="K5" s="43" t="s">
        <v>38</v>
      </c>
      <c r="L5" s="43" t="s">
        <v>43</v>
      </c>
      <c r="M5" s="43" t="s">
        <v>192</v>
      </c>
      <c r="N5" s="43" t="s">
        <v>41</v>
      </c>
      <c r="O5" s="43" t="s">
        <v>41</v>
      </c>
      <c r="P5" s="43" t="s">
        <v>41</v>
      </c>
      <c r="Q5" s="43" t="s">
        <v>41</v>
      </c>
      <c r="R5" s="43" t="s">
        <v>193</v>
      </c>
      <c r="S5" s="37" t="s">
        <v>42</v>
      </c>
      <c r="T5" s="37" t="s">
        <v>45</v>
      </c>
      <c r="U5" s="37" t="s">
        <v>46</v>
      </c>
    </row>
    <row r="6" spans="1:21" ht="14.4">
      <c r="A6" s="30">
        <v>1</v>
      </c>
      <c r="B6" s="31" t="s">
        <v>171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8">
        <f t="shared" ref="S6:S25" si="0">SUM(C6:R6)</f>
        <v>0</v>
      </c>
      <c r="T6" s="39">
        <f t="shared" ref="T6:T25" si="1">S6/16</f>
        <v>0</v>
      </c>
      <c r="U6" s="30" t="str">
        <f t="shared" ref="U6:U25" si="2">IF(T6&gt;=0.81, "IV Səviyyə", IF(T6&gt;=0.61, "III Səviyyə", IF(T6&gt;=0.31, "II Səviyyə", "I Səviyyə")))</f>
        <v>I Səviyyə</v>
      </c>
    </row>
    <row r="7" spans="1:21" ht="14.4">
      <c r="A7" s="30">
        <v>2</v>
      </c>
      <c r="B7" s="31" t="s">
        <v>172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8">
        <f t="shared" si="0"/>
        <v>0</v>
      </c>
      <c r="T7" s="39">
        <f t="shared" si="1"/>
        <v>0</v>
      </c>
      <c r="U7" s="30" t="str">
        <f t="shared" si="2"/>
        <v>I Səviyyə</v>
      </c>
    </row>
    <row r="8" spans="1:21" ht="14.4">
      <c r="A8" s="30">
        <v>3</v>
      </c>
      <c r="B8" s="31" t="s">
        <v>173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8">
        <f t="shared" si="0"/>
        <v>0</v>
      </c>
      <c r="T8" s="39">
        <f t="shared" si="1"/>
        <v>0</v>
      </c>
      <c r="U8" s="30" t="str">
        <f t="shared" si="2"/>
        <v>I Səviyyə</v>
      </c>
    </row>
    <row r="9" spans="1:21" ht="14.4">
      <c r="A9" s="30">
        <v>4</v>
      </c>
      <c r="B9" s="31" t="s">
        <v>174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8">
        <f t="shared" si="0"/>
        <v>0</v>
      </c>
      <c r="T9" s="39">
        <f t="shared" si="1"/>
        <v>0</v>
      </c>
      <c r="U9" s="30" t="str">
        <f t="shared" si="2"/>
        <v>I Səviyyə</v>
      </c>
    </row>
    <row r="10" spans="1:21" ht="14.4">
      <c r="A10" s="30">
        <v>5</v>
      </c>
      <c r="B10" s="31" t="s">
        <v>175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8">
        <f>SUM(C10:R10)</f>
        <v>0</v>
      </c>
      <c r="T10" s="39">
        <f t="shared" si="1"/>
        <v>0</v>
      </c>
      <c r="U10" s="30" t="str">
        <f t="shared" si="2"/>
        <v>I Səviyyə</v>
      </c>
    </row>
    <row r="11" spans="1:21" ht="14.4">
      <c r="A11" s="30">
        <v>6</v>
      </c>
      <c r="B11" s="31" t="s">
        <v>176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8">
        <f>SUM(C11:R11)</f>
        <v>0</v>
      </c>
      <c r="T11" s="39">
        <f t="shared" si="1"/>
        <v>0</v>
      </c>
      <c r="U11" s="30" t="str">
        <f t="shared" si="2"/>
        <v>I Səviyyə</v>
      </c>
    </row>
    <row r="12" spans="1:21" ht="14.4">
      <c r="A12" s="30">
        <v>7</v>
      </c>
      <c r="B12" s="31" t="s">
        <v>177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8">
        <f t="shared" si="0"/>
        <v>0</v>
      </c>
      <c r="T12" s="39">
        <f t="shared" si="1"/>
        <v>0</v>
      </c>
      <c r="U12" s="30" t="str">
        <f t="shared" si="2"/>
        <v>I Səviyyə</v>
      </c>
    </row>
    <row r="13" spans="1:21" ht="16.2" customHeight="1">
      <c r="A13" s="30">
        <v>8</v>
      </c>
      <c r="B13" s="31" t="s">
        <v>178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8">
        <f t="shared" si="0"/>
        <v>0</v>
      </c>
      <c r="T13" s="39">
        <f t="shared" si="1"/>
        <v>0</v>
      </c>
      <c r="U13" s="30" t="str">
        <f t="shared" si="2"/>
        <v>I Səviyyə</v>
      </c>
    </row>
    <row r="14" spans="1:21" ht="14.4">
      <c r="A14" s="30">
        <v>9</v>
      </c>
      <c r="B14" s="31" t="s">
        <v>179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8">
        <f t="shared" si="0"/>
        <v>0</v>
      </c>
      <c r="T14" s="39">
        <f t="shared" si="1"/>
        <v>0</v>
      </c>
      <c r="U14" s="30" t="str">
        <f t="shared" si="2"/>
        <v>I Səviyyə</v>
      </c>
    </row>
    <row r="15" spans="1:21" ht="14.4">
      <c r="A15" s="30">
        <v>10</v>
      </c>
      <c r="B15" s="31" t="s">
        <v>180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8">
        <f t="shared" si="0"/>
        <v>0</v>
      </c>
      <c r="T15" s="39">
        <f t="shared" si="1"/>
        <v>0</v>
      </c>
      <c r="U15" s="30" t="str">
        <f t="shared" si="2"/>
        <v>I Səviyyə</v>
      </c>
    </row>
    <row r="16" spans="1:21" ht="16.2" customHeight="1">
      <c r="A16" s="30">
        <v>11</v>
      </c>
      <c r="B16" s="31" t="s">
        <v>181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8">
        <f t="shared" si="0"/>
        <v>0</v>
      </c>
      <c r="T16" s="39">
        <f t="shared" si="1"/>
        <v>0</v>
      </c>
      <c r="U16" s="30" t="str">
        <f t="shared" si="2"/>
        <v>I Səviyyə</v>
      </c>
    </row>
    <row r="17" spans="1:21" ht="14.4">
      <c r="A17" s="30">
        <v>12</v>
      </c>
      <c r="B17" s="31" t="s">
        <v>182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8">
        <f t="shared" si="0"/>
        <v>0</v>
      </c>
      <c r="T17" s="39">
        <f t="shared" si="1"/>
        <v>0</v>
      </c>
      <c r="U17" s="30" t="str">
        <f t="shared" si="2"/>
        <v>I Səviyyə</v>
      </c>
    </row>
    <row r="18" spans="1:21" ht="14.4">
      <c r="A18" s="30">
        <v>13</v>
      </c>
      <c r="B18" s="31" t="s">
        <v>183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8">
        <f t="shared" si="0"/>
        <v>0</v>
      </c>
      <c r="T18" s="39">
        <f t="shared" si="1"/>
        <v>0</v>
      </c>
      <c r="U18" s="30" t="str">
        <f t="shared" si="2"/>
        <v>I Səviyyə</v>
      </c>
    </row>
    <row r="19" spans="1:21" ht="14.4">
      <c r="A19" s="30">
        <v>14</v>
      </c>
      <c r="B19" s="31" t="s">
        <v>184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8">
        <f t="shared" si="0"/>
        <v>0</v>
      </c>
      <c r="T19" s="39">
        <f t="shared" si="1"/>
        <v>0</v>
      </c>
      <c r="U19" s="30" t="str">
        <f t="shared" si="2"/>
        <v>I Səviyyə</v>
      </c>
    </row>
    <row r="20" spans="1:21" ht="15.75" customHeight="1">
      <c r="A20" s="30">
        <v>15</v>
      </c>
      <c r="B20" s="31" t="s">
        <v>185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8">
        <f t="shared" si="0"/>
        <v>0</v>
      </c>
      <c r="T20" s="39">
        <f t="shared" si="1"/>
        <v>0</v>
      </c>
      <c r="U20" s="30" t="str">
        <f t="shared" si="2"/>
        <v>I Səviyyə</v>
      </c>
    </row>
    <row r="21" spans="1:21" ht="15.75" customHeight="1">
      <c r="A21" s="30">
        <v>16</v>
      </c>
      <c r="B21" s="31" t="s">
        <v>186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8">
        <f t="shared" si="0"/>
        <v>0</v>
      </c>
      <c r="T21" s="39">
        <f t="shared" si="1"/>
        <v>0</v>
      </c>
      <c r="U21" s="30" t="str">
        <f t="shared" si="2"/>
        <v>I Səviyyə</v>
      </c>
    </row>
    <row r="22" spans="1:21" ht="15.75" customHeight="1">
      <c r="A22" s="30">
        <v>17</v>
      </c>
      <c r="B22" s="31" t="s">
        <v>187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8">
        <f t="shared" si="0"/>
        <v>0</v>
      </c>
      <c r="T22" s="39">
        <f t="shared" si="1"/>
        <v>0</v>
      </c>
      <c r="U22" s="30" t="str">
        <f t="shared" si="2"/>
        <v>I Səviyyə</v>
      </c>
    </row>
    <row r="23" spans="1:21" ht="15.75" customHeight="1">
      <c r="A23" s="30">
        <v>18</v>
      </c>
      <c r="B23" s="31" t="s">
        <v>188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8">
        <f t="shared" si="0"/>
        <v>0</v>
      </c>
      <c r="T23" s="39">
        <f t="shared" si="1"/>
        <v>0</v>
      </c>
      <c r="U23" s="30" t="str">
        <f t="shared" si="2"/>
        <v>I Səviyyə</v>
      </c>
    </row>
    <row r="24" spans="1:21" ht="15.75" customHeight="1">
      <c r="A24" s="30">
        <v>19</v>
      </c>
      <c r="B24" s="31" t="s">
        <v>189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8">
        <f t="shared" si="0"/>
        <v>0</v>
      </c>
      <c r="T24" s="39">
        <f t="shared" si="1"/>
        <v>0</v>
      </c>
      <c r="U24" s="30" t="str">
        <f t="shared" si="2"/>
        <v>I Səviyyə</v>
      </c>
    </row>
    <row r="25" spans="1:21" ht="15.75" customHeight="1">
      <c r="A25" s="30">
        <v>20</v>
      </c>
      <c r="B25" s="31" t="s">
        <v>190</v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8">
        <f t="shared" si="0"/>
        <v>0</v>
      </c>
      <c r="T25" s="39">
        <f t="shared" si="1"/>
        <v>0</v>
      </c>
      <c r="U25" s="30" t="str">
        <f t="shared" si="2"/>
        <v>I Səviyyə</v>
      </c>
    </row>
    <row r="26" spans="1:21" ht="15.75" customHeight="1">
      <c r="A26" s="65" t="s">
        <v>57</v>
      </c>
      <c r="B26" s="66"/>
      <c r="C26" s="40">
        <f t="shared" ref="C26:Q26" si="3">SUM(C6:C25)</f>
        <v>0</v>
      </c>
      <c r="D26" s="40">
        <f t="shared" si="3"/>
        <v>0</v>
      </c>
      <c r="E26" s="40">
        <f t="shared" si="3"/>
        <v>0</v>
      </c>
      <c r="F26" s="40">
        <f t="shared" si="3"/>
        <v>0</v>
      </c>
      <c r="G26" s="40">
        <f t="shared" si="3"/>
        <v>0</v>
      </c>
      <c r="H26" s="40">
        <f t="shared" si="3"/>
        <v>0</v>
      </c>
      <c r="I26" s="40">
        <f t="shared" si="3"/>
        <v>0</v>
      </c>
      <c r="J26" s="40">
        <f t="shared" si="3"/>
        <v>0</v>
      </c>
      <c r="K26" s="40">
        <f t="shared" si="3"/>
        <v>0</v>
      </c>
      <c r="L26" s="40">
        <f t="shared" si="3"/>
        <v>0</v>
      </c>
      <c r="M26" s="40">
        <f t="shared" si="3"/>
        <v>0</v>
      </c>
      <c r="N26" s="40">
        <f t="shared" si="3"/>
        <v>0</v>
      </c>
      <c r="O26" s="40">
        <f t="shared" si="3"/>
        <v>0</v>
      </c>
      <c r="P26" s="40">
        <f t="shared" si="3"/>
        <v>0</v>
      </c>
      <c r="Q26" s="40">
        <f t="shared" si="3"/>
        <v>0</v>
      </c>
      <c r="R26" s="40"/>
      <c r="S26" s="40">
        <f>SUM(S6:S25)</f>
        <v>0</v>
      </c>
      <c r="T26" s="41">
        <f>AVERAGE(T6:T25)</f>
        <v>0</v>
      </c>
      <c r="U26" s="40" t="s">
        <v>58</v>
      </c>
    </row>
    <row r="27" spans="1:21" ht="15.75" customHeight="1">
      <c r="A27" s="65" t="s">
        <v>59</v>
      </c>
      <c r="B27" s="66"/>
      <c r="C27" s="41" t="e">
        <f t="shared" ref="C27:Q27" si="4">AVERAGE(C6:C25)</f>
        <v>#DIV/0!</v>
      </c>
      <c r="D27" s="41" t="e">
        <f t="shared" si="4"/>
        <v>#DIV/0!</v>
      </c>
      <c r="E27" s="41" t="e">
        <f t="shared" si="4"/>
        <v>#DIV/0!</v>
      </c>
      <c r="F27" s="41" t="e">
        <f t="shared" si="4"/>
        <v>#DIV/0!</v>
      </c>
      <c r="G27" s="41" t="e">
        <f t="shared" si="4"/>
        <v>#DIV/0!</v>
      </c>
      <c r="H27" s="41" t="e">
        <f t="shared" si="4"/>
        <v>#DIV/0!</v>
      </c>
      <c r="I27" s="41" t="e">
        <f t="shared" si="4"/>
        <v>#DIV/0!</v>
      </c>
      <c r="J27" s="41" t="e">
        <f t="shared" si="4"/>
        <v>#DIV/0!</v>
      </c>
      <c r="K27" s="41" t="e">
        <f t="shared" si="4"/>
        <v>#DIV/0!</v>
      </c>
      <c r="L27" s="41" t="e">
        <f t="shared" si="4"/>
        <v>#DIV/0!</v>
      </c>
      <c r="M27" s="41" t="e">
        <f t="shared" si="4"/>
        <v>#DIV/0!</v>
      </c>
      <c r="N27" s="41" t="e">
        <f t="shared" si="4"/>
        <v>#DIV/0!</v>
      </c>
      <c r="O27" s="41" t="e">
        <f t="shared" si="4"/>
        <v>#DIV/0!</v>
      </c>
      <c r="P27" s="41" t="e">
        <f t="shared" si="4"/>
        <v>#DIV/0!</v>
      </c>
      <c r="Q27" s="41" t="e">
        <f t="shared" si="4"/>
        <v>#DIV/0!</v>
      </c>
      <c r="R27" s="41"/>
      <c r="S27" s="40">
        <f>AVERAGE(S6:S25)</f>
        <v>0</v>
      </c>
      <c r="T27" s="41">
        <f>AVERAGE(T6:T25)</f>
        <v>0</v>
      </c>
      <c r="U27" s="40" t="str">
        <f>IF(T27&gt;=0.81, "Əla (IV)", IF(T27&gt;=0.61, "Yaxşı (III)", IF(T27&gt;=0.31, "Orta (II)", "Zəif (I)")))</f>
        <v>Zəif (I)</v>
      </c>
    </row>
    <row r="28" spans="1:21" ht="15.75" customHeight="1"/>
    <row r="29" spans="1:21" ht="15.75" customHeight="1">
      <c r="A29" s="56" t="s">
        <v>191</v>
      </c>
      <c r="B29" s="57"/>
      <c r="C29" s="57"/>
      <c r="D29" s="57"/>
      <c r="E29" s="57"/>
      <c r="F29" s="57"/>
      <c r="G29" s="57"/>
      <c r="H29" s="58"/>
    </row>
    <row r="30" spans="1:21" ht="55.2">
      <c r="A30" s="4" t="s">
        <v>61</v>
      </c>
      <c r="B30" s="4" t="s">
        <v>62</v>
      </c>
      <c r="C30" s="4" t="s">
        <v>63</v>
      </c>
      <c r="D30" s="4" t="s">
        <v>64</v>
      </c>
      <c r="E30" s="4" t="s">
        <v>65</v>
      </c>
      <c r="F30" s="4" t="s">
        <v>66</v>
      </c>
      <c r="G30" s="4" t="s">
        <v>67</v>
      </c>
      <c r="H30" s="4" t="s">
        <v>68</v>
      </c>
    </row>
    <row r="31" spans="1:21" ht="93.6" customHeight="1">
      <c r="A31" s="5" t="s">
        <v>9</v>
      </c>
      <c r="B31" s="5" t="s">
        <v>98</v>
      </c>
      <c r="C31" s="5" t="s">
        <v>29</v>
      </c>
      <c r="D31" s="6" t="s">
        <v>102</v>
      </c>
      <c r="E31" s="5" t="s">
        <v>82</v>
      </c>
      <c r="F31" s="7">
        <f>C26</f>
        <v>0</v>
      </c>
      <c r="G31" s="8" t="e">
        <f>C27</f>
        <v>#DIV/0!</v>
      </c>
      <c r="H31" s="9" t="e">
        <f t="shared" ref="H31:H47" si="5">IF(G31&gt;=0.81, "Əla (IV)", IF(G31&gt;=0.61, "Yaxşı (III)", IF(G31&gt;=0.31, "Orta (II)", "Zəif (I)")))</f>
        <v>#DIV/0!</v>
      </c>
    </row>
    <row r="32" spans="1:21" ht="60.6" customHeight="1">
      <c r="A32" s="5" t="s">
        <v>10</v>
      </c>
      <c r="B32" s="5" t="s">
        <v>98</v>
      </c>
      <c r="C32" s="44" t="s">
        <v>29</v>
      </c>
      <c r="D32" s="6" t="s">
        <v>109</v>
      </c>
      <c r="E32" s="5" t="s">
        <v>91</v>
      </c>
      <c r="F32" s="7">
        <f>D26</f>
        <v>0</v>
      </c>
      <c r="G32" s="8" t="e">
        <f>D27</f>
        <v>#DIV/0!</v>
      </c>
      <c r="H32" s="9" t="e">
        <f t="shared" si="5"/>
        <v>#DIV/0!</v>
      </c>
    </row>
    <row r="33" spans="1:8" ht="65.400000000000006" customHeight="1">
      <c r="A33" s="5" t="s">
        <v>11</v>
      </c>
      <c r="B33" s="5" t="s">
        <v>98</v>
      </c>
      <c r="C33" s="44" t="s">
        <v>29</v>
      </c>
      <c r="D33" s="6" t="s">
        <v>114</v>
      </c>
      <c r="E33" s="5" t="s">
        <v>71</v>
      </c>
      <c r="F33" s="7">
        <f>E26</f>
        <v>0</v>
      </c>
      <c r="G33" s="8" t="e">
        <f>E27</f>
        <v>#DIV/0!</v>
      </c>
      <c r="H33" s="9" t="e">
        <f t="shared" si="5"/>
        <v>#DIV/0!</v>
      </c>
    </row>
    <row r="34" spans="1:8" ht="41.4">
      <c r="A34" s="5" t="s">
        <v>12</v>
      </c>
      <c r="B34" s="5" t="s">
        <v>116</v>
      </c>
      <c r="C34" s="44" t="s">
        <v>29</v>
      </c>
      <c r="D34" s="6" t="s">
        <v>117</v>
      </c>
      <c r="E34" s="5" t="s">
        <v>82</v>
      </c>
      <c r="F34" s="7">
        <f>F26</f>
        <v>0</v>
      </c>
      <c r="G34" s="8" t="e">
        <f>F27</f>
        <v>#DIV/0!</v>
      </c>
      <c r="H34" s="9" t="e">
        <f t="shared" si="5"/>
        <v>#DIV/0!</v>
      </c>
    </row>
    <row r="35" spans="1:8" ht="41.4">
      <c r="A35" s="5" t="s">
        <v>13</v>
      </c>
      <c r="B35" s="5" t="s">
        <v>116</v>
      </c>
      <c r="C35" s="44" t="s">
        <v>38</v>
      </c>
      <c r="D35" s="6" t="s">
        <v>120</v>
      </c>
      <c r="E35" s="5" t="s">
        <v>71</v>
      </c>
      <c r="F35" s="7">
        <f>G26</f>
        <v>0</v>
      </c>
      <c r="G35" s="8" t="e">
        <f>G27</f>
        <v>#DIV/0!</v>
      </c>
      <c r="H35" s="9" t="e">
        <f t="shared" si="5"/>
        <v>#DIV/0!</v>
      </c>
    </row>
    <row r="36" spans="1:8" ht="41.4">
      <c r="A36" s="5" t="s">
        <v>14</v>
      </c>
      <c r="B36" s="5" t="s">
        <v>116</v>
      </c>
      <c r="C36" s="44" t="s">
        <v>43</v>
      </c>
      <c r="D36" s="6" t="s">
        <v>123</v>
      </c>
      <c r="E36" s="5" t="s">
        <v>91</v>
      </c>
      <c r="F36" s="7">
        <f>H26</f>
        <v>0</v>
      </c>
      <c r="G36" s="8" t="e">
        <f>H27</f>
        <v>#DIV/0!</v>
      </c>
      <c r="H36" s="9" t="e">
        <f t="shared" si="5"/>
        <v>#DIV/0!</v>
      </c>
    </row>
    <row r="37" spans="1:8" ht="41.4">
      <c r="A37" s="5" t="s">
        <v>15</v>
      </c>
      <c r="B37" s="5" t="s">
        <v>116</v>
      </c>
      <c r="C37" s="44" t="s">
        <v>38</v>
      </c>
      <c r="D37" s="6" t="s">
        <v>126</v>
      </c>
      <c r="E37" s="5" t="s">
        <v>91</v>
      </c>
      <c r="F37" s="7">
        <f>I26</f>
        <v>0</v>
      </c>
      <c r="G37" s="8" t="e">
        <f>I27</f>
        <v>#DIV/0!</v>
      </c>
      <c r="H37" s="9" t="e">
        <f t="shared" si="5"/>
        <v>#DIV/0!</v>
      </c>
    </row>
    <row r="38" spans="1:8" ht="41.4">
      <c r="A38" s="5" t="s">
        <v>16</v>
      </c>
      <c r="B38" s="5" t="s">
        <v>116</v>
      </c>
      <c r="C38" s="44" t="s">
        <v>43</v>
      </c>
      <c r="D38" s="6" t="s">
        <v>130</v>
      </c>
      <c r="E38" s="5" t="s">
        <v>91</v>
      </c>
      <c r="F38" s="7">
        <f>J26</f>
        <v>0</v>
      </c>
      <c r="G38" s="8" t="e">
        <f>J27</f>
        <v>#DIV/0!</v>
      </c>
      <c r="H38" s="9" t="e">
        <f t="shared" si="5"/>
        <v>#DIV/0!</v>
      </c>
    </row>
    <row r="39" spans="1:8" ht="41.4">
      <c r="A39" s="5" t="s">
        <v>17</v>
      </c>
      <c r="B39" s="5" t="s">
        <v>116</v>
      </c>
      <c r="C39" s="44" t="s">
        <v>38</v>
      </c>
      <c r="D39" s="6" t="s">
        <v>131</v>
      </c>
      <c r="E39" s="5" t="s">
        <v>71</v>
      </c>
      <c r="F39" s="7">
        <f>K26</f>
        <v>0</v>
      </c>
      <c r="G39" s="8" t="e">
        <f>K27</f>
        <v>#DIV/0!</v>
      </c>
      <c r="H39" s="9" t="e">
        <f t="shared" si="5"/>
        <v>#DIV/0!</v>
      </c>
    </row>
    <row r="40" spans="1:8" ht="55.2">
      <c r="A40" s="5" t="s">
        <v>18</v>
      </c>
      <c r="B40" s="5" t="s">
        <v>116</v>
      </c>
      <c r="C40" s="44" t="s">
        <v>43</v>
      </c>
      <c r="D40" s="6" t="s">
        <v>133</v>
      </c>
      <c r="E40" s="5" t="s">
        <v>80</v>
      </c>
      <c r="F40" s="7">
        <f>L26</f>
        <v>0</v>
      </c>
      <c r="G40" s="8" t="e">
        <f>L27</f>
        <v>#DIV/0!</v>
      </c>
      <c r="H40" s="9" t="e">
        <f t="shared" si="5"/>
        <v>#DIV/0!</v>
      </c>
    </row>
    <row r="41" spans="1:8" ht="43.8" customHeight="1">
      <c r="A41" s="5" t="s">
        <v>19</v>
      </c>
      <c r="B41" s="5" t="s">
        <v>135</v>
      </c>
      <c r="C41" s="44" t="s">
        <v>192</v>
      </c>
      <c r="D41" s="6" t="s">
        <v>136</v>
      </c>
      <c r="E41" s="5" t="s">
        <v>77</v>
      </c>
      <c r="F41" s="7">
        <f>M26</f>
        <v>0</v>
      </c>
      <c r="G41" s="8" t="e">
        <f>M27</f>
        <v>#DIV/0!</v>
      </c>
      <c r="H41" s="9" t="e">
        <f t="shared" si="5"/>
        <v>#DIV/0!</v>
      </c>
    </row>
    <row r="42" spans="1:8" ht="36" customHeight="1">
      <c r="A42" s="5" t="s">
        <v>20</v>
      </c>
      <c r="B42" s="5" t="s">
        <v>135</v>
      </c>
      <c r="C42" s="44" t="s">
        <v>41</v>
      </c>
      <c r="D42" s="6" t="s">
        <v>137</v>
      </c>
      <c r="E42" s="5" t="s">
        <v>77</v>
      </c>
      <c r="F42" s="7">
        <f>N26</f>
        <v>0</v>
      </c>
      <c r="G42" s="8" t="e">
        <f>N27</f>
        <v>#DIV/0!</v>
      </c>
      <c r="H42" s="9" t="e">
        <f t="shared" si="5"/>
        <v>#DIV/0!</v>
      </c>
    </row>
    <row r="43" spans="1:8" ht="55.2">
      <c r="A43" s="5" t="s">
        <v>21</v>
      </c>
      <c r="B43" s="5" t="s">
        <v>135</v>
      </c>
      <c r="C43" s="44" t="s">
        <v>41</v>
      </c>
      <c r="D43" s="6" t="s">
        <v>139</v>
      </c>
      <c r="E43" s="5" t="s">
        <v>77</v>
      </c>
      <c r="F43" s="7">
        <f>O26</f>
        <v>0</v>
      </c>
      <c r="G43" s="8" t="e">
        <f>O27</f>
        <v>#DIV/0!</v>
      </c>
      <c r="H43" s="9" t="e">
        <f t="shared" si="5"/>
        <v>#DIV/0!</v>
      </c>
    </row>
    <row r="44" spans="1:8" ht="55.2">
      <c r="A44" s="5" t="s">
        <v>22</v>
      </c>
      <c r="B44" s="5" t="s">
        <v>135</v>
      </c>
      <c r="C44" s="44" t="s">
        <v>41</v>
      </c>
      <c r="D44" s="6" t="s">
        <v>141</v>
      </c>
      <c r="E44" s="5" t="s">
        <v>91</v>
      </c>
      <c r="F44" s="7">
        <f>P26</f>
        <v>0</v>
      </c>
      <c r="G44" s="8" t="e">
        <f>P27</f>
        <v>#DIV/0!</v>
      </c>
      <c r="H44" s="9" t="e">
        <f t="shared" si="5"/>
        <v>#DIV/0!</v>
      </c>
    </row>
    <row r="45" spans="1:8" ht="41.4">
      <c r="A45" s="5" t="s">
        <v>23</v>
      </c>
      <c r="B45" s="5" t="s">
        <v>135</v>
      </c>
      <c r="C45" s="44" t="s">
        <v>41</v>
      </c>
      <c r="D45" s="6" t="s">
        <v>142</v>
      </c>
      <c r="E45" s="5" t="s">
        <v>91</v>
      </c>
      <c r="F45" s="7">
        <f>Q26</f>
        <v>0</v>
      </c>
      <c r="G45" s="8" t="e">
        <f>Q27</f>
        <v>#DIV/0!</v>
      </c>
      <c r="H45" s="9" t="e">
        <f t="shared" si="5"/>
        <v>#DIV/0!</v>
      </c>
    </row>
    <row r="46" spans="1:8" s="29" customFormat="1" ht="27.6">
      <c r="A46" s="49" t="s">
        <v>194</v>
      </c>
      <c r="B46" s="45"/>
      <c r="C46" s="46" t="s">
        <v>193</v>
      </c>
      <c r="D46" s="47"/>
      <c r="E46" s="48"/>
      <c r="F46" s="7"/>
      <c r="G46" s="8"/>
      <c r="H46" s="9"/>
    </row>
    <row r="47" spans="1:8" ht="15.75" customHeight="1">
      <c r="A47" s="53" t="s">
        <v>103</v>
      </c>
      <c r="B47" s="54"/>
      <c r="C47" s="54"/>
      <c r="D47" s="54"/>
      <c r="E47" s="55"/>
      <c r="F47" s="18">
        <f>SUM(F31:F45)</f>
        <v>0</v>
      </c>
      <c r="G47" s="19" t="e">
        <f>AVERAGE(G31:G45)</f>
        <v>#DIV/0!</v>
      </c>
      <c r="H47" s="20" t="e">
        <f t="shared" si="5"/>
        <v>#DIV/0!</v>
      </c>
    </row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6">
    <mergeCell ref="A47:E47"/>
    <mergeCell ref="A29:H29"/>
    <mergeCell ref="A3:I3"/>
    <mergeCell ref="A1:U2"/>
    <mergeCell ref="A26:B26"/>
    <mergeCell ref="A27:B27"/>
  </mergeCells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993"/>
  <sheetViews>
    <sheetView workbookViewId="0">
      <selection activeCell="A7" sqref="A7:B26"/>
    </sheetView>
  </sheetViews>
  <sheetFormatPr defaultColWidth="14.44140625" defaultRowHeight="15" customHeight="1"/>
  <cols>
    <col min="1" max="1" width="5" customWidth="1"/>
    <col min="2" max="2" width="31.5546875" customWidth="1"/>
    <col min="3" max="3" width="52.21875" customWidth="1"/>
    <col min="4" max="4" width="50.21875" customWidth="1"/>
    <col min="5" max="5" width="17.33203125" customWidth="1"/>
    <col min="6" max="7" width="10.88671875" customWidth="1"/>
    <col min="8" max="8" width="13.6640625" customWidth="1"/>
    <col min="9" max="18" width="9" customWidth="1"/>
    <col min="19" max="19" width="14" customWidth="1"/>
    <col min="20" max="20" width="12" customWidth="1"/>
    <col min="21" max="21" width="14" customWidth="1"/>
  </cols>
  <sheetData>
    <row r="1" spans="1:21" ht="14.4">
      <c r="A1" s="67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</row>
    <row r="2" spans="1:21" ht="14.4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</row>
    <row r="3" spans="1:21" ht="14.4">
      <c r="A3" s="2" t="s">
        <v>3</v>
      </c>
      <c r="D3" s="1" t="s">
        <v>6</v>
      </c>
    </row>
    <row r="4" spans="1:21" ht="14.4">
      <c r="C4" s="3"/>
    </row>
    <row r="5" spans="1:21" ht="14.4">
      <c r="A5" s="32" t="s">
        <v>7</v>
      </c>
      <c r="B5" s="32" t="s">
        <v>8</v>
      </c>
      <c r="C5" s="32" t="s">
        <v>9</v>
      </c>
      <c r="D5" s="32" t="s">
        <v>10</v>
      </c>
      <c r="E5" s="32" t="s">
        <v>11</v>
      </c>
      <c r="F5" s="32" t="s">
        <v>12</v>
      </c>
      <c r="G5" s="32" t="s">
        <v>13</v>
      </c>
      <c r="H5" s="32" t="s">
        <v>14</v>
      </c>
      <c r="I5" s="32" t="s">
        <v>15</v>
      </c>
      <c r="J5" s="32" t="s">
        <v>16</v>
      </c>
      <c r="K5" s="32" t="s">
        <v>17</v>
      </c>
      <c r="L5" s="32" t="s">
        <v>18</v>
      </c>
      <c r="M5" s="32" t="s">
        <v>19</v>
      </c>
      <c r="N5" s="32" t="s">
        <v>20</v>
      </c>
      <c r="O5" s="32" t="s">
        <v>21</v>
      </c>
      <c r="P5" s="32" t="s">
        <v>22</v>
      </c>
      <c r="Q5" s="32" t="s">
        <v>23</v>
      </c>
      <c r="R5" s="32" t="s">
        <v>24</v>
      </c>
      <c r="S5" s="32" t="s">
        <v>25</v>
      </c>
      <c r="T5" s="32" t="s">
        <v>26</v>
      </c>
      <c r="U5" s="32" t="s">
        <v>27</v>
      </c>
    </row>
    <row r="6" spans="1:21" ht="14.4">
      <c r="A6" s="33"/>
      <c r="B6" s="34" t="s">
        <v>28</v>
      </c>
      <c r="C6" s="35" t="s">
        <v>34</v>
      </c>
      <c r="D6" s="35" t="s">
        <v>29</v>
      </c>
      <c r="E6" s="35" t="s">
        <v>33</v>
      </c>
      <c r="F6" s="35" t="s">
        <v>34</v>
      </c>
      <c r="G6" s="35" t="s">
        <v>30</v>
      </c>
      <c r="H6" s="35" t="s">
        <v>33</v>
      </c>
      <c r="I6" s="35" t="s">
        <v>31</v>
      </c>
      <c r="J6" s="35" t="s">
        <v>50</v>
      </c>
      <c r="K6" s="35" t="s">
        <v>52</v>
      </c>
      <c r="L6" s="35" t="s">
        <v>53</v>
      </c>
      <c r="M6" s="35" t="s">
        <v>32</v>
      </c>
      <c r="N6" s="35" t="s">
        <v>50</v>
      </c>
      <c r="O6" s="35" t="s">
        <v>33</v>
      </c>
      <c r="P6" s="35" t="s">
        <v>54</v>
      </c>
      <c r="Q6" s="35" t="s">
        <v>55</v>
      </c>
      <c r="R6" s="35" t="s">
        <v>56</v>
      </c>
      <c r="S6" s="37" t="s">
        <v>42</v>
      </c>
      <c r="T6" s="37" t="s">
        <v>45</v>
      </c>
      <c r="U6" s="37" t="s">
        <v>46</v>
      </c>
    </row>
    <row r="7" spans="1:21" ht="14.4">
      <c r="A7" s="30">
        <v>1</v>
      </c>
      <c r="B7" s="31" t="s">
        <v>171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8">
        <f t="shared" ref="S7:S26" si="0">SUM(C7:R7)</f>
        <v>0</v>
      </c>
      <c r="T7" s="39">
        <f t="shared" ref="T7:T26" si="1">S7/16</f>
        <v>0</v>
      </c>
      <c r="U7" s="30" t="str">
        <f t="shared" ref="U7:U26" si="2">IF(T7&gt;=0.81, "IV Səviyyə", IF(T7&gt;=0.61, "III Səviyyə", IF(T7&gt;=0.31, "II Səviyyə", "I Səviyyə")))</f>
        <v>I Səviyyə</v>
      </c>
    </row>
    <row r="8" spans="1:21" ht="14.4">
      <c r="A8" s="30">
        <v>2</v>
      </c>
      <c r="B8" s="31" t="s">
        <v>172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8">
        <f t="shared" si="0"/>
        <v>0</v>
      </c>
      <c r="T8" s="39">
        <f t="shared" si="1"/>
        <v>0</v>
      </c>
      <c r="U8" s="30" t="str">
        <f t="shared" si="2"/>
        <v>I Səviyyə</v>
      </c>
    </row>
    <row r="9" spans="1:21" ht="14.4">
      <c r="A9" s="30">
        <v>3</v>
      </c>
      <c r="B9" s="31" t="s">
        <v>173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8">
        <f t="shared" si="0"/>
        <v>0</v>
      </c>
      <c r="T9" s="39">
        <f t="shared" si="1"/>
        <v>0</v>
      </c>
      <c r="U9" s="30" t="str">
        <f t="shared" si="2"/>
        <v>I Səviyyə</v>
      </c>
    </row>
    <row r="10" spans="1:21" ht="14.4">
      <c r="A10" s="30">
        <v>4</v>
      </c>
      <c r="B10" s="31" t="s">
        <v>174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8">
        <f t="shared" si="0"/>
        <v>0</v>
      </c>
      <c r="T10" s="39">
        <f t="shared" si="1"/>
        <v>0</v>
      </c>
      <c r="U10" s="30" t="str">
        <f t="shared" si="2"/>
        <v>I Səviyyə</v>
      </c>
    </row>
    <row r="11" spans="1:21" ht="14.4">
      <c r="A11" s="30">
        <v>5</v>
      </c>
      <c r="B11" s="31" t="s">
        <v>175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8">
        <f t="shared" si="0"/>
        <v>0</v>
      </c>
      <c r="T11" s="39">
        <f t="shared" si="1"/>
        <v>0</v>
      </c>
      <c r="U11" s="30" t="str">
        <f t="shared" si="2"/>
        <v>I Səviyyə</v>
      </c>
    </row>
    <row r="12" spans="1:21" ht="14.4">
      <c r="A12" s="30">
        <v>6</v>
      </c>
      <c r="B12" s="31" t="s">
        <v>176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8">
        <f t="shared" si="0"/>
        <v>0</v>
      </c>
      <c r="T12" s="39">
        <f t="shared" si="1"/>
        <v>0</v>
      </c>
      <c r="U12" s="30" t="str">
        <f t="shared" si="2"/>
        <v>I Səviyyə</v>
      </c>
    </row>
    <row r="13" spans="1:21" ht="14.4">
      <c r="A13" s="30">
        <v>7</v>
      </c>
      <c r="B13" s="31" t="s">
        <v>177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8">
        <f t="shared" si="0"/>
        <v>0</v>
      </c>
      <c r="T13" s="39">
        <f t="shared" si="1"/>
        <v>0</v>
      </c>
      <c r="U13" s="30" t="str">
        <f t="shared" si="2"/>
        <v>I Səviyyə</v>
      </c>
    </row>
    <row r="14" spans="1:21" ht="14.4">
      <c r="A14" s="30">
        <v>8</v>
      </c>
      <c r="B14" s="31" t="s">
        <v>178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8">
        <f t="shared" si="0"/>
        <v>0</v>
      </c>
      <c r="T14" s="39">
        <f t="shared" si="1"/>
        <v>0</v>
      </c>
      <c r="U14" s="30" t="str">
        <f t="shared" si="2"/>
        <v>I Səviyyə</v>
      </c>
    </row>
    <row r="15" spans="1:21" ht="14.4">
      <c r="A15" s="30">
        <v>9</v>
      </c>
      <c r="B15" s="31" t="s">
        <v>179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8">
        <f t="shared" si="0"/>
        <v>0</v>
      </c>
      <c r="T15" s="39">
        <f t="shared" si="1"/>
        <v>0</v>
      </c>
      <c r="U15" s="30" t="str">
        <f t="shared" si="2"/>
        <v>I Səviyyə</v>
      </c>
    </row>
    <row r="16" spans="1:21" ht="14.4">
      <c r="A16" s="30">
        <v>10</v>
      </c>
      <c r="B16" s="31" t="s">
        <v>180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8">
        <f t="shared" si="0"/>
        <v>0</v>
      </c>
      <c r="T16" s="39">
        <f t="shared" si="1"/>
        <v>0</v>
      </c>
      <c r="U16" s="30" t="str">
        <f t="shared" si="2"/>
        <v>I Səviyyə</v>
      </c>
    </row>
    <row r="17" spans="1:21" ht="14.4">
      <c r="A17" s="30">
        <v>11</v>
      </c>
      <c r="B17" s="31" t="s">
        <v>181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8">
        <f t="shared" si="0"/>
        <v>0</v>
      </c>
      <c r="T17" s="39">
        <f t="shared" si="1"/>
        <v>0</v>
      </c>
      <c r="U17" s="30" t="str">
        <f t="shared" si="2"/>
        <v>I Səviyyə</v>
      </c>
    </row>
    <row r="18" spans="1:21" ht="14.4">
      <c r="A18" s="30">
        <v>12</v>
      </c>
      <c r="B18" s="31" t="s">
        <v>182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8">
        <f t="shared" si="0"/>
        <v>0</v>
      </c>
      <c r="T18" s="39">
        <f t="shared" si="1"/>
        <v>0</v>
      </c>
      <c r="U18" s="30" t="str">
        <f t="shared" si="2"/>
        <v>I Səviyyə</v>
      </c>
    </row>
    <row r="19" spans="1:21" ht="14.4">
      <c r="A19" s="30">
        <v>13</v>
      </c>
      <c r="B19" s="31" t="s">
        <v>183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8">
        <f t="shared" si="0"/>
        <v>0</v>
      </c>
      <c r="T19" s="39">
        <f t="shared" si="1"/>
        <v>0</v>
      </c>
      <c r="U19" s="30" t="str">
        <f t="shared" si="2"/>
        <v>I Səviyyə</v>
      </c>
    </row>
    <row r="20" spans="1:21" ht="14.4">
      <c r="A20" s="30">
        <v>14</v>
      </c>
      <c r="B20" s="31" t="s">
        <v>184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8">
        <f t="shared" si="0"/>
        <v>0</v>
      </c>
      <c r="T20" s="39">
        <f t="shared" si="1"/>
        <v>0</v>
      </c>
      <c r="U20" s="30" t="str">
        <f t="shared" si="2"/>
        <v>I Səviyyə</v>
      </c>
    </row>
    <row r="21" spans="1:21" ht="15.75" customHeight="1">
      <c r="A21" s="30">
        <v>15</v>
      </c>
      <c r="B21" s="31" t="s">
        <v>185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8">
        <f t="shared" si="0"/>
        <v>0</v>
      </c>
      <c r="T21" s="39">
        <f t="shared" si="1"/>
        <v>0</v>
      </c>
      <c r="U21" s="30" t="str">
        <f t="shared" si="2"/>
        <v>I Səviyyə</v>
      </c>
    </row>
    <row r="22" spans="1:21" ht="15.75" customHeight="1">
      <c r="A22" s="30">
        <v>16</v>
      </c>
      <c r="B22" s="31" t="s">
        <v>186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8">
        <f t="shared" si="0"/>
        <v>0</v>
      </c>
      <c r="T22" s="39">
        <f t="shared" si="1"/>
        <v>0</v>
      </c>
      <c r="U22" s="30" t="str">
        <f t="shared" si="2"/>
        <v>I Səviyyə</v>
      </c>
    </row>
    <row r="23" spans="1:21" ht="15.75" customHeight="1">
      <c r="A23" s="30">
        <v>17</v>
      </c>
      <c r="B23" s="31" t="s">
        <v>187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8">
        <f t="shared" si="0"/>
        <v>0</v>
      </c>
      <c r="T23" s="39">
        <f t="shared" si="1"/>
        <v>0</v>
      </c>
      <c r="U23" s="30" t="str">
        <f t="shared" si="2"/>
        <v>I Səviyyə</v>
      </c>
    </row>
    <row r="24" spans="1:21" ht="15.75" customHeight="1">
      <c r="A24" s="30">
        <v>18</v>
      </c>
      <c r="B24" s="31" t="s">
        <v>188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8">
        <f t="shared" si="0"/>
        <v>0</v>
      </c>
      <c r="T24" s="39">
        <f t="shared" si="1"/>
        <v>0</v>
      </c>
      <c r="U24" s="30" t="str">
        <f t="shared" si="2"/>
        <v>I Səviyyə</v>
      </c>
    </row>
    <row r="25" spans="1:21" ht="15.75" customHeight="1">
      <c r="A25" s="30">
        <v>19</v>
      </c>
      <c r="B25" s="31" t="s">
        <v>189</v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8">
        <f t="shared" si="0"/>
        <v>0</v>
      </c>
      <c r="T25" s="39">
        <f t="shared" si="1"/>
        <v>0</v>
      </c>
      <c r="U25" s="30" t="str">
        <f t="shared" si="2"/>
        <v>I Səviyyə</v>
      </c>
    </row>
    <row r="26" spans="1:21" ht="15.75" customHeight="1">
      <c r="A26" s="30">
        <v>20</v>
      </c>
      <c r="B26" s="31" t="s">
        <v>190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8">
        <f t="shared" si="0"/>
        <v>0</v>
      </c>
      <c r="T26" s="39">
        <f t="shared" si="1"/>
        <v>0</v>
      </c>
      <c r="U26" s="30" t="str">
        <f t="shared" si="2"/>
        <v>I Səviyyə</v>
      </c>
    </row>
    <row r="27" spans="1:21" ht="15.75" customHeight="1">
      <c r="A27" s="65" t="s">
        <v>57</v>
      </c>
      <c r="B27" s="66"/>
      <c r="C27" s="40">
        <f t="shared" ref="C27:S27" si="3">SUM(C7:C26)</f>
        <v>0</v>
      </c>
      <c r="D27" s="40">
        <f t="shared" si="3"/>
        <v>0</v>
      </c>
      <c r="E27" s="40">
        <f t="shared" si="3"/>
        <v>0</v>
      </c>
      <c r="F27" s="40">
        <f t="shared" si="3"/>
        <v>0</v>
      </c>
      <c r="G27" s="40">
        <f t="shared" si="3"/>
        <v>0</v>
      </c>
      <c r="H27" s="40">
        <f t="shared" si="3"/>
        <v>0</v>
      </c>
      <c r="I27" s="40">
        <f t="shared" si="3"/>
        <v>0</v>
      </c>
      <c r="J27" s="40">
        <f t="shared" si="3"/>
        <v>0</v>
      </c>
      <c r="K27" s="40">
        <f t="shared" si="3"/>
        <v>0</v>
      </c>
      <c r="L27" s="40">
        <f t="shared" si="3"/>
        <v>0</v>
      </c>
      <c r="M27" s="40">
        <f t="shared" si="3"/>
        <v>0</v>
      </c>
      <c r="N27" s="40">
        <f t="shared" si="3"/>
        <v>0</v>
      </c>
      <c r="O27" s="40">
        <f t="shared" si="3"/>
        <v>0</v>
      </c>
      <c r="P27" s="40">
        <f t="shared" si="3"/>
        <v>0</v>
      </c>
      <c r="Q27" s="40">
        <f t="shared" si="3"/>
        <v>0</v>
      </c>
      <c r="R27" s="40">
        <f t="shared" si="3"/>
        <v>0</v>
      </c>
      <c r="S27" s="40">
        <f t="shared" si="3"/>
        <v>0</v>
      </c>
      <c r="T27" s="41">
        <f>AVERAGE(T7:T26)</f>
        <v>0</v>
      </c>
      <c r="U27" s="40" t="s">
        <v>58</v>
      </c>
    </row>
    <row r="28" spans="1:21" ht="15.75" customHeight="1">
      <c r="A28" s="65" t="s">
        <v>59</v>
      </c>
      <c r="B28" s="66"/>
      <c r="C28" s="41" t="e">
        <f t="shared" ref="C28:T28" si="4">AVERAGE(C7:C26)</f>
        <v>#DIV/0!</v>
      </c>
      <c r="D28" s="41" t="e">
        <f t="shared" si="4"/>
        <v>#DIV/0!</v>
      </c>
      <c r="E28" s="41" t="e">
        <f t="shared" si="4"/>
        <v>#DIV/0!</v>
      </c>
      <c r="F28" s="41" t="e">
        <f t="shared" si="4"/>
        <v>#DIV/0!</v>
      </c>
      <c r="G28" s="41" t="e">
        <f t="shared" si="4"/>
        <v>#DIV/0!</v>
      </c>
      <c r="H28" s="41" t="e">
        <f t="shared" si="4"/>
        <v>#DIV/0!</v>
      </c>
      <c r="I28" s="41" t="e">
        <f t="shared" si="4"/>
        <v>#DIV/0!</v>
      </c>
      <c r="J28" s="41" t="e">
        <f t="shared" si="4"/>
        <v>#DIV/0!</v>
      </c>
      <c r="K28" s="41" t="e">
        <f t="shared" si="4"/>
        <v>#DIV/0!</v>
      </c>
      <c r="L28" s="41" t="e">
        <f t="shared" si="4"/>
        <v>#DIV/0!</v>
      </c>
      <c r="M28" s="41" t="e">
        <f t="shared" si="4"/>
        <v>#DIV/0!</v>
      </c>
      <c r="N28" s="41" t="e">
        <f t="shared" si="4"/>
        <v>#DIV/0!</v>
      </c>
      <c r="O28" s="41" t="e">
        <f t="shared" si="4"/>
        <v>#DIV/0!</v>
      </c>
      <c r="P28" s="41" t="e">
        <f t="shared" si="4"/>
        <v>#DIV/0!</v>
      </c>
      <c r="Q28" s="41" t="e">
        <f t="shared" si="4"/>
        <v>#DIV/0!</v>
      </c>
      <c r="R28" s="41" t="e">
        <f t="shared" si="4"/>
        <v>#DIV/0!</v>
      </c>
      <c r="S28" s="40">
        <f t="shared" si="4"/>
        <v>0</v>
      </c>
      <c r="T28" s="41">
        <f t="shared" si="4"/>
        <v>0</v>
      </c>
      <c r="U28" s="40" t="str">
        <f>IF(T28&gt;=0.81, "Əla (IV)", IF(T28&gt;=0.61, "Yaxşı (III)", IF(T28&gt;=0.31, "Orta (II)", "Zəif (I)")))</f>
        <v>Zəif (I)</v>
      </c>
    </row>
    <row r="29" spans="1:21" ht="15.75" customHeight="1"/>
    <row r="30" spans="1:21" ht="15.75" customHeight="1">
      <c r="A30" s="68" t="s">
        <v>60</v>
      </c>
      <c r="B30" s="69"/>
      <c r="C30" s="69"/>
      <c r="D30" s="69"/>
      <c r="E30" s="69"/>
      <c r="F30" s="69"/>
      <c r="G30" s="69"/>
      <c r="H30" s="70"/>
    </row>
    <row r="31" spans="1:21" ht="31.2" customHeight="1">
      <c r="A31" s="4" t="s">
        <v>61</v>
      </c>
      <c r="B31" s="4" t="s">
        <v>62</v>
      </c>
      <c r="C31" s="4" t="s">
        <v>63</v>
      </c>
      <c r="D31" s="4" t="s">
        <v>64</v>
      </c>
      <c r="E31" s="4" t="s">
        <v>85</v>
      </c>
      <c r="F31" s="4" t="s">
        <v>66</v>
      </c>
      <c r="G31" s="4" t="s">
        <v>67</v>
      </c>
      <c r="H31" s="4" t="s">
        <v>68</v>
      </c>
    </row>
    <row r="32" spans="1:21" ht="22.2" customHeight="1">
      <c r="A32" s="10" t="s">
        <v>9</v>
      </c>
      <c r="B32" s="10" t="s">
        <v>86</v>
      </c>
      <c r="C32" s="10" t="s">
        <v>34</v>
      </c>
      <c r="D32" s="11" t="s">
        <v>87</v>
      </c>
      <c r="E32" s="10" t="s">
        <v>71</v>
      </c>
      <c r="F32" s="12">
        <f>C27</f>
        <v>0</v>
      </c>
      <c r="G32" s="13" t="e">
        <f>C28</f>
        <v>#DIV/0!</v>
      </c>
      <c r="H32" s="14" t="e">
        <f t="shared" ref="H32:H48" si="5">IF(G32&gt;=0.81, "Əla (IV)", IF(G32&gt;=0.61, "Yaxşı (III)", IF(G32&gt;=0.31, "Orta (II)", "Zəif (I)")))</f>
        <v>#DIV/0!</v>
      </c>
    </row>
    <row r="33" spans="1:8" ht="27.6">
      <c r="A33" s="10" t="s">
        <v>10</v>
      </c>
      <c r="B33" s="10" t="s">
        <v>86</v>
      </c>
      <c r="C33" s="10" t="s">
        <v>29</v>
      </c>
      <c r="D33" s="11" t="s">
        <v>101</v>
      </c>
      <c r="E33" s="10" t="s">
        <v>71</v>
      </c>
      <c r="F33" s="12">
        <f>D27</f>
        <v>0</v>
      </c>
      <c r="G33" s="13" t="e">
        <f>D28</f>
        <v>#DIV/0!</v>
      </c>
      <c r="H33" s="14" t="e">
        <f t="shared" si="5"/>
        <v>#DIV/0!</v>
      </c>
    </row>
    <row r="34" spans="1:8" ht="27.6">
      <c r="A34" s="10" t="s">
        <v>11</v>
      </c>
      <c r="B34" s="10" t="s">
        <v>86</v>
      </c>
      <c r="C34" s="10" t="s">
        <v>33</v>
      </c>
      <c r="D34" s="11" t="s">
        <v>107</v>
      </c>
      <c r="E34" s="10" t="s">
        <v>77</v>
      </c>
      <c r="F34" s="12">
        <f>E27</f>
        <v>0</v>
      </c>
      <c r="G34" s="13" t="e">
        <f>E28</f>
        <v>#DIV/0!</v>
      </c>
      <c r="H34" s="14" t="e">
        <f t="shared" si="5"/>
        <v>#DIV/0!</v>
      </c>
    </row>
    <row r="35" spans="1:8" ht="27.6">
      <c r="A35" s="10" t="s">
        <v>12</v>
      </c>
      <c r="B35" s="10" t="s">
        <v>86</v>
      </c>
      <c r="C35" s="10" t="s">
        <v>34</v>
      </c>
      <c r="D35" s="11" t="s">
        <v>110</v>
      </c>
      <c r="E35" s="10" t="s">
        <v>91</v>
      </c>
      <c r="F35" s="12">
        <f>F27</f>
        <v>0</v>
      </c>
      <c r="G35" s="13" t="e">
        <f>F28</f>
        <v>#DIV/0!</v>
      </c>
      <c r="H35" s="14" t="e">
        <f t="shared" si="5"/>
        <v>#DIV/0!</v>
      </c>
    </row>
    <row r="36" spans="1:8" ht="27.6">
      <c r="A36" s="10" t="s">
        <v>13</v>
      </c>
      <c r="B36" s="10" t="s">
        <v>86</v>
      </c>
      <c r="C36" s="10" t="s">
        <v>30</v>
      </c>
      <c r="D36" s="11" t="s">
        <v>113</v>
      </c>
      <c r="E36" s="10" t="s">
        <v>77</v>
      </c>
      <c r="F36" s="12">
        <f>G27</f>
        <v>0</v>
      </c>
      <c r="G36" s="13" t="e">
        <f>G28</f>
        <v>#DIV/0!</v>
      </c>
      <c r="H36" s="14" t="e">
        <f t="shared" si="5"/>
        <v>#DIV/0!</v>
      </c>
    </row>
    <row r="37" spans="1:8" ht="27.6">
      <c r="A37" s="10" t="s">
        <v>14</v>
      </c>
      <c r="B37" s="10" t="s">
        <v>86</v>
      </c>
      <c r="C37" s="10" t="s">
        <v>33</v>
      </c>
      <c r="D37" s="11" t="s">
        <v>118</v>
      </c>
      <c r="E37" s="10" t="s">
        <v>80</v>
      </c>
      <c r="F37" s="12">
        <f>H27</f>
        <v>0</v>
      </c>
      <c r="G37" s="13" t="e">
        <f>H28</f>
        <v>#DIV/0!</v>
      </c>
      <c r="H37" s="14" t="e">
        <f t="shared" si="5"/>
        <v>#DIV/0!</v>
      </c>
    </row>
    <row r="38" spans="1:8" ht="27.6">
      <c r="A38" s="10" t="s">
        <v>15</v>
      </c>
      <c r="B38" s="10" t="s">
        <v>86</v>
      </c>
      <c r="C38" s="10" t="s">
        <v>31</v>
      </c>
      <c r="D38" s="11" t="s">
        <v>122</v>
      </c>
      <c r="E38" s="10" t="s">
        <v>77</v>
      </c>
      <c r="F38" s="12">
        <f>I27</f>
        <v>0</v>
      </c>
      <c r="G38" s="13" t="e">
        <f>I28</f>
        <v>#DIV/0!</v>
      </c>
      <c r="H38" s="14" t="e">
        <f t="shared" si="5"/>
        <v>#DIV/0!</v>
      </c>
    </row>
    <row r="39" spans="1:8" ht="27.6">
      <c r="A39" s="10" t="s">
        <v>16</v>
      </c>
      <c r="B39" s="10" t="s">
        <v>86</v>
      </c>
      <c r="C39" s="10" t="s">
        <v>50</v>
      </c>
      <c r="D39" s="11" t="s">
        <v>125</v>
      </c>
      <c r="E39" s="10" t="s">
        <v>77</v>
      </c>
      <c r="F39" s="12">
        <f>J27</f>
        <v>0</v>
      </c>
      <c r="G39" s="13" t="e">
        <f>J28</f>
        <v>#DIV/0!</v>
      </c>
      <c r="H39" s="14" t="e">
        <f t="shared" si="5"/>
        <v>#DIV/0!</v>
      </c>
    </row>
    <row r="40" spans="1:8" ht="27.6">
      <c r="A40" s="10" t="s">
        <v>17</v>
      </c>
      <c r="B40" s="10" t="s">
        <v>128</v>
      </c>
      <c r="C40" s="10" t="s">
        <v>52</v>
      </c>
      <c r="D40" s="11" t="s">
        <v>129</v>
      </c>
      <c r="E40" s="10" t="s">
        <v>77</v>
      </c>
      <c r="F40" s="12">
        <f>K27</f>
        <v>0</v>
      </c>
      <c r="G40" s="13" t="e">
        <f>K28</f>
        <v>#DIV/0!</v>
      </c>
      <c r="H40" s="14" t="e">
        <f t="shared" si="5"/>
        <v>#DIV/0!</v>
      </c>
    </row>
    <row r="41" spans="1:8" ht="27.6">
      <c r="A41" s="10" t="s">
        <v>18</v>
      </c>
      <c r="B41" s="10" t="s">
        <v>86</v>
      </c>
      <c r="C41" s="10" t="s">
        <v>53</v>
      </c>
      <c r="D41" s="11" t="s">
        <v>132</v>
      </c>
      <c r="E41" s="10" t="s">
        <v>91</v>
      </c>
      <c r="F41" s="12">
        <f>L27</f>
        <v>0</v>
      </c>
      <c r="G41" s="13" t="e">
        <f>L28</f>
        <v>#DIV/0!</v>
      </c>
      <c r="H41" s="14" t="e">
        <f t="shared" si="5"/>
        <v>#DIV/0!</v>
      </c>
    </row>
    <row r="42" spans="1:8" ht="27.6">
      <c r="A42" s="10" t="s">
        <v>19</v>
      </c>
      <c r="B42" s="10" t="s">
        <v>128</v>
      </c>
      <c r="C42" s="10" t="s">
        <v>32</v>
      </c>
      <c r="D42" s="11" t="s">
        <v>134</v>
      </c>
      <c r="E42" s="10" t="s">
        <v>91</v>
      </c>
      <c r="F42" s="12">
        <f>M27</f>
        <v>0</v>
      </c>
      <c r="G42" s="13" t="e">
        <f>M28</f>
        <v>#DIV/0!</v>
      </c>
      <c r="H42" s="14" t="e">
        <f t="shared" si="5"/>
        <v>#DIV/0!</v>
      </c>
    </row>
    <row r="43" spans="1:8" ht="27.6">
      <c r="A43" s="10" t="s">
        <v>20</v>
      </c>
      <c r="B43" s="10" t="s">
        <v>86</v>
      </c>
      <c r="C43" s="10" t="s">
        <v>50</v>
      </c>
      <c r="D43" s="11" t="s">
        <v>138</v>
      </c>
      <c r="E43" s="10" t="s">
        <v>77</v>
      </c>
      <c r="F43" s="12">
        <f>N27</f>
        <v>0</v>
      </c>
      <c r="G43" s="13" t="e">
        <f>N28</f>
        <v>#DIV/0!</v>
      </c>
      <c r="H43" s="14" t="e">
        <f t="shared" si="5"/>
        <v>#DIV/0!</v>
      </c>
    </row>
    <row r="44" spans="1:8" ht="27.6">
      <c r="A44" s="10" t="s">
        <v>21</v>
      </c>
      <c r="B44" s="10" t="s">
        <v>86</v>
      </c>
      <c r="C44" s="10" t="s">
        <v>33</v>
      </c>
      <c r="D44" s="11" t="s">
        <v>140</v>
      </c>
      <c r="E44" s="10" t="s">
        <v>80</v>
      </c>
      <c r="F44" s="12">
        <f>O27</f>
        <v>0</v>
      </c>
      <c r="G44" s="13" t="e">
        <f>O28</f>
        <v>#DIV/0!</v>
      </c>
      <c r="H44" s="14" t="e">
        <f t="shared" si="5"/>
        <v>#DIV/0!</v>
      </c>
    </row>
    <row r="45" spans="1:8" ht="27.6">
      <c r="A45" s="10" t="s">
        <v>22</v>
      </c>
      <c r="B45" s="10" t="s">
        <v>143</v>
      </c>
      <c r="C45" s="10" t="s">
        <v>54</v>
      </c>
      <c r="D45" s="11" t="s">
        <v>144</v>
      </c>
      <c r="E45" s="10" t="s">
        <v>80</v>
      </c>
      <c r="F45" s="12">
        <f>P27</f>
        <v>0</v>
      </c>
      <c r="G45" s="13" t="e">
        <f>P28</f>
        <v>#DIV/0!</v>
      </c>
      <c r="H45" s="14" t="e">
        <f t="shared" si="5"/>
        <v>#DIV/0!</v>
      </c>
    </row>
    <row r="46" spans="1:8" ht="27.6">
      <c r="A46" s="10" t="s">
        <v>23</v>
      </c>
      <c r="B46" s="10" t="s">
        <v>143</v>
      </c>
      <c r="C46" s="10" t="s">
        <v>55</v>
      </c>
      <c r="D46" s="11" t="s">
        <v>145</v>
      </c>
      <c r="E46" s="10" t="s">
        <v>91</v>
      </c>
      <c r="F46" s="12">
        <f>Q27</f>
        <v>0</v>
      </c>
      <c r="G46" s="13" t="e">
        <f>Q28</f>
        <v>#DIV/0!</v>
      </c>
      <c r="H46" s="14" t="e">
        <f t="shared" si="5"/>
        <v>#DIV/0!</v>
      </c>
    </row>
    <row r="47" spans="1:8" ht="27.6">
      <c r="A47" s="10" t="s">
        <v>24</v>
      </c>
      <c r="B47" s="10" t="s">
        <v>143</v>
      </c>
      <c r="C47" s="10" t="s">
        <v>56</v>
      </c>
      <c r="D47" s="11" t="s">
        <v>146</v>
      </c>
      <c r="E47" s="10" t="s">
        <v>147</v>
      </c>
      <c r="F47" s="12">
        <f>R27</f>
        <v>0</v>
      </c>
      <c r="G47" s="13" t="e">
        <f>R28</f>
        <v>#DIV/0!</v>
      </c>
      <c r="H47" s="14" t="e">
        <f t="shared" si="5"/>
        <v>#DIV/0!</v>
      </c>
    </row>
    <row r="48" spans="1:8" ht="15.75" customHeight="1">
      <c r="A48" s="71" t="s">
        <v>103</v>
      </c>
      <c r="B48" s="69"/>
      <c r="C48" s="69"/>
      <c r="D48" s="69"/>
      <c r="E48" s="70"/>
      <c r="F48" s="15">
        <f>SUM(F32:F47)</f>
        <v>0</v>
      </c>
      <c r="G48" s="16" t="e">
        <f>AVERAGE(G32:G47)</f>
        <v>#DIV/0!</v>
      </c>
      <c r="H48" s="17" t="e">
        <f t="shared" si="5"/>
        <v>#DIV/0!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5">
    <mergeCell ref="A1:U2"/>
    <mergeCell ref="A27:B27"/>
    <mergeCell ref="A28:B28"/>
    <mergeCell ref="A30:H30"/>
    <mergeCell ref="A48:E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993"/>
  <sheetViews>
    <sheetView workbookViewId="0">
      <selection activeCell="C22" sqref="C22"/>
    </sheetView>
  </sheetViews>
  <sheetFormatPr defaultColWidth="14.44140625" defaultRowHeight="15" customHeight="1"/>
  <cols>
    <col min="1" max="1" width="8.77734375" customWidth="1"/>
    <col min="2" max="2" width="29.6640625" customWidth="1"/>
    <col min="3" max="3" width="53.77734375" customWidth="1"/>
    <col min="4" max="4" width="50.21875" customWidth="1"/>
    <col min="5" max="5" width="17.33203125" customWidth="1"/>
    <col min="6" max="7" width="10.88671875" customWidth="1"/>
    <col min="8" max="8" width="13.6640625" customWidth="1"/>
    <col min="9" max="17" width="9" customWidth="1"/>
    <col min="18" max="18" width="20.21875" customWidth="1"/>
    <col min="19" max="19" width="14" customWidth="1"/>
    <col min="20" max="20" width="12" customWidth="1"/>
    <col min="21" max="21" width="14" customWidth="1"/>
  </cols>
  <sheetData>
    <row r="1" spans="1:21" ht="14.4">
      <c r="A1" s="67" t="s">
        <v>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</row>
    <row r="2" spans="1:21" ht="14.4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</row>
    <row r="3" spans="1:21" ht="14.4">
      <c r="A3" s="2" t="s">
        <v>5</v>
      </c>
      <c r="D3" s="1" t="s">
        <v>6</v>
      </c>
    </row>
    <row r="4" spans="1:21" ht="14.4">
      <c r="C4" s="3"/>
    </row>
    <row r="5" spans="1:21" ht="14.4">
      <c r="A5" s="32" t="s">
        <v>7</v>
      </c>
      <c r="B5" s="32" t="s">
        <v>8</v>
      </c>
      <c r="C5" s="32" t="s">
        <v>9</v>
      </c>
      <c r="D5" s="32" t="s">
        <v>10</v>
      </c>
      <c r="E5" s="32" t="s">
        <v>11</v>
      </c>
      <c r="F5" s="32" t="s">
        <v>12</v>
      </c>
      <c r="G5" s="32" t="s">
        <v>13</v>
      </c>
      <c r="H5" s="32" t="s">
        <v>14</v>
      </c>
      <c r="I5" s="32" t="s">
        <v>15</v>
      </c>
      <c r="J5" s="32" t="s">
        <v>16</v>
      </c>
      <c r="K5" s="32" t="s">
        <v>17</v>
      </c>
      <c r="L5" s="32" t="s">
        <v>18</v>
      </c>
      <c r="M5" s="32" t="s">
        <v>19</v>
      </c>
      <c r="N5" s="32" t="s">
        <v>20</v>
      </c>
      <c r="O5" s="32" t="s">
        <v>21</v>
      </c>
      <c r="P5" s="32" t="s">
        <v>22</v>
      </c>
      <c r="Q5" s="32" t="s">
        <v>23</v>
      </c>
      <c r="R5" s="32" t="s">
        <v>24</v>
      </c>
      <c r="S5" s="32" t="s">
        <v>25</v>
      </c>
      <c r="T5" s="32" t="s">
        <v>26</v>
      </c>
      <c r="U5" s="32" t="s">
        <v>27</v>
      </c>
    </row>
    <row r="6" spans="1:21" ht="27.6">
      <c r="A6" s="33"/>
      <c r="B6" s="34" t="s">
        <v>28</v>
      </c>
      <c r="C6" s="50" t="s">
        <v>30</v>
      </c>
      <c r="D6" s="50" t="s">
        <v>33</v>
      </c>
      <c r="E6" s="50" t="s">
        <v>29</v>
      </c>
      <c r="F6" s="50" t="s">
        <v>29</v>
      </c>
      <c r="G6" s="50" t="s">
        <v>35</v>
      </c>
      <c r="H6" s="50" t="s">
        <v>35</v>
      </c>
      <c r="I6" s="50" t="s">
        <v>33</v>
      </c>
      <c r="J6" s="50" t="s">
        <v>39</v>
      </c>
      <c r="K6" s="50" t="s">
        <v>41</v>
      </c>
      <c r="L6" s="50" t="s">
        <v>41</v>
      </c>
      <c r="M6" s="50" t="s">
        <v>39</v>
      </c>
      <c r="N6" s="50" t="s">
        <v>44</v>
      </c>
      <c r="O6" s="50" t="s">
        <v>47</v>
      </c>
      <c r="P6" s="50" t="s">
        <v>48</v>
      </c>
      <c r="Q6" s="50" t="s">
        <v>49</v>
      </c>
      <c r="R6" s="50" t="s">
        <v>51</v>
      </c>
      <c r="S6" s="37" t="s">
        <v>42</v>
      </c>
      <c r="T6" s="37" t="s">
        <v>45</v>
      </c>
      <c r="U6" s="37" t="s">
        <v>46</v>
      </c>
    </row>
    <row r="7" spans="1:21" ht="14.4">
      <c r="A7" s="73">
        <v>1</v>
      </c>
      <c r="B7" s="52" t="s">
        <v>171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8">
        <f t="shared" ref="S7:S26" si="0">SUM(C7:R7)</f>
        <v>0</v>
      </c>
      <c r="T7" s="39">
        <f t="shared" ref="T7:T26" si="1">S7/16</f>
        <v>0</v>
      </c>
      <c r="U7" s="30" t="str">
        <f t="shared" ref="U7:U26" si="2">IF(T7&gt;=0.81, "IV Səviyyə", IF(T7&gt;=0.61, "III Səviyyə", IF(T7&gt;=0.31, "II Səviyyə", "I Səviyyə")))</f>
        <v>I Səviyyə</v>
      </c>
    </row>
    <row r="8" spans="1:21" ht="14.4">
      <c r="A8" s="73">
        <v>2</v>
      </c>
      <c r="B8" s="52" t="s">
        <v>172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8">
        <f t="shared" si="0"/>
        <v>0</v>
      </c>
      <c r="T8" s="39">
        <f t="shared" si="1"/>
        <v>0</v>
      </c>
      <c r="U8" s="30" t="str">
        <f t="shared" si="2"/>
        <v>I Səviyyə</v>
      </c>
    </row>
    <row r="9" spans="1:21" ht="14.4">
      <c r="A9" s="73">
        <v>3</v>
      </c>
      <c r="B9" s="52" t="s">
        <v>173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8">
        <f t="shared" si="0"/>
        <v>0</v>
      </c>
      <c r="T9" s="39">
        <f t="shared" si="1"/>
        <v>0</v>
      </c>
      <c r="U9" s="30" t="str">
        <f t="shared" si="2"/>
        <v>I Səviyyə</v>
      </c>
    </row>
    <row r="10" spans="1:21" ht="14.4">
      <c r="A10" s="73">
        <v>4</v>
      </c>
      <c r="B10" s="52" t="s">
        <v>174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8">
        <f t="shared" si="0"/>
        <v>0</v>
      </c>
      <c r="T10" s="39">
        <f t="shared" si="1"/>
        <v>0</v>
      </c>
      <c r="U10" s="30" t="str">
        <f t="shared" si="2"/>
        <v>I Səviyyə</v>
      </c>
    </row>
    <row r="11" spans="1:21" ht="14.4">
      <c r="A11" s="73">
        <v>5</v>
      </c>
      <c r="B11" s="52" t="s">
        <v>175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8">
        <f t="shared" si="0"/>
        <v>0</v>
      </c>
      <c r="T11" s="39">
        <f t="shared" si="1"/>
        <v>0</v>
      </c>
      <c r="U11" s="30" t="str">
        <f t="shared" si="2"/>
        <v>I Səviyyə</v>
      </c>
    </row>
    <row r="12" spans="1:21" ht="14.4">
      <c r="A12" s="73">
        <v>6</v>
      </c>
      <c r="B12" s="52" t="s">
        <v>176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8">
        <f t="shared" si="0"/>
        <v>0</v>
      </c>
      <c r="T12" s="39">
        <f t="shared" si="1"/>
        <v>0</v>
      </c>
      <c r="U12" s="30" t="str">
        <f t="shared" si="2"/>
        <v>I Səviyyə</v>
      </c>
    </row>
    <row r="13" spans="1:21" ht="14.4">
      <c r="A13" s="73">
        <v>7</v>
      </c>
      <c r="B13" s="52" t="s">
        <v>177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8">
        <f t="shared" si="0"/>
        <v>0</v>
      </c>
      <c r="T13" s="39">
        <f t="shared" si="1"/>
        <v>0</v>
      </c>
      <c r="U13" s="30" t="str">
        <f t="shared" si="2"/>
        <v>I Səviyyə</v>
      </c>
    </row>
    <row r="14" spans="1:21" ht="14.4">
      <c r="A14" s="73">
        <v>8</v>
      </c>
      <c r="B14" s="52" t="s">
        <v>178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8">
        <f t="shared" si="0"/>
        <v>0</v>
      </c>
      <c r="T14" s="39">
        <f t="shared" si="1"/>
        <v>0</v>
      </c>
      <c r="U14" s="30" t="str">
        <f t="shared" si="2"/>
        <v>I Səviyyə</v>
      </c>
    </row>
    <row r="15" spans="1:21" ht="14.4">
      <c r="A15" s="73">
        <v>9</v>
      </c>
      <c r="B15" s="52" t="s">
        <v>179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8">
        <f t="shared" si="0"/>
        <v>0</v>
      </c>
      <c r="T15" s="39">
        <f t="shared" si="1"/>
        <v>0</v>
      </c>
      <c r="U15" s="30" t="str">
        <f t="shared" si="2"/>
        <v>I Səviyyə</v>
      </c>
    </row>
    <row r="16" spans="1:21" ht="14.4">
      <c r="A16" s="73">
        <v>10</v>
      </c>
      <c r="B16" s="52" t="s">
        <v>180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8">
        <f t="shared" si="0"/>
        <v>0</v>
      </c>
      <c r="T16" s="39">
        <f t="shared" si="1"/>
        <v>0</v>
      </c>
      <c r="U16" s="30" t="str">
        <f t="shared" si="2"/>
        <v>I Səviyyə</v>
      </c>
    </row>
    <row r="17" spans="1:21" ht="14.4">
      <c r="A17" s="73">
        <v>11</v>
      </c>
      <c r="B17" s="52" t="s">
        <v>181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8">
        <f t="shared" si="0"/>
        <v>0</v>
      </c>
      <c r="T17" s="39">
        <f t="shared" si="1"/>
        <v>0</v>
      </c>
      <c r="U17" s="30" t="str">
        <f t="shared" si="2"/>
        <v>I Səviyyə</v>
      </c>
    </row>
    <row r="18" spans="1:21" ht="14.4">
      <c r="A18" s="73">
        <v>12</v>
      </c>
      <c r="B18" s="52" t="s">
        <v>182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8">
        <f t="shared" si="0"/>
        <v>0</v>
      </c>
      <c r="T18" s="39">
        <f t="shared" si="1"/>
        <v>0</v>
      </c>
      <c r="U18" s="30" t="str">
        <f t="shared" si="2"/>
        <v>I Səviyyə</v>
      </c>
    </row>
    <row r="19" spans="1:21" ht="14.4">
      <c r="A19" s="73">
        <v>13</v>
      </c>
      <c r="B19" s="52" t="s">
        <v>183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8">
        <f t="shared" si="0"/>
        <v>0</v>
      </c>
      <c r="T19" s="39">
        <f t="shared" si="1"/>
        <v>0</v>
      </c>
      <c r="U19" s="30" t="str">
        <f t="shared" si="2"/>
        <v>I Səviyyə</v>
      </c>
    </row>
    <row r="20" spans="1:21" ht="14.4">
      <c r="A20" s="73">
        <v>14</v>
      </c>
      <c r="B20" s="52" t="s">
        <v>184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8">
        <f t="shared" si="0"/>
        <v>0</v>
      </c>
      <c r="T20" s="39">
        <f t="shared" si="1"/>
        <v>0</v>
      </c>
      <c r="U20" s="30" t="str">
        <f t="shared" si="2"/>
        <v>I Səviyyə</v>
      </c>
    </row>
    <row r="21" spans="1:21" ht="15.75" customHeight="1">
      <c r="A21" s="73">
        <v>15</v>
      </c>
      <c r="B21" s="52" t="s">
        <v>185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8">
        <f t="shared" si="0"/>
        <v>0</v>
      </c>
      <c r="T21" s="39">
        <f t="shared" si="1"/>
        <v>0</v>
      </c>
      <c r="U21" s="30" t="str">
        <f t="shared" si="2"/>
        <v>I Səviyyə</v>
      </c>
    </row>
    <row r="22" spans="1:21" ht="15.75" customHeight="1">
      <c r="A22" s="73">
        <v>16</v>
      </c>
      <c r="B22" s="52" t="s">
        <v>197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8">
        <f t="shared" si="0"/>
        <v>0</v>
      </c>
      <c r="T22" s="39">
        <f t="shared" si="1"/>
        <v>0</v>
      </c>
      <c r="U22" s="30" t="str">
        <f t="shared" si="2"/>
        <v>I Səviyyə</v>
      </c>
    </row>
    <row r="23" spans="1:21" ht="15.75" customHeight="1">
      <c r="A23" s="73">
        <v>17</v>
      </c>
      <c r="B23" s="52" t="s">
        <v>187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8">
        <f t="shared" si="0"/>
        <v>0</v>
      </c>
      <c r="T23" s="39">
        <f t="shared" si="1"/>
        <v>0</v>
      </c>
      <c r="U23" s="30" t="str">
        <f t="shared" si="2"/>
        <v>I Səviyyə</v>
      </c>
    </row>
    <row r="24" spans="1:21" ht="15.75" customHeight="1">
      <c r="A24" s="73">
        <v>18</v>
      </c>
      <c r="B24" s="52" t="s">
        <v>188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8">
        <f t="shared" si="0"/>
        <v>0</v>
      </c>
      <c r="T24" s="39">
        <f t="shared" si="1"/>
        <v>0</v>
      </c>
      <c r="U24" s="30" t="str">
        <f t="shared" si="2"/>
        <v>I Səviyyə</v>
      </c>
    </row>
    <row r="25" spans="1:21" ht="15.75" customHeight="1">
      <c r="A25" s="73">
        <v>19</v>
      </c>
      <c r="B25" s="52" t="s">
        <v>189</v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8">
        <f t="shared" si="0"/>
        <v>0</v>
      </c>
      <c r="T25" s="39">
        <f t="shared" si="1"/>
        <v>0</v>
      </c>
      <c r="U25" s="30" t="str">
        <f t="shared" si="2"/>
        <v>I Səviyyə</v>
      </c>
    </row>
    <row r="26" spans="1:21" ht="15.75" customHeight="1">
      <c r="A26" s="73">
        <v>20</v>
      </c>
      <c r="B26" s="52" t="s">
        <v>190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8">
        <f t="shared" si="0"/>
        <v>0</v>
      </c>
      <c r="T26" s="39">
        <f t="shared" si="1"/>
        <v>0</v>
      </c>
      <c r="U26" s="30" t="str">
        <f t="shared" si="2"/>
        <v>I Səviyyə</v>
      </c>
    </row>
    <row r="27" spans="1:21" ht="15.75" customHeight="1">
      <c r="A27" s="65" t="s">
        <v>57</v>
      </c>
      <c r="B27" s="66"/>
      <c r="C27" s="40">
        <f t="shared" ref="C27:S27" si="3">SUM(C7:C26)</f>
        <v>0</v>
      </c>
      <c r="D27" s="40">
        <f t="shared" si="3"/>
        <v>0</v>
      </c>
      <c r="E27" s="40">
        <f t="shared" si="3"/>
        <v>0</v>
      </c>
      <c r="F27" s="40">
        <f t="shared" si="3"/>
        <v>0</v>
      </c>
      <c r="G27" s="40">
        <f t="shared" si="3"/>
        <v>0</v>
      </c>
      <c r="H27" s="40">
        <f t="shared" si="3"/>
        <v>0</v>
      </c>
      <c r="I27" s="40">
        <f t="shared" si="3"/>
        <v>0</v>
      </c>
      <c r="J27" s="40">
        <f t="shared" si="3"/>
        <v>0</v>
      </c>
      <c r="K27" s="40">
        <f t="shared" si="3"/>
        <v>0</v>
      </c>
      <c r="L27" s="40">
        <f t="shared" si="3"/>
        <v>0</v>
      </c>
      <c r="M27" s="40">
        <f t="shared" si="3"/>
        <v>0</v>
      </c>
      <c r="N27" s="40">
        <f t="shared" si="3"/>
        <v>0</v>
      </c>
      <c r="O27" s="40">
        <f t="shared" si="3"/>
        <v>0</v>
      </c>
      <c r="P27" s="40">
        <f t="shared" si="3"/>
        <v>0</v>
      </c>
      <c r="Q27" s="40">
        <f t="shared" si="3"/>
        <v>0</v>
      </c>
      <c r="R27" s="40">
        <f t="shared" si="3"/>
        <v>0</v>
      </c>
      <c r="S27" s="40">
        <f t="shared" si="3"/>
        <v>0</v>
      </c>
      <c r="T27" s="41">
        <f>AVERAGE(T7:T26)</f>
        <v>0</v>
      </c>
      <c r="U27" s="40" t="s">
        <v>58</v>
      </c>
    </row>
    <row r="28" spans="1:21" ht="15.75" customHeight="1">
      <c r="A28" s="65" t="s">
        <v>59</v>
      </c>
      <c r="B28" s="66"/>
      <c r="C28" s="41" t="e">
        <f t="shared" ref="C28:T28" si="4">AVERAGE(C7:C26)</f>
        <v>#DIV/0!</v>
      </c>
      <c r="D28" s="41" t="e">
        <f t="shared" si="4"/>
        <v>#DIV/0!</v>
      </c>
      <c r="E28" s="41" t="e">
        <f t="shared" si="4"/>
        <v>#DIV/0!</v>
      </c>
      <c r="F28" s="41" t="e">
        <f t="shared" si="4"/>
        <v>#DIV/0!</v>
      </c>
      <c r="G28" s="41" t="e">
        <f t="shared" si="4"/>
        <v>#DIV/0!</v>
      </c>
      <c r="H28" s="41" t="e">
        <f t="shared" si="4"/>
        <v>#DIV/0!</v>
      </c>
      <c r="I28" s="41" t="e">
        <f t="shared" si="4"/>
        <v>#DIV/0!</v>
      </c>
      <c r="J28" s="41" t="e">
        <f t="shared" si="4"/>
        <v>#DIV/0!</v>
      </c>
      <c r="K28" s="41" t="e">
        <f t="shared" si="4"/>
        <v>#DIV/0!</v>
      </c>
      <c r="L28" s="41" t="e">
        <f t="shared" si="4"/>
        <v>#DIV/0!</v>
      </c>
      <c r="M28" s="41" t="e">
        <f t="shared" si="4"/>
        <v>#DIV/0!</v>
      </c>
      <c r="N28" s="41" t="e">
        <f t="shared" si="4"/>
        <v>#DIV/0!</v>
      </c>
      <c r="O28" s="41" t="e">
        <f t="shared" si="4"/>
        <v>#DIV/0!</v>
      </c>
      <c r="P28" s="41" t="e">
        <f t="shared" si="4"/>
        <v>#DIV/0!</v>
      </c>
      <c r="Q28" s="41" t="e">
        <f t="shared" si="4"/>
        <v>#DIV/0!</v>
      </c>
      <c r="R28" s="41" t="e">
        <f t="shared" si="4"/>
        <v>#DIV/0!</v>
      </c>
      <c r="S28" s="40">
        <f t="shared" si="4"/>
        <v>0</v>
      </c>
      <c r="T28" s="41">
        <f t="shared" si="4"/>
        <v>0</v>
      </c>
      <c r="U28" s="40" t="str">
        <f>IF(T28&gt;=0.81, "Əla (IV)", IF(T28&gt;=0.61, "Yaxşı (III)", IF(T28&gt;=0.31, "Orta (II)", "Zəif (I)")))</f>
        <v>Zəif (I)</v>
      </c>
    </row>
    <row r="29" spans="1:21" ht="15.75" customHeight="1"/>
    <row r="30" spans="1:21" ht="15.75" customHeight="1">
      <c r="A30" s="72" t="s">
        <v>60</v>
      </c>
      <c r="B30" s="69"/>
      <c r="C30" s="69"/>
      <c r="D30" s="69"/>
      <c r="E30" s="69"/>
      <c r="F30" s="69"/>
      <c r="G30" s="69"/>
      <c r="H30" s="70"/>
    </row>
    <row r="31" spans="1:21" ht="15.75" customHeight="1">
      <c r="A31" s="4" t="s">
        <v>61</v>
      </c>
      <c r="B31" s="4" t="s">
        <v>62</v>
      </c>
      <c r="C31" s="4" t="s">
        <v>63</v>
      </c>
      <c r="D31" s="4" t="s">
        <v>64</v>
      </c>
      <c r="E31" s="4" t="s">
        <v>65</v>
      </c>
      <c r="F31" s="4" t="s">
        <v>66</v>
      </c>
      <c r="G31" s="4" t="s">
        <v>67</v>
      </c>
      <c r="H31" s="4" t="s">
        <v>68</v>
      </c>
    </row>
    <row r="32" spans="1:21" ht="27.6">
      <c r="A32" s="5" t="s">
        <v>9</v>
      </c>
      <c r="B32" s="5" t="s">
        <v>75</v>
      </c>
      <c r="C32" s="5" t="s">
        <v>30</v>
      </c>
      <c r="D32" s="6" t="s">
        <v>76</v>
      </c>
      <c r="E32" s="5" t="s">
        <v>77</v>
      </c>
      <c r="F32" s="7">
        <f>C27</f>
        <v>0</v>
      </c>
      <c r="G32" s="8" t="e">
        <f>C28</f>
        <v>#DIV/0!</v>
      </c>
      <c r="H32" s="9" t="e">
        <f t="shared" ref="H32:H48" si="5">IF(G32&gt;=0.81, "Əla (IV)", IF(G32&gt;=0.61, "Yaxşı (III)", IF(G32&gt;=0.31, "Orta (II)", "Zəif (I)")))</f>
        <v>#DIV/0!</v>
      </c>
    </row>
    <row r="33" spans="1:8" ht="27.6">
      <c r="A33" s="5" t="s">
        <v>10</v>
      </c>
      <c r="B33" s="5" t="s">
        <v>75</v>
      </c>
      <c r="C33" s="5" t="s">
        <v>33</v>
      </c>
      <c r="D33" s="6" t="s">
        <v>83</v>
      </c>
      <c r="E33" s="5" t="s">
        <v>71</v>
      </c>
      <c r="F33" s="7">
        <f>D27</f>
        <v>0</v>
      </c>
      <c r="G33" s="8" t="e">
        <f>D28</f>
        <v>#DIV/0!</v>
      </c>
      <c r="H33" s="9" t="e">
        <f t="shared" si="5"/>
        <v>#DIV/0!</v>
      </c>
    </row>
    <row r="34" spans="1:8" ht="27.6">
      <c r="A34" s="5" t="s">
        <v>11</v>
      </c>
      <c r="B34" s="5" t="s">
        <v>75</v>
      </c>
      <c r="C34" s="5" t="s">
        <v>29</v>
      </c>
      <c r="D34" s="6" t="s">
        <v>88</v>
      </c>
      <c r="E34" s="5" t="s">
        <v>71</v>
      </c>
      <c r="F34" s="7">
        <f>E27</f>
        <v>0</v>
      </c>
      <c r="G34" s="8" t="e">
        <f>E28</f>
        <v>#DIV/0!</v>
      </c>
      <c r="H34" s="9" t="e">
        <f t="shared" si="5"/>
        <v>#DIV/0!</v>
      </c>
    </row>
    <row r="35" spans="1:8" ht="27.6">
      <c r="A35" s="5" t="s">
        <v>12</v>
      </c>
      <c r="B35" s="5" t="s">
        <v>75</v>
      </c>
      <c r="C35" s="5" t="s">
        <v>29</v>
      </c>
      <c r="D35" s="6" t="s">
        <v>92</v>
      </c>
      <c r="E35" s="5" t="s">
        <v>77</v>
      </c>
      <c r="F35" s="7">
        <f>F27</f>
        <v>0</v>
      </c>
      <c r="G35" s="8" t="e">
        <f>F28</f>
        <v>#DIV/0!</v>
      </c>
      <c r="H35" s="9" t="e">
        <f t="shared" si="5"/>
        <v>#DIV/0!</v>
      </c>
    </row>
    <row r="36" spans="1:8" ht="27.6">
      <c r="A36" s="5" t="s">
        <v>13</v>
      </c>
      <c r="B36" s="5" t="s">
        <v>95</v>
      </c>
      <c r="C36" s="5" t="s">
        <v>35</v>
      </c>
      <c r="D36" s="6" t="s">
        <v>96</v>
      </c>
      <c r="E36" s="5" t="s">
        <v>77</v>
      </c>
      <c r="F36" s="7">
        <f>G27</f>
        <v>0</v>
      </c>
      <c r="G36" s="8" t="e">
        <f>G28</f>
        <v>#DIV/0!</v>
      </c>
      <c r="H36" s="9" t="e">
        <f t="shared" si="5"/>
        <v>#DIV/0!</v>
      </c>
    </row>
    <row r="37" spans="1:8" ht="27.6">
      <c r="A37" s="5" t="s">
        <v>14</v>
      </c>
      <c r="B37" s="5" t="s">
        <v>95</v>
      </c>
      <c r="C37" s="5" t="s">
        <v>35</v>
      </c>
      <c r="D37" s="6" t="s">
        <v>100</v>
      </c>
      <c r="E37" s="5" t="s">
        <v>71</v>
      </c>
      <c r="F37" s="7">
        <f>H27</f>
        <v>0</v>
      </c>
      <c r="G37" s="8" t="e">
        <f>H28</f>
        <v>#DIV/0!</v>
      </c>
      <c r="H37" s="9" t="e">
        <f t="shared" si="5"/>
        <v>#DIV/0!</v>
      </c>
    </row>
    <row r="38" spans="1:8" ht="27.6">
      <c r="A38" s="5" t="s">
        <v>15</v>
      </c>
      <c r="B38" s="5" t="s">
        <v>75</v>
      </c>
      <c r="C38" s="5" t="s">
        <v>33</v>
      </c>
      <c r="D38" s="6" t="s">
        <v>104</v>
      </c>
      <c r="E38" s="5" t="s">
        <v>71</v>
      </c>
      <c r="F38" s="7">
        <f>I27</f>
        <v>0</v>
      </c>
      <c r="G38" s="8" t="e">
        <f>I28</f>
        <v>#DIV/0!</v>
      </c>
      <c r="H38" s="9" t="e">
        <f t="shared" si="5"/>
        <v>#DIV/0!</v>
      </c>
    </row>
    <row r="39" spans="1:8" ht="27.6">
      <c r="A39" s="5" t="s">
        <v>16</v>
      </c>
      <c r="B39" s="5" t="s">
        <v>105</v>
      </c>
      <c r="C39" s="5" t="s">
        <v>39</v>
      </c>
      <c r="D39" s="6" t="s">
        <v>106</v>
      </c>
      <c r="E39" s="5" t="s">
        <v>71</v>
      </c>
      <c r="F39" s="7">
        <f>J27</f>
        <v>0</v>
      </c>
      <c r="G39" s="8" t="e">
        <f>J28</f>
        <v>#DIV/0!</v>
      </c>
      <c r="H39" s="9" t="e">
        <f t="shared" si="5"/>
        <v>#DIV/0!</v>
      </c>
    </row>
    <row r="40" spans="1:8" ht="27.6">
      <c r="A40" s="5" t="s">
        <v>17</v>
      </c>
      <c r="B40" s="5" t="s">
        <v>105</v>
      </c>
      <c r="C40" s="5" t="s">
        <v>41</v>
      </c>
      <c r="D40" s="6" t="s">
        <v>108</v>
      </c>
      <c r="E40" s="5" t="s">
        <v>71</v>
      </c>
      <c r="F40" s="7">
        <f>K27</f>
        <v>0</v>
      </c>
      <c r="G40" s="8" t="e">
        <f>K28</f>
        <v>#DIV/0!</v>
      </c>
      <c r="H40" s="9" t="e">
        <f t="shared" si="5"/>
        <v>#DIV/0!</v>
      </c>
    </row>
    <row r="41" spans="1:8" ht="14.4">
      <c r="A41" s="5" t="s">
        <v>18</v>
      </c>
      <c r="B41" s="5" t="s">
        <v>105</v>
      </c>
      <c r="C41" s="5" t="s">
        <v>41</v>
      </c>
      <c r="D41" s="6" t="s">
        <v>111</v>
      </c>
      <c r="E41" s="5" t="s">
        <v>71</v>
      </c>
      <c r="F41" s="7">
        <f>L27</f>
        <v>0</v>
      </c>
      <c r="G41" s="8" t="e">
        <f>L28</f>
        <v>#DIV/0!</v>
      </c>
      <c r="H41" s="9" t="e">
        <f t="shared" si="5"/>
        <v>#DIV/0!</v>
      </c>
    </row>
    <row r="42" spans="1:8" ht="27.6">
      <c r="A42" s="5" t="s">
        <v>19</v>
      </c>
      <c r="B42" s="5" t="s">
        <v>105</v>
      </c>
      <c r="C42" s="5" t="s">
        <v>39</v>
      </c>
      <c r="D42" s="6" t="s">
        <v>112</v>
      </c>
      <c r="E42" s="5" t="s">
        <v>77</v>
      </c>
      <c r="F42" s="7">
        <f>M27</f>
        <v>0</v>
      </c>
      <c r="G42" s="8" t="e">
        <f>M28</f>
        <v>#DIV/0!</v>
      </c>
      <c r="H42" s="9" t="e">
        <f t="shared" si="5"/>
        <v>#DIV/0!</v>
      </c>
    </row>
    <row r="43" spans="1:8" ht="14.4">
      <c r="A43" s="5" t="s">
        <v>20</v>
      </c>
      <c r="B43" s="5" t="s">
        <v>105</v>
      </c>
      <c r="C43" s="5" t="s">
        <v>44</v>
      </c>
      <c r="D43" s="6" t="s">
        <v>115</v>
      </c>
      <c r="E43" s="5" t="s">
        <v>71</v>
      </c>
      <c r="F43" s="7">
        <f>N27</f>
        <v>0</v>
      </c>
      <c r="G43" s="8" t="e">
        <f>N28</f>
        <v>#DIV/0!</v>
      </c>
      <c r="H43" s="9" t="e">
        <f t="shared" si="5"/>
        <v>#DIV/0!</v>
      </c>
    </row>
    <row r="44" spans="1:8" ht="14.4">
      <c r="A44" s="5" t="s">
        <v>21</v>
      </c>
      <c r="B44" s="5" t="s">
        <v>105</v>
      </c>
      <c r="C44" s="5" t="s">
        <v>47</v>
      </c>
      <c r="D44" s="6" t="s">
        <v>119</v>
      </c>
      <c r="E44" s="5" t="s">
        <v>80</v>
      </c>
      <c r="F44" s="7">
        <f>O27</f>
        <v>0</v>
      </c>
      <c r="G44" s="8" t="e">
        <f>O28</f>
        <v>#DIV/0!</v>
      </c>
      <c r="H44" s="9" t="e">
        <f t="shared" si="5"/>
        <v>#DIV/0!</v>
      </c>
    </row>
    <row r="45" spans="1:8" ht="27.6">
      <c r="A45" s="5" t="s">
        <v>22</v>
      </c>
      <c r="B45" s="5" t="s">
        <v>105</v>
      </c>
      <c r="C45" s="5" t="s">
        <v>48</v>
      </c>
      <c r="D45" s="6" t="s">
        <v>121</v>
      </c>
      <c r="E45" s="5" t="s">
        <v>91</v>
      </c>
      <c r="F45" s="7">
        <f>P27</f>
        <v>0</v>
      </c>
      <c r="G45" s="8" t="e">
        <f>P28</f>
        <v>#DIV/0!</v>
      </c>
      <c r="H45" s="9" t="e">
        <f t="shared" si="5"/>
        <v>#DIV/0!</v>
      </c>
    </row>
    <row r="46" spans="1:8" ht="27.6">
      <c r="A46" s="5" t="s">
        <v>23</v>
      </c>
      <c r="B46" s="5" t="s">
        <v>105</v>
      </c>
      <c r="C46" s="5" t="s">
        <v>49</v>
      </c>
      <c r="D46" s="6" t="s">
        <v>124</v>
      </c>
      <c r="E46" s="5" t="s">
        <v>80</v>
      </c>
      <c r="F46" s="7">
        <f>Q27</f>
        <v>0</v>
      </c>
      <c r="G46" s="8" t="e">
        <f>Q28</f>
        <v>#DIV/0!</v>
      </c>
      <c r="H46" s="9" t="e">
        <f t="shared" si="5"/>
        <v>#DIV/0!</v>
      </c>
    </row>
    <row r="47" spans="1:8" ht="41.4">
      <c r="A47" s="5" t="s">
        <v>24</v>
      </c>
      <c r="B47" s="5" t="s">
        <v>105</v>
      </c>
      <c r="C47" s="5" t="s">
        <v>51</v>
      </c>
      <c r="D47" s="6" t="s">
        <v>127</v>
      </c>
      <c r="E47" s="5" t="s">
        <v>80</v>
      </c>
      <c r="F47" s="7">
        <f>R27</f>
        <v>0</v>
      </c>
      <c r="G47" s="8" t="e">
        <f>R28</f>
        <v>#DIV/0!</v>
      </c>
      <c r="H47" s="9" t="e">
        <f t="shared" si="5"/>
        <v>#DIV/0!</v>
      </c>
    </row>
    <row r="48" spans="1:8" ht="15.75" customHeight="1">
      <c r="A48" s="71" t="s">
        <v>103</v>
      </c>
      <c r="B48" s="69"/>
      <c r="C48" s="69"/>
      <c r="D48" s="69"/>
      <c r="E48" s="70"/>
      <c r="F48" s="15">
        <f>SUM(F32:F47)</f>
        <v>0</v>
      </c>
      <c r="G48" s="16" t="e">
        <f>AVERAGE(G32:G47)</f>
        <v>#DIV/0!</v>
      </c>
      <c r="H48" s="17" t="e">
        <f t="shared" si="5"/>
        <v>#DIV/0!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5">
    <mergeCell ref="A1:U2"/>
    <mergeCell ref="A27:B27"/>
    <mergeCell ref="A28:B28"/>
    <mergeCell ref="A30:H30"/>
    <mergeCell ref="A48:E4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993"/>
  <sheetViews>
    <sheetView topLeftCell="H10" workbookViewId="0">
      <selection activeCell="R7" sqref="R7"/>
    </sheetView>
  </sheetViews>
  <sheetFormatPr defaultColWidth="14.44140625" defaultRowHeight="15" customHeight="1"/>
  <cols>
    <col min="1" max="1" width="14.44140625" customWidth="1"/>
    <col min="2" max="2" width="31.21875" customWidth="1"/>
    <col min="3" max="3" width="56.33203125" customWidth="1"/>
    <col min="4" max="4" width="49" customWidth="1"/>
    <col min="5" max="6" width="14.44140625" customWidth="1"/>
  </cols>
  <sheetData>
    <row r="1" spans="1:21" ht="14.4">
      <c r="A1" s="67" t="s">
        <v>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</row>
    <row r="2" spans="1:21" ht="14.4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</row>
    <row r="3" spans="1:21" ht="14.4">
      <c r="A3" s="2" t="s">
        <v>4</v>
      </c>
      <c r="D3" s="1" t="s">
        <v>6</v>
      </c>
    </row>
    <row r="4" spans="1:21" ht="14.4">
      <c r="C4" s="3"/>
    </row>
    <row r="5" spans="1:21" ht="14.4">
      <c r="A5" s="32" t="s">
        <v>7</v>
      </c>
      <c r="B5" s="32" t="s">
        <v>8</v>
      </c>
      <c r="C5" s="32" t="s">
        <v>9</v>
      </c>
      <c r="D5" s="32" t="s">
        <v>10</v>
      </c>
      <c r="E5" s="32" t="s">
        <v>11</v>
      </c>
      <c r="F5" s="32" t="s">
        <v>12</v>
      </c>
      <c r="G5" s="32" t="s">
        <v>13</v>
      </c>
      <c r="H5" s="32" t="s">
        <v>14</v>
      </c>
      <c r="I5" s="32" t="s">
        <v>15</v>
      </c>
      <c r="J5" s="32" t="s">
        <v>16</v>
      </c>
      <c r="K5" s="32" t="s">
        <v>17</v>
      </c>
      <c r="L5" s="32" t="s">
        <v>18</v>
      </c>
      <c r="M5" s="32" t="s">
        <v>19</v>
      </c>
      <c r="N5" s="32" t="s">
        <v>20</v>
      </c>
      <c r="O5" s="32" t="s">
        <v>21</v>
      </c>
      <c r="P5" s="32" t="s">
        <v>22</v>
      </c>
      <c r="Q5" s="32" t="s">
        <v>23</v>
      </c>
      <c r="R5" s="32" t="s">
        <v>24</v>
      </c>
      <c r="S5" s="32" t="s">
        <v>25</v>
      </c>
      <c r="T5" s="32" t="s">
        <v>26</v>
      </c>
      <c r="U5" s="32" t="s">
        <v>27</v>
      </c>
    </row>
    <row r="6" spans="1:21" ht="14.4">
      <c r="A6" s="33"/>
      <c r="B6" s="34" t="s">
        <v>28</v>
      </c>
      <c r="C6" s="35" t="s">
        <v>29</v>
      </c>
      <c r="D6" s="35" t="s">
        <v>29</v>
      </c>
      <c r="E6" s="35" t="s">
        <v>29</v>
      </c>
      <c r="F6" s="35" t="s">
        <v>31</v>
      </c>
      <c r="G6" s="35" t="s">
        <v>30</v>
      </c>
      <c r="H6" s="35" t="s">
        <v>31</v>
      </c>
      <c r="I6" s="35" t="s">
        <v>31</v>
      </c>
      <c r="J6" s="35" t="s">
        <v>32</v>
      </c>
      <c r="K6" s="35" t="s">
        <v>32</v>
      </c>
      <c r="L6" s="35" t="s">
        <v>34</v>
      </c>
      <c r="M6" s="35" t="s">
        <v>32</v>
      </c>
      <c r="N6" s="35" t="s">
        <v>32</v>
      </c>
      <c r="O6" s="35" t="s">
        <v>35</v>
      </c>
      <c r="P6" s="35" t="s">
        <v>36</v>
      </c>
      <c r="Q6" s="35" t="s">
        <v>37</v>
      </c>
      <c r="R6" s="35" t="s">
        <v>32</v>
      </c>
      <c r="S6" s="37" t="s">
        <v>42</v>
      </c>
      <c r="T6" s="37" t="s">
        <v>45</v>
      </c>
      <c r="U6" s="37" t="s">
        <v>46</v>
      </c>
    </row>
    <row r="7" spans="1:21" ht="14.4">
      <c r="A7" s="30">
        <v>1</v>
      </c>
      <c r="B7" s="31" t="s">
        <v>171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8">
        <f t="shared" ref="S7:S26" si="0">SUM(C7:R7)</f>
        <v>0</v>
      </c>
      <c r="T7" s="39">
        <f t="shared" ref="T7:T26" si="1">S7/16</f>
        <v>0</v>
      </c>
      <c r="U7" s="30" t="str">
        <f t="shared" ref="U7:U26" si="2">IF(T7&gt;=0.81, "IV Səviyyə", IF(T7&gt;=0.61, "III Səviyyə", IF(T7&gt;=0.31, "II Səviyyə", "I Səviyyə")))</f>
        <v>I Səviyyə</v>
      </c>
    </row>
    <row r="8" spans="1:21" ht="14.4">
      <c r="A8" s="30">
        <v>2</v>
      </c>
      <c r="B8" s="31" t="s">
        <v>172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8">
        <f t="shared" si="0"/>
        <v>0</v>
      </c>
      <c r="T8" s="39">
        <f t="shared" si="1"/>
        <v>0</v>
      </c>
      <c r="U8" s="30" t="str">
        <f t="shared" si="2"/>
        <v>I Səviyyə</v>
      </c>
    </row>
    <row r="9" spans="1:21" ht="14.4">
      <c r="A9" s="30">
        <v>3</v>
      </c>
      <c r="B9" s="31" t="s">
        <v>173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8">
        <f t="shared" si="0"/>
        <v>0</v>
      </c>
      <c r="T9" s="39">
        <f t="shared" si="1"/>
        <v>0</v>
      </c>
      <c r="U9" s="30" t="str">
        <f t="shared" si="2"/>
        <v>I Səviyyə</v>
      </c>
    </row>
    <row r="10" spans="1:21" ht="14.4">
      <c r="A10" s="30">
        <v>4</v>
      </c>
      <c r="B10" s="31" t="s">
        <v>174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8">
        <f t="shared" si="0"/>
        <v>0</v>
      </c>
      <c r="T10" s="39">
        <f t="shared" si="1"/>
        <v>0</v>
      </c>
      <c r="U10" s="30" t="str">
        <f t="shared" si="2"/>
        <v>I Səviyyə</v>
      </c>
    </row>
    <row r="11" spans="1:21" ht="14.4">
      <c r="A11" s="30">
        <v>5</v>
      </c>
      <c r="B11" s="31" t="s">
        <v>175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8">
        <f t="shared" si="0"/>
        <v>0</v>
      </c>
      <c r="T11" s="39">
        <f t="shared" si="1"/>
        <v>0</v>
      </c>
      <c r="U11" s="30" t="str">
        <f t="shared" si="2"/>
        <v>I Səviyyə</v>
      </c>
    </row>
    <row r="12" spans="1:21" ht="14.4">
      <c r="A12" s="30">
        <v>6</v>
      </c>
      <c r="B12" s="31" t="s">
        <v>176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8">
        <f t="shared" si="0"/>
        <v>0</v>
      </c>
      <c r="T12" s="39">
        <f t="shared" si="1"/>
        <v>0</v>
      </c>
      <c r="U12" s="30" t="str">
        <f t="shared" si="2"/>
        <v>I Səviyyə</v>
      </c>
    </row>
    <row r="13" spans="1:21" ht="14.4">
      <c r="A13" s="30">
        <v>7</v>
      </c>
      <c r="B13" s="31" t="s">
        <v>177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8">
        <f t="shared" si="0"/>
        <v>0</v>
      </c>
      <c r="T13" s="39">
        <f t="shared" si="1"/>
        <v>0</v>
      </c>
      <c r="U13" s="30" t="str">
        <f t="shared" si="2"/>
        <v>I Səviyyə</v>
      </c>
    </row>
    <row r="14" spans="1:21" ht="14.4">
      <c r="A14" s="30">
        <v>8</v>
      </c>
      <c r="B14" s="31" t="s">
        <v>178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8">
        <f t="shared" si="0"/>
        <v>0</v>
      </c>
      <c r="T14" s="39">
        <f t="shared" si="1"/>
        <v>0</v>
      </c>
      <c r="U14" s="30" t="str">
        <f t="shared" si="2"/>
        <v>I Səviyyə</v>
      </c>
    </row>
    <row r="15" spans="1:21" ht="14.4">
      <c r="A15" s="30">
        <v>9</v>
      </c>
      <c r="B15" s="31" t="s">
        <v>179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8">
        <f t="shared" si="0"/>
        <v>0</v>
      </c>
      <c r="T15" s="39">
        <f t="shared" si="1"/>
        <v>0</v>
      </c>
      <c r="U15" s="30" t="str">
        <f t="shared" si="2"/>
        <v>I Səviyyə</v>
      </c>
    </row>
    <row r="16" spans="1:21" ht="14.4">
      <c r="A16" s="30">
        <v>10</v>
      </c>
      <c r="B16" s="31" t="s">
        <v>180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8">
        <f t="shared" si="0"/>
        <v>0</v>
      </c>
      <c r="T16" s="39">
        <f t="shared" si="1"/>
        <v>0</v>
      </c>
      <c r="U16" s="30" t="str">
        <f t="shared" si="2"/>
        <v>I Səviyyə</v>
      </c>
    </row>
    <row r="17" spans="1:21" ht="14.4">
      <c r="A17" s="30">
        <v>11</v>
      </c>
      <c r="B17" s="31" t="s">
        <v>181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8">
        <f t="shared" si="0"/>
        <v>0</v>
      </c>
      <c r="T17" s="39">
        <f t="shared" si="1"/>
        <v>0</v>
      </c>
      <c r="U17" s="30" t="str">
        <f t="shared" si="2"/>
        <v>I Səviyyə</v>
      </c>
    </row>
    <row r="18" spans="1:21" ht="14.4">
      <c r="A18" s="30">
        <v>12</v>
      </c>
      <c r="B18" s="31" t="s">
        <v>182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8">
        <f t="shared" si="0"/>
        <v>0</v>
      </c>
      <c r="T18" s="39">
        <f t="shared" si="1"/>
        <v>0</v>
      </c>
      <c r="U18" s="30" t="str">
        <f t="shared" si="2"/>
        <v>I Səviyyə</v>
      </c>
    </row>
    <row r="19" spans="1:21" ht="14.4">
      <c r="A19" s="30">
        <v>13</v>
      </c>
      <c r="B19" s="31" t="s">
        <v>183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8">
        <f t="shared" si="0"/>
        <v>0</v>
      </c>
      <c r="T19" s="39">
        <f t="shared" si="1"/>
        <v>0</v>
      </c>
      <c r="U19" s="30" t="str">
        <f t="shared" si="2"/>
        <v>I Səviyyə</v>
      </c>
    </row>
    <row r="20" spans="1:21" ht="14.4">
      <c r="A20" s="30">
        <v>14</v>
      </c>
      <c r="B20" s="31" t="s">
        <v>184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8">
        <f t="shared" si="0"/>
        <v>0</v>
      </c>
      <c r="T20" s="39">
        <f t="shared" si="1"/>
        <v>0</v>
      </c>
      <c r="U20" s="30" t="str">
        <f t="shared" si="2"/>
        <v>I Səviyyə</v>
      </c>
    </row>
    <row r="21" spans="1:21" ht="15.75" customHeight="1">
      <c r="A21" s="30">
        <v>15</v>
      </c>
      <c r="B21" s="31" t="s">
        <v>185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8">
        <f t="shared" si="0"/>
        <v>0</v>
      </c>
      <c r="T21" s="39">
        <f t="shared" si="1"/>
        <v>0</v>
      </c>
      <c r="U21" s="30" t="str">
        <f t="shared" si="2"/>
        <v>I Səviyyə</v>
      </c>
    </row>
    <row r="22" spans="1:21" ht="15.75" customHeight="1">
      <c r="A22" s="30">
        <v>16</v>
      </c>
      <c r="B22" s="31" t="s">
        <v>186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8">
        <f t="shared" si="0"/>
        <v>0</v>
      </c>
      <c r="T22" s="39">
        <f t="shared" si="1"/>
        <v>0</v>
      </c>
      <c r="U22" s="30" t="str">
        <f t="shared" si="2"/>
        <v>I Səviyyə</v>
      </c>
    </row>
    <row r="23" spans="1:21" ht="15.75" customHeight="1">
      <c r="A23" s="30">
        <v>17</v>
      </c>
      <c r="B23" s="31" t="s">
        <v>187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8">
        <f t="shared" si="0"/>
        <v>0</v>
      </c>
      <c r="T23" s="39">
        <f t="shared" si="1"/>
        <v>0</v>
      </c>
      <c r="U23" s="30" t="str">
        <f t="shared" si="2"/>
        <v>I Səviyyə</v>
      </c>
    </row>
    <row r="24" spans="1:21" ht="15.75" customHeight="1">
      <c r="A24" s="30">
        <v>18</v>
      </c>
      <c r="B24" s="31" t="s">
        <v>188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8">
        <f t="shared" si="0"/>
        <v>0</v>
      </c>
      <c r="T24" s="39">
        <f t="shared" si="1"/>
        <v>0</v>
      </c>
      <c r="U24" s="30" t="str">
        <f t="shared" si="2"/>
        <v>I Səviyyə</v>
      </c>
    </row>
    <row r="25" spans="1:21" ht="15.75" customHeight="1">
      <c r="A25" s="30">
        <v>19</v>
      </c>
      <c r="B25" s="31" t="s">
        <v>189</v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8">
        <f t="shared" si="0"/>
        <v>0</v>
      </c>
      <c r="T25" s="39">
        <f t="shared" si="1"/>
        <v>0</v>
      </c>
      <c r="U25" s="30" t="str">
        <f t="shared" si="2"/>
        <v>I Səviyyə</v>
      </c>
    </row>
    <row r="26" spans="1:21" ht="15.75" customHeight="1">
      <c r="A26" s="30">
        <v>20</v>
      </c>
      <c r="B26" s="31" t="s">
        <v>190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8">
        <f t="shared" si="0"/>
        <v>0</v>
      </c>
      <c r="T26" s="39">
        <f t="shared" si="1"/>
        <v>0</v>
      </c>
      <c r="U26" s="30" t="str">
        <f t="shared" si="2"/>
        <v>I Səviyyə</v>
      </c>
    </row>
    <row r="27" spans="1:21" ht="15.75" customHeight="1">
      <c r="A27" s="65" t="s">
        <v>57</v>
      </c>
      <c r="B27" s="66"/>
      <c r="C27" s="40">
        <f t="shared" ref="C27:S27" si="3">SUM(C7:C26)</f>
        <v>0</v>
      </c>
      <c r="D27" s="40">
        <f t="shared" si="3"/>
        <v>0</v>
      </c>
      <c r="E27" s="40">
        <f t="shared" si="3"/>
        <v>0</v>
      </c>
      <c r="F27" s="40">
        <f t="shared" si="3"/>
        <v>0</v>
      </c>
      <c r="G27" s="40">
        <f t="shared" si="3"/>
        <v>0</v>
      </c>
      <c r="H27" s="40">
        <f t="shared" si="3"/>
        <v>0</v>
      </c>
      <c r="I27" s="40">
        <f t="shared" si="3"/>
        <v>0</v>
      </c>
      <c r="J27" s="40">
        <f t="shared" si="3"/>
        <v>0</v>
      </c>
      <c r="K27" s="40">
        <f t="shared" si="3"/>
        <v>0</v>
      </c>
      <c r="L27" s="40">
        <f t="shared" si="3"/>
        <v>0</v>
      </c>
      <c r="M27" s="40">
        <f t="shared" si="3"/>
        <v>0</v>
      </c>
      <c r="N27" s="40">
        <f t="shared" si="3"/>
        <v>0</v>
      </c>
      <c r="O27" s="40">
        <f t="shared" si="3"/>
        <v>0</v>
      </c>
      <c r="P27" s="40">
        <f t="shared" si="3"/>
        <v>0</v>
      </c>
      <c r="Q27" s="40">
        <f t="shared" si="3"/>
        <v>0</v>
      </c>
      <c r="R27" s="40">
        <f t="shared" si="3"/>
        <v>0</v>
      </c>
      <c r="S27" s="40">
        <f t="shared" si="3"/>
        <v>0</v>
      </c>
      <c r="T27" s="41">
        <f>AVERAGE(T7:T26)</f>
        <v>0</v>
      </c>
      <c r="U27" s="40" t="s">
        <v>58</v>
      </c>
    </row>
    <row r="28" spans="1:21" ht="15.75" customHeight="1">
      <c r="A28" s="65" t="s">
        <v>59</v>
      </c>
      <c r="B28" s="66"/>
      <c r="C28" s="41" t="e">
        <f t="shared" ref="C28:T28" si="4">AVERAGE(C7:C26)</f>
        <v>#DIV/0!</v>
      </c>
      <c r="D28" s="41" t="e">
        <f t="shared" si="4"/>
        <v>#DIV/0!</v>
      </c>
      <c r="E28" s="41" t="e">
        <f t="shared" si="4"/>
        <v>#DIV/0!</v>
      </c>
      <c r="F28" s="41" t="e">
        <f t="shared" si="4"/>
        <v>#DIV/0!</v>
      </c>
      <c r="G28" s="41" t="e">
        <f t="shared" si="4"/>
        <v>#DIV/0!</v>
      </c>
      <c r="H28" s="41" t="e">
        <f t="shared" si="4"/>
        <v>#DIV/0!</v>
      </c>
      <c r="I28" s="41" t="e">
        <f t="shared" si="4"/>
        <v>#DIV/0!</v>
      </c>
      <c r="J28" s="41" t="e">
        <f t="shared" si="4"/>
        <v>#DIV/0!</v>
      </c>
      <c r="K28" s="41" t="e">
        <f t="shared" si="4"/>
        <v>#DIV/0!</v>
      </c>
      <c r="L28" s="41" t="e">
        <f t="shared" si="4"/>
        <v>#DIV/0!</v>
      </c>
      <c r="M28" s="41" t="e">
        <f t="shared" si="4"/>
        <v>#DIV/0!</v>
      </c>
      <c r="N28" s="41" t="e">
        <f t="shared" si="4"/>
        <v>#DIV/0!</v>
      </c>
      <c r="O28" s="41" t="e">
        <f t="shared" si="4"/>
        <v>#DIV/0!</v>
      </c>
      <c r="P28" s="41" t="e">
        <f t="shared" si="4"/>
        <v>#DIV/0!</v>
      </c>
      <c r="Q28" s="41" t="e">
        <f t="shared" si="4"/>
        <v>#DIV/0!</v>
      </c>
      <c r="R28" s="41" t="e">
        <f t="shared" si="4"/>
        <v>#DIV/0!</v>
      </c>
      <c r="S28" s="40">
        <f t="shared" si="4"/>
        <v>0</v>
      </c>
      <c r="T28" s="41">
        <f t="shared" si="4"/>
        <v>0</v>
      </c>
      <c r="U28" s="40" t="str">
        <f>IF(T28&gt;=0.81, "Əla (IV)", IF(T28&gt;=0.61, "Yaxşı (III)", IF(T28&gt;=0.31, "Orta (II)", "Zəif (I)")))</f>
        <v>Zəif (I)</v>
      </c>
    </row>
    <row r="29" spans="1:21" ht="15.75" customHeight="1"/>
    <row r="30" spans="1:21" ht="15.75" customHeight="1">
      <c r="A30" s="72" t="s">
        <v>60</v>
      </c>
      <c r="B30" s="69"/>
      <c r="C30" s="69"/>
      <c r="D30" s="69"/>
      <c r="E30" s="69"/>
      <c r="F30" s="69"/>
      <c r="G30" s="69"/>
      <c r="H30" s="70"/>
    </row>
    <row r="31" spans="1:21" ht="15.75" customHeight="1">
      <c r="A31" s="4" t="s">
        <v>61</v>
      </c>
      <c r="B31" s="4" t="s">
        <v>62</v>
      </c>
      <c r="C31" s="4" t="s">
        <v>63</v>
      </c>
      <c r="D31" s="4" t="s">
        <v>64</v>
      </c>
      <c r="E31" s="4" t="s">
        <v>65</v>
      </c>
      <c r="F31" s="4" t="s">
        <v>66</v>
      </c>
      <c r="G31" s="4" t="s">
        <v>67</v>
      </c>
      <c r="H31" s="4" t="s">
        <v>68</v>
      </c>
    </row>
    <row r="32" spans="1:21" ht="27.6">
      <c r="A32" s="5" t="s">
        <v>9</v>
      </c>
      <c r="B32" s="5" t="s">
        <v>69</v>
      </c>
      <c r="C32" s="5" t="s">
        <v>29</v>
      </c>
      <c r="D32" s="6" t="s">
        <v>70</v>
      </c>
      <c r="E32" s="5" t="s">
        <v>71</v>
      </c>
      <c r="F32" s="7">
        <f>C27</f>
        <v>0</v>
      </c>
      <c r="G32" s="8" t="e">
        <f>C28</f>
        <v>#DIV/0!</v>
      </c>
      <c r="H32" s="9" t="e">
        <f t="shared" ref="H32:H48" si="5">IF(G32&gt;=0.81, "Əla (IV)", IF(G32&gt;=0.61, "Yaxşı (III)", IF(G32&gt;=0.31, "Orta (II)", "Zəif (I)")))</f>
        <v>#DIV/0!</v>
      </c>
    </row>
    <row r="33" spans="1:8" ht="27.6">
      <c r="A33" s="5" t="s">
        <v>10</v>
      </c>
      <c r="B33" s="5" t="s">
        <v>69</v>
      </c>
      <c r="C33" s="5" t="s">
        <v>29</v>
      </c>
      <c r="D33" s="6" t="s">
        <v>70</v>
      </c>
      <c r="E33" s="5" t="s">
        <v>71</v>
      </c>
      <c r="F33" s="7">
        <f>D27</f>
        <v>0</v>
      </c>
      <c r="G33" s="8" t="e">
        <f>D28</f>
        <v>#DIV/0!</v>
      </c>
      <c r="H33" s="9" t="e">
        <f t="shared" si="5"/>
        <v>#DIV/0!</v>
      </c>
    </row>
    <row r="34" spans="1:8" ht="27.6">
      <c r="A34" s="5" t="s">
        <v>11</v>
      </c>
      <c r="B34" s="5" t="s">
        <v>69</v>
      </c>
      <c r="C34" s="5" t="s">
        <v>29</v>
      </c>
      <c r="D34" s="6" t="s">
        <v>70</v>
      </c>
      <c r="E34" s="5" t="s">
        <v>71</v>
      </c>
      <c r="F34" s="7">
        <f>E27</f>
        <v>0</v>
      </c>
      <c r="G34" s="8" t="e">
        <f>E28</f>
        <v>#DIV/0!</v>
      </c>
      <c r="H34" s="9" t="e">
        <f t="shared" si="5"/>
        <v>#DIV/0!</v>
      </c>
    </row>
    <row r="35" spans="1:8" ht="27.6">
      <c r="A35" s="5" t="s">
        <v>12</v>
      </c>
      <c r="B35" s="5" t="s">
        <v>69</v>
      </c>
      <c r="C35" s="5" t="s">
        <v>31</v>
      </c>
      <c r="D35" s="6" t="s">
        <v>72</v>
      </c>
      <c r="E35" s="5" t="s">
        <v>71</v>
      </c>
      <c r="F35" s="7">
        <f>F27</f>
        <v>0</v>
      </c>
      <c r="G35" s="8" t="e">
        <f>F28</f>
        <v>#DIV/0!</v>
      </c>
      <c r="H35" s="9" t="e">
        <f t="shared" si="5"/>
        <v>#DIV/0!</v>
      </c>
    </row>
    <row r="36" spans="1:8" ht="27.6">
      <c r="A36" s="5" t="s">
        <v>13</v>
      </c>
      <c r="B36" s="5" t="s">
        <v>69</v>
      </c>
      <c r="C36" s="5" t="s">
        <v>30</v>
      </c>
      <c r="D36" s="6" t="s">
        <v>73</v>
      </c>
      <c r="E36" s="5" t="s">
        <v>71</v>
      </c>
      <c r="F36" s="7">
        <f>G27</f>
        <v>0</v>
      </c>
      <c r="G36" s="8" t="e">
        <f>G28</f>
        <v>#DIV/0!</v>
      </c>
      <c r="H36" s="9" t="e">
        <f t="shared" si="5"/>
        <v>#DIV/0!</v>
      </c>
    </row>
    <row r="37" spans="1:8" ht="27.6">
      <c r="A37" s="5" t="s">
        <v>14</v>
      </c>
      <c r="B37" s="5" t="s">
        <v>69</v>
      </c>
      <c r="C37" s="5" t="s">
        <v>31</v>
      </c>
      <c r="D37" s="6" t="s">
        <v>74</v>
      </c>
      <c r="E37" s="5" t="s">
        <v>71</v>
      </c>
      <c r="F37" s="7">
        <f>H27</f>
        <v>0</v>
      </c>
      <c r="G37" s="8" t="e">
        <f>H28</f>
        <v>#DIV/0!</v>
      </c>
      <c r="H37" s="9" t="e">
        <f t="shared" si="5"/>
        <v>#DIV/0!</v>
      </c>
    </row>
    <row r="38" spans="1:8" ht="27.6">
      <c r="A38" s="5" t="s">
        <v>15</v>
      </c>
      <c r="B38" s="5" t="s">
        <v>69</v>
      </c>
      <c r="C38" s="5" t="s">
        <v>31</v>
      </c>
      <c r="D38" s="6" t="s">
        <v>74</v>
      </c>
      <c r="E38" s="5" t="s">
        <v>71</v>
      </c>
      <c r="F38" s="7">
        <f>I27</f>
        <v>0</v>
      </c>
      <c r="G38" s="8" t="e">
        <f>I28</f>
        <v>#DIV/0!</v>
      </c>
      <c r="H38" s="9" t="e">
        <f t="shared" si="5"/>
        <v>#DIV/0!</v>
      </c>
    </row>
    <row r="39" spans="1:8" ht="27.6">
      <c r="A39" s="5" t="s">
        <v>16</v>
      </c>
      <c r="B39" s="5" t="s">
        <v>78</v>
      </c>
      <c r="C39" s="5" t="s">
        <v>32</v>
      </c>
      <c r="D39" s="6" t="s">
        <v>79</v>
      </c>
      <c r="E39" s="5" t="s">
        <v>80</v>
      </c>
      <c r="F39" s="7">
        <f>J27</f>
        <v>0</v>
      </c>
      <c r="G39" s="8" t="e">
        <f>J28</f>
        <v>#DIV/0!</v>
      </c>
      <c r="H39" s="9" t="e">
        <f t="shared" si="5"/>
        <v>#DIV/0!</v>
      </c>
    </row>
    <row r="40" spans="1:8" ht="27.6">
      <c r="A40" s="5" t="s">
        <v>17</v>
      </c>
      <c r="B40" s="5" t="s">
        <v>78</v>
      </c>
      <c r="C40" s="5" t="s">
        <v>32</v>
      </c>
      <c r="D40" s="6" t="s">
        <v>79</v>
      </c>
      <c r="E40" s="5" t="s">
        <v>80</v>
      </c>
      <c r="F40" s="7">
        <f>K27</f>
        <v>0</v>
      </c>
      <c r="G40" s="8" t="e">
        <f>K28</f>
        <v>#DIV/0!</v>
      </c>
      <c r="H40" s="9" t="e">
        <f t="shared" si="5"/>
        <v>#DIV/0!</v>
      </c>
    </row>
    <row r="41" spans="1:8" ht="27.6">
      <c r="A41" s="5" t="s">
        <v>18</v>
      </c>
      <c r="B41" s="5" t="s">
        <v>69</v>
      </c>
      <c r="C41" s="5" t="s">
        <v>34</v>
      </c>
      <c r="D41" s="6" t="s">
        <v>81</v>
      </c>
      <c r="E41" s="5" t="s">
        <v>82</v>
      </c>
      <c r="F41" s="7">
        <f>L27</f>
        <v>0</v>
      </c>
      <c r="G41" s="8" t="e">
        <f>L28</f>
        <v>#DIV/0!</v>
      </c>
      <c r="H41" s="9" t="e">
        <f t="shared" si="5"/>
        <v>#DIV/0!</v>
      </c>
    </row>
    <row r="42" spans="1:8" ht="27.6">
      <c r="A42" s="5" t="s">
        <v>19</v>
      </c>
      <c r="B42" s="5" t="s">
        <v>78</v>
      </c>
      <c r="C42" s="5" t="s">
        <v>32</v>
      </c>
      <c r="D42" s="6" t="s">
        <v>84</v>
      </c>
      <c r="E42" s="5" t="s">
        <v>71</v>
      </c>
      <c r="F42" s="7">
        <f>M27</f>
        <v>0</v>
      </c>
      <c r="G42" s="8" t="e">
        <f>M28</f>
        <v>#DIV/0!</v>
      </c>
      <c r="H42" s="9" t="e">
        <f t="shared" si="5"/>
        <v>#DIV/0!</v>
      </c>
    </row>
    <row r="43" spans="1:8" ht="27.6">
      <c r="A43" s="5" t="s">
        <v>20</v>
      </c>
      <c r="B43" s="5" t="s">
        <v>78</v>
      </c>
      <c r="C43" s="5" t="s">
        <v>32</v>
      </c>
      <c r="D43" s="6" t="s">
        <v>84</v>
      </c>
      <c r="E43" s="5" t="s">
        <v>71</v>
      </c>
      <c r="F43" s="7">
        <f>N27</f>
        <v>0</v>
      </c>
      <c r="G43" s="8" t="e">
        <f>N28</f>
        <v>#DIV/0!</v>
      </c>
      <c r="H43" s="9" t="e">
        <f t="shared" si="5"/>
        <v>#DIV/0!</v>
      </c>
    </row>
    <row r="44" spans="1:8" ht="27.6">
      <c r="A44" s="5" t="s">
        <v>21</v>
      </c>
      <c r="B44" s="5" t="s">
        <v>89</v>
      </c>
      <c r="C44" s="5" t="s">
        <v>35</v>
      </c>
      <c r="D44" s="6" t="s">
        <v>90</v>
      </c>
      <c r="E44" s="5" t="s">
        <v>91</v>
      </c>
      <c r="F44" s="7">
        <f>O27</f>
        <v>0</v>
      </c>
      <c r="G44" s="8" t="e">
        <f>O28</f>
        <v>#DIV/0!</v>
      </c>
      <c r="H44" s="9" t="e">
        <f t="shared" si="5"/>
        <v>#DIV/0!</v>
      </c>
    </row>
    <row r="45" spans="1:8" ht="27.6">
      <c r="A45" s="5" t="s">
        <v>22</v>
      </c>
      <c r="B45" s="5" t="s">
        <v>93</v>
      </c>
      <c r="C45" s="5" t="s">
        <v>36</v>
      </c>
      <c r="D45" s="6" t="s">
        <v>94</v>
      </c>
      <c r="E45" s="5" t="s">
        <v>77</v>
      </c>
      <c r="F45" s="7">
        <f>P27</f>
        <v>0</v>
      </c>
      <c r="G45" s="8" t="e">
        <f>P28</f>
        <v>#DIV/0!</v>
      </c>
      <c r="H45" s="9" t="e">
        <f t="shared" si="5"/>
        <v>#DIV/0!</v>
      </c>
    </row>
    <row r="46" spans="1:8" ht="27.6">
      <c r="A46" s="5" t="s">
        <v>23</v>
      </c>
      <c r="B46" s="5" t="s">
        <v>93</v>
      </c>
      <c r="C46" s="5" t="s">
        <v>37</v>
      </c>
      <c r="D46" s="6" t="s">
        <v>97</v>
      </c>
      <c r="E46" s="5" t="s">
        <v>80</v>
      </c>
      <c r="F46" s="7">
        <f>Q27</f>
        <v>0</v>
      </c>
      <c r="G46" s="8" t="e">
        <f>Q28</f>
        <v>#DIV/0!</v>
      </c>
      <c r="H46" s="9" t="e">
        <f t="shared" si="5"/>
        <v>#DIV/0!</v>
      </c>
    </row>
    <row r="47" spans="1:8" ht="27.6">
      <c r="A47" s="5" t="s">
        <v>24</v>
      </c>
      <c r="B47" s="5" t="s">
        <v>78</v>
      </c>
      <c r="C47" s="5" t="s">
        <v>32</v>
      </c>
      <c r="D47" s="6" t="s">
        <v>99</v>
      </c>
      <c r="E47" s="5" t="s">
        <v>80</v>
      </c>
      <c r="F47" s="7">
        <f>R27</f>
        <v>0</v>
      </c>
      <c r="G47" s="8" t="e">
        <f>R28</f>
        <v>#DIV/0!</v>
      </c>
      <c r="H47" s="9" t="e">
        <f t="shared" si="5"/>
        <v>#DIV/0!</v>
      </c>
    </row>
    <row r="48" spans="1:8" ht="15.75" customHeight="1">
      <c r="A48" s="71" t="s">
        <v>103</v>
      </c>
      <c r="B48" s="69"/>
      <c r="C48" s="69"/>
      <c r="D48" s="69"/>
      <c r="E48" s="70"/>
      <c r="F48" s="15">
        <f>SUM(F32:F47)</f>
        <v>0</v>
      </c>
      <c r="G48" s="16" t="e">
        <f>AVERAGE(G32:G47)</f>
        <v>#DIV/0!</v>
      </c>
      <c r="H48" s="17" t="e">
        <f t="shared" si="5"/>
        <v>#DIV/0!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5">
    <mergeCell ref="A1:U2"/>
    <mergeCell ref="A27:B27"/>
    <mergeCell ref="A28:B28"/>
    <mergeCell ref="A30:H30"/>
    <mergeCell ref="A48:E4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993"/>
  <sheetViews>
    <sheetView tabSelected="1" workbookViewId="0">
      <selection activeCell="D21" sqref="D21"/>
    </sheetView>
  </sheetViews>
  <sheetFormatPr defaultColWidth="14.44140625" defaultRowHeight="15" customHeight="1"/>
  <cols>
    <col min="1" max="1" width="9.44140625" customWidth="1"/>
    <col min="2" max="2" width="29.5546875" customWidth="1"/>
    <col min="3" max="3" width="59.33203125" customWidth="1"/>
    <col min="4" max="4" width="59" customWidth="1"/>
    <col min="5" max="5" width="15.88671875" customWidth="1"/>
    <col min="6" max="7" width="13.6640625" customWidth="1"/>
    <col min="8" max="8" width="15.21875" customWidth="1"/>
  </cols>
  <sheetData>
    <row r="1" spans="1:21" ht="14.4">
      <c r="A1" s="67" t="s">
        <v>148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</row>
    <row r="2" spans="1:21" ht="14.4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</row>
    <row r="3" spans="1:21" ht="14.4">
      <c r="A3" s="2" t="s">
        <v>149</v>
      </c>
      <c r="D3" s="1" t="s">
        <v>6</v>
      </c>
    </row>
    <row r="4" spans="1:21" ht="14.4">
      <c r="C4" s="3"/>
    </row>
    <row r="5" spans="1:21" ht="14.4">
      <c r="A5" s="32" t="s">
        <v>7</v>
      </c>
      <c r="B5" s="32" t="s">
        <v>8</v>
      </c>
      <c r="C5" s="32" t="s">
        <v>9</v>
      </c>
      <c r="D5" s="32" t="s">
        <v>10</v>
      </c>
      <c r="E5" s="32" t="s">
        <v>11</v>
      </c>
      <c r="F5" s="32" t="s">
        <v>12</v>
      </c>
      <c r="G5" s="32" t="s">
        <v>13</v>
      </c>
      <c r="H5" s="32" t="s">
        <v>14</v>
      </c>
      <c r="I5" s="32" t="s">
        <v>15</v>
      </c>
      <c r="J5" s="32" t="s">
        <v>16</v>
      </c>
      <c r="K5" s="32" t="s">
        <v>17</v>
      </c>
      <c r="L5" s="32" t="s">
        <v>18</v>
      </c>
      <c r="M5" s="32" t="s">
        <v>19</v>
      </c>
      <c r="N5" s="32" t="s">
        <v>20</v>
      </c>
      <c r="O5" s="32" t="s">
        <v>21</v>
      </c>
      <c r="P5" s="32" t="s">
        <v>22</v>
      </c>
      <c r="Q5" s="32" t="s">
        <v>23</v>
      </c>
      <c r="R5" s="32" t="s">
        <v>24</v>
      </c>
      <c r="S5" s="32" t="s">
        <v>25</v>
      </c>
      <c r="T5" s="32" t="s">
        <v>26</v>
      </c>
      <c r="U5" s="32" t="s">
        <v>27</v>
      </c>
    </row>
    <row r="6" spans="1:21" ht="14.4">
      <c r="A6" s="33"/>
      <c r="B6" s="34" t="s">
        <v>28</v>
      </c>
      <c r="C6" s="35" t="s">
        <v>29</v>
      </c>
      <c r="D6" s="35" t="s">
        <v>29</v>
      </c>
      <c r="E6" s="35" t="s">
        <v>34</v>
      </c>
      <c r="F6" s="35" t="s">
        <v>150</v>
      </c>
      <c r="G6" s="35" t="s">
        <v>29</v>
      </c>
      <c r="H6" s="35" t="s">
        <v>29</v>
      </c>
      <c r="I6" s="35" t="s">
        <v>150</v>
      </c>
      <c r="J6" s="35" t="s">
        <v>29</v>
      </c>
      <c r="K6" s="35" t="s">
        <v>34</v>
      </c>
      <c r="L6" s="35" t="s">
        <v>34</v>
      </c>
      <c r="M6" s="35" t="s">
        <v>34</v>
      </c>
      <c r="N6" s="35" t="s">
        <v>34</v>
      </c>
      <c r="O6" s="35" t="s">
        <v>34</v>
      </c>
      <c r="P6" s="35" t="s">
        <v>29</v>
      </c>
      <c r="Q6" s="35" t="s">
        <v>35</v>
      </c>
      <c r="R6" s="35" t="s">
        <v>35</v>
      </c>
      <c r="S6" s="37" t="s">
        <v>42</v>
      </c>
      <c r="T6" s="37" t="s">
        <v>45</v>
      </c>
      <c r="U6" s="37" t="s">
        <v>46</v>
      </c>
    </row>
    <row r="7" spans="1:21" ht="14.4">
      <c r="A7" s="51">
        <v>1</v>
      </c>
      <c r="B7" s="52" t="s">
        <v>171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8">
        <f t="shared" ref="S7:S26" si="0">SUM(C7:R7)</f>
        <v>0</v>
      </c>
      <c r="T7" s="39">
        <f t="shared" ref="T7:T26" si="1">S7/16</f>
        <v>0</v>
      </c>
      <c r="U7" s="30" t="str">
        <f t="shared" ref="U7:U26" si="2">IF(T7&gt;=0.81, "IV Səviyyə", IF(T7&gt;=0.61, "III Səviyyə", IF(T7&gt;=0.31, "II Səviyyə", "I Səviyyə")))</f>
        <v>I Səviyyə</v>
      </c>
    </row>
    <row r="8" spans="1:21" ht="14.4">
      <c r="A8" s="51">
        <v>2</v>
      </c>
      <c r="B8" s="52" t="s">
        <v>172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8">
        <f t="shared" si="0"/>
        <v>0</v>
      </c>
      <c r="T8" s="39">
        <f t="shared" si="1"/>
        <v>0</v>
      </c>
      <c r="U8" s="30" t="str">
        <f t="shared" si="2"/>
        <v>I Səviyyə</v>
      </c>
    </row>
    <row r="9" spans="1:21" ht="14.4">
      <c r="A9" s="51">
        <v>3</v>
      </c>
      <c r="B9" s="52" t="s">
        <v>173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8">
        <f t="shared" si="0"/>
        <v>0</v>
      </c>
      <c r="T9" s="39">
        <f t="shared" si="1"/>
        <v>0</v>
      </c>
      <c r="U9" s="30" t="str">
        <f t="shared" si="2"/>
        <v>I Səviyyə</v>
      </c>
    </row>
    <row r="10" spans="1:21" ht="14.4">
      <c r="A10" s="51">
        <v>4</v>
      </c>
      <c r="B10" s="52" t="s">
        <v>174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8">
        <f t="shared" si="0"/>
        <v>0</v>
      </c>
      <c r="T10" s="39">
        <f t="shared" si="1"/>
        <v>0</v>
      </c>
      <c r="U10" s="30" t="str">
        <f t="shared" si="2"/>
        <v>I Səviyyə</v>
      </c>
    </row>
    <row r="11" spans="1:21" ht="14.4">
      <c r="A11" s="51">
        <v>5</v>
      </c>
      <c r="B11" s="52" t="s">
        <v>175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8">
        <f t="shared" si="0"/>
        <v>0</v>
      </c>
      <c r="T11" s="39">
        <f t="shared" si="1"/>
        <v>0</v>
      </c>
      <c r="U11" s="30" t="str">
        <f t="shared" si="2"/>
        <v>I Səviyyə</v>
      </c>
    </row>
    <row r="12" spans="1:21" ht="14.4">
      <c r="A12" s="51">
        <v>6</v>
      </c>
      <c r="B12" s="52" t="s">
        <v>176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8">
        <f t="shared" si="0"/>
        <v>0</v>
      </c>
      <c r="T12" s="39">
        <f t="shared" si="1"/>
        <v>0</v>
      </c>
      <c r="U12" s="30" t="str">
        <f t="shared" si="2"/>
        <v>I Səviyyə</v>
      </c>
    </row>
    <row r="13" spans="1:21" ht="14.4">
      <c r="A13" s="51">
        <v>7</v>
      </c>
      <c r="B13" s="52" t="s">
        <v>177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8">
        <f t="shared" si="0"/>
        <v>0</v>
      </c>
      <c r="T13" s="39">
        <f t="shared" si="1"/>
        <v>0</v>
      </c>
      <c r="U13" s="30" t="str">
        <f t="shared" si="2"/>
        <v>I Səviyyə</v>
      </c>
    </row>
    <row r="14" spans="1:21" ht="14.4">
      <c r="A14" s="51">
        <v>8</v>
      </c>
      <c r="B14" s="52" t="s">
        <v>178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8">
        <f t="shared" si="0"/>
        <v>0</v>
      </c>
      <c r="T14" s="39">
        <f t="shared" si="1"/>
        <v>0</v>
      </c>
      <c r="U14" s="30" t="str">
        <f t="shared" si="2"/>
        <v>I Səviyyə</v>
      </c>
    </row>
    <row r="15" spans="1:21" ht="14.4">
      <c r="A15" s="51">
        <v>9</v>
      </c>
      <c r="B15" s="52" t="s">
        <v>179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8">
        <f t="shared" si="0"/>
        <v>0</v>
      </c>
      <c r="T15" s="39">
        <f t="shared" si="1"/>
        <v>0</v>
      </c>
      <c r="U15" s="30" t="str">
        <f t="shared" si="2"/>
        <v>I Səviyyə</v>
      </c>
    </row>
    <row r="16" spans="1:21" ht="14.4">
      <c r="A16" s="51">
        <v>10</v>
      </c>
      <c r="B16" s="52" t="s">
        <v>180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8">
        <f t="shared" si="0"/>
        <v>0</v>
      </c>
      <c r="T16" s="39">
        <f t="shared" si="1"/>
        <v>0</v>
      </c>
      <c r="U16" s="30" t="str">
        <f t="shared" si="2"/>
        <v>I Səviyyə</v>
      </c>
    </row>
    <row r="17" spans="1:21" ht="14.4">
      <c r="A17" s="51">
        <v>11</v>
      </c>
      <c r="B17" s="52" t="s">
        <v>181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8">
        <f t="shared" si="0"/>
        <v>0</v>
      </c>
      <c r="T17" s="39">
        <f t="shared" si="1"/>
        <v>0</v>
      </c>
      <c r="U17" s="30" t="str">
        <f t="shared" si="2"/>
        <v>I Səviyyə</v>
      </c>
    </row>
    <row r="18" spans="1:21" ht="14.4">
      <c r="A18" s="51">
        <v>12</v>
      </c>
      <c r="B18" s="52" t="s">
        <v>182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8">
        <f t="shared" si="0"/>
        <v>0</v>
      </c>
      <c r="T18" s="39">
        <f t="shared" si="1"/>
        <v>0</v>
      </c>
      <c r="U18" s="30" t="str">
        <f t="shared" si="2"/>
        <v>I Səviyyə</v>
      </c>
    </row>
    <row r="19" spans="1:21" ht="14.4">
      <c r="A19" s="51">
        <v>13</v>
      </c>
      <c r="B19" s="52" t="s">
        <v>183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8">
        <f t="shared" si="0"/>
        <v>0</v>
      </c>
      <c r="T19" s="39">
        <f t="shared" si="1"/>
        <v>0</v>
      </c>
      <c r="U19" s="30" t="str">
        <f t="shared" si="2"/>
        <v>I Səviyyə</v>
      </c>
    </row>
    <row r="20" spans="1:21" ht="14.4">
      <c r="A20" s="51">
        <v>14</v>
      </c>
      <c r="B20" s="52" t="s">
        <v>184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8">
        <f t="shared" si="0"/>
        <v>0</v>
      </c>
      <c r="T20" s="39">
        <f t="shared" si="1"/>
        <v>0</v>
      </c>
      <c r="U20" s="30" t="str">
        <f t="shared" si="2"/>
        <v>I Səviyyə</v>
      </c>
    </row>
    <row r="21" spans="1:21" ht="15.75" customHeight="1">
      <c r="A21" s="51">
        <v>15</v>
      </c>
      <c r="B21" s="52" t="s">
        <v>185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8">
        <f t="shared" si="0"/>
        <v>0</v>
      </c>
      <c r="T21" s="39">
        <f t="shared" si="1"/>
        <v>0</v>
      </c>
      <c r="U21" s="30" t="str">
        <f t="shared" si="2"/>
        <v>I Səviyyə</v>
      </c>
    </row>
    <row r="22" spans="1:21" ht="15.75" customHeight="1">
      <c r="A22" s="51">
        <v>16</v>
      </c>
      <c r="B22" s="52" t="s">
        <v>197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8">
        <f t="shared" si="0"/>
        <v>0</v>
      </c>
      <c r="T22" s="39">
        <f t="shared" si="1"/>
        <v>0</v>
      </c>
      <c r="U22" s="30" t="str">
        <f t="shared" si="2"/>
        <v>I Səviyyə</v>
      </c>
    </row>
    <row r="23" spans="1:21" ht="15.75" customHeight="1">
      <c r="A23" s="51">
        <v>17</v>
      </c>
      <c r="B23" s="52" t="s">
        <v>187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8">
        <f t="shared" si="0"/>
        <v>0</v>
      </c>
      <c r="T23" s="39">
        <f t="shared" si="1"/>
        <v>0</v>
      </c>
      <c r="U23" s="30" t="str">
        <f t="shared" si="2"/>
        <v>I Səviyyə</v>
      </c>
    </row>
    <row r="24" spans="1:21" ht="15.75" customHeight="1">
      <c r="A24" s="51">
        <v>18</v>
      </c>
      <c r="B24" s="52" t="s">
        <v>188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8">
        <f t="shared" si="0"/>
        <v>0</v>
      </c>
      <c r="T24" s="39">
        <f t="shared" si="1"/>
        <v>0</v>
      </c>
      <c r="U24" s="30" t="str">
        <f t="shared" si="2"/>
        <v>I Səviyyə</v>
      </c>
    </row>
    <row r="25" spans="1:21" ht="15.75" customHeight="1">
      <c r="A25" s="51">
        <v>19</v>
      </c>
      <c r="B25" s="52" t="s">
        <v>189</v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8">
        <f t="shared" si="0"/>
        <v>0</v>
      </c>
      <c r="T25" s="39">
        <f t="shared" si="1"/>
        <v>0</v>
      </c>
      <c r="U25" s="30" t="str">
        <f t="shared" si="2"/>
        <v>I Səviyyə</v>
      </c>
    </row>
    <row r="26" spans="1:21" ht="24" customHeight="1">
      <c r="A26" s="51">
        <v>20</v>
      </c>
      <c r="B26" s="52" t="s">
        <v>190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8">
        <f t="shared" si="0"/>
        <v>0</v>
      </c>
      <c r="T26" s="39">
        <f t="shared" si="1"/>
        <v>0</v>
      </c>
      <c r="U26" s="30" t="str">
        <f t="shared" si="2"/>
        <v>I Səviyyə</v>
      </c>
    </row>
    <row r="27" spans="1:21" ht="15.75" customHeight="1">
      <c r="A27" s="65" t="s">
        <v>57</v>
      </c>
      <c r="B27" s="66"/>
      <c r="C27" s="40">
        <f t="shared" ref="C27:S27" si="3">SUM(C7:C26)</f>
        <v>0</v>
      </c>
      <c r="D27" s="40">
        <f t="shared" si="3"/>
        <v>0</v>
      </c>
      <c r="E27" s="40">
        <f t="shared" si="3"/>
        <v>0</v>
      </c>
      <c r="F27" s="40">
        <f t="shared" si="3"/>
        <v>0</v>
      </c>
      <c r="G27" s="40">
        <f t="shared" si="3"/>
        <v>0</v>
      </c>
      <c r="H27" s="40">
        <f t="shared" si="3"/>
        <v>0</v>
      </c>
      <c r="I27" s="40">
        <f t="shared" si="3"/>
        <v>0</v>
      </c>
      <c r="J27" s="40">
        <f t="shared" si="3"/>
        <v>0</v>
      </c>
      <c r="K27" s="40">
        <f t="shared" si="3"/>
        <v>0</v>
      </c>
      <c r="L27" s="40">
        <f t="shared" si="3"/>
        <v>0</v>
      </c>
      <c r="M27" s="40">
        <f t="shared" si="3"/>
        <v>0</v>
      </c>
      <c r="N27" s="40">
        <f t="shared" si="3"/>
        <v>0</v>
      </c>
      <c r="O27" s="40">
        <f t="shared" si="3"/>
        <v>0</v>
      </c>
      <c r="P27" s="40">
        <f t="shared" si="3"/>
        <v>0</v>
      </c>
      <c r="Q27" s="40">
        <f t="shared" si="3"/>
        <v>0</v>
      </c>
      <c r="R27" s="40">
        <f t="shared" si="3"/>
        <v>0</v>
      </c>
      <c r="S27" s="40">
        <f t="shared" si="3"/>
        <v>0</v>
      </c>
      <c r="T27" s="41">
        <f>AVERAGE(T7:T26)</f>
        <v>0</v>
      </c>
      <c r="U27" s="40" t="s">
        <v>58</v>
      </c>
    </row>
    <row r="28" spans="1:21" ht="15.75" customHeight="1">
      <c r="A28" s="65" t="s">
        <v>59</v>
      </c>
      <c r="B28" s="66"/>
      <c r="C28" s="41" t="e">
        <f t="shared" ref="C28:T28" si="4">AVERAGE(C7:C26)</f>
        <v>#DIV/0!</v>
      </c>
      <c r="D28" s="41" t="e">
        <f t="shared" si="4"/>
        <v>#DIV/0!</v>
      </c>
      <c r="E28" s="41" t="e">
        <f t="shared" si="4"/>
        <v>#DIV/0!</v>
      </c>
      <c r="F28" s="41" t="e">
        <f t="shared" si="4"/>
        <v>#DIV/0!</v>
      </c>
      <c r="G28" s="41" t="e">
        <f t="shared" si="4"/>
        <v>#DIV/0!</v>
      </c>
      <c r="H28" s="41" t="e">
        <f t="shared" si="4"/>
        <v>#DIV/0!</v>
      </c>
      <c r="I28" s="41" t="e">
        <f t="shared" si="4"/>
        <v>#DIV/0!</v>
      </c>
      <c r="J28" s="41" t="e">
        <f t="shared" si="4"/>
        <v>#DIV/0!</v>
      </c>
      <c r="K28" s="41" t="e">
        <f t="shared" si="4"/>
        <v>#DIV/0!</v>
      </c>
      <c r="L28" s="41" t="e">
        <f t="shared" si="4"/>
        <v>#DIV/0!</v>
      </c>
      <c r="M28" s="41" t="e">
        <f t="shared" si="4"/>
        <v>#DIV/0!</v>
      </c>
      <c r="N28" s="41" t="e">
        <f t="shared" si="4"/>
        <v>#DIV/0!</v>
      </c>
      <c r="O28" s="41" t="e">
        <f t="shared" si="4"/>
        <v>#DIV/0!</v>
      </c>
      <c r="P28" s="41" t="e">
        <f t="shared" si="4"/>
        <v>#DIV/0!</v>
      </c>
      <c r="Q28" s="41" t="e">
        <f t="shared" si="4"/>
        <v>#DIV/0!</v>
      </c>
      <c r="R28" s="41" t="e">
        <f t="shared" si="4"/>
        <v>#DIV/0!</v>
      </c>
      <c r="S28" s="40">
        <f t="shared" si="4"/>
        <v>0</v>
      </c>
      <c r="T28" s="41">
        <f t="shared" si="4"/>
        <v>0</v>
      </c>
      <c r="U28" s="40" t="str">
        <f>IF(T28&gt;=0.81, "Əla (IV)", IF(T28&gt;=0.61, "Yaxşı (III)", IF(T28&gt;=0.31, "Orta (II)", "Zəif (I)")))</f>
        <v>Zəif (I)</v>
      </c>
    </row>
    <row r="29" spans="1:21" ht="15.75" customHeight="1"/>
    <row r="30" spans="1:21" ht="15.75" customHeight="1">
      <c r="A30" s="72" t="s">
        <v>60</v>
      </c>
      <c r="B30" s="69"/>
      <c r="C30" s="69"/>
      <c r="D30" s="69"/>
      <c r="E30" s="69"/>
      <c r="F30" s="69"/>
      <c r="G30" s="69"/>
      <c r="H30" s="70"/>
    </row>
    <row r="31" spans="1:21" ht="27" customHeight="1">
      <c r="A31" s="21" t="s">
        <v>61</v>
      </c>
      <c r="B31" s="21" t="s">
        <v>62</v>
      </c>
      <c r="C31" s="21" t="s">
        <v>63</v>
      </c>
      <c r="D31" s="21" t="s">
        <v>64</v>
      </c>
      <c r="E31" s="21" t="s">
        <v>85</v>
      </c>
      <c r="F31" s="21" t="s">
        <v>66</v>
      </c>
      <c r="G31" s="21" t="s">
        <v>67</v>
      </c>
      <c r="H31" s="22" t="s">
        <v>68</v>
      </c>
    </row>
    <row r="32" spans="1:21" ht="27.6">
      <c r="A32" s="23" t="s">
        <v>9</v>
      </c>
      <c r="B32" s="23" t="s">
        <v>151</v>
      </c>
      <c r="C32" s="23" t="s">
        <v>29</v>
      </c>
      <c r="D32" s="24" t="s">
        <v>152</v>
      </c>
      <c r="E32" s="23" t="s">
        <v>71</v>
      </c>
      <c r="F32" s="25">
        <f>C27</f>
        <v>0</v>
      </c>
      <c r="G32" s="26" t="e">
        <f>C28</f>
        <v>#DIV/0!</v>
      </c>
      <c r="H32" s="27" t="e">
        <f t="shared" ref="H32:H48" si="5">IF(G32&gt;=0.81, "Əla (IV)", IF(G32&gt;=0.61, "Yaxşı (III)", IF(G32&gt;=0.31, "Orta (II)", "Zəif (I)")))</f>
        <v>#DIV/0!</v>
      </c>
    </row>
    <row r="33" spans="1:9" ht="27.6">
      <c r="A33" s="23" t="s">
        <v>10</v>
      </c>
      <c r="B33" s="23" t="s">
        <v>151</v>
      </c>
      <c r="C33" s="23" t="s">
        <v>29</v>
      </c>
      <c r="D33" s="24" t="s">
        <v>153</v>
      </c>
      <c r="E33" s="23" t="s">
        <v>71</v>
      </c>
      <c r="F33" s="25">
        <f>D27</f>
        <v>0</v>
      </c>
      <c r="G33" s="26" t="e">
        <f>D28</f>
        <v>#DIV/0!</v>
      </c>
      <c r="H33" s="27" t="e">
        <f t="shared" si="5"/>
        <v>#DIV/0!</v>
      </c>
    </row>
    <row r="34" spans="1:9" ht="27.6">
      <c r="A34" s="23" t="s">
        <v>11</v>
      </c>
      <c r="B34" s="23" t="s">
        <v>151</v>
      </c>
      <c r="C34" s="23" t="s">
        <v>34</v>
      </c>
      <c r="D34" s="24" t="s">
        <v>154</v>
      </c>
      <c r="E34" s="23" t="s">
        <v>71</v>
      </c>
      <c r="F34" s="25">
        <f>E27</f>
        <v>0</v>
      </c>
      <c r="G34" s="26" t="e">
        <f>E28</f>
        <v>#DIV/0!</v>
      </c>
      <c r="H34" s="27" t="e">
        <f t="shared" si="5"/>
        <v>#DIV/0!</v>
      </c>
    </row>
    <row r="35" spans="1:9" ht="27.6">
      <c r="A35" s="23" t="s">
        <v>12</v>
      </c>
      <c r="B35" s="23" t="s">
        <v>155</v>
      </c>
      <c r="C35" s="23" t="s">
        <v>150</v>
      </c>
      <c r="D35" s="24" t="s">
        <v>156</v>
      </c>
      <c r="E35" s="23" t="s">
        <v>77</v>
      </c>
      <c r="F35" s="25">
        <f>F27</f>
        <v>0</v>
      </c>
      <c r="G35" s="26" t="e">
        <f>F28</f>
        <v>#DIV/0!</v>
      </c>
      <c r="H35" s="27" t="e">
        <f t="shared" si="5"/>
        <v>#DIV/0!</v>
      </c>
    </row>
    <row r="36" spans="1:9" ht="14.4">
      <c r="A36" s="23" t="s">
        <v>13</v>
      </c>
      <c r="B36" s="23" t="s">
        <v>151</v>
      </c>
      <c r="C36" s="23" t="s">
        <v>29</v>
      </c>
      <c r="D36" s="24" t="s">
        <v>157</v>
      </c>
      <c r="E36" s="23" t="s">
        <v>82</v>
      </c>
      <c r="F36" s="25">
        <f>G27</f>
        <v>0</v>
      </c>
      <c r="G36" s="26" t="e">
        <f>G28</f>
        <v>#DIV/0!</v>
      </c>
      <c r="H36" s="27" t="e">
        <f t="shared" si="5"/>
        <v>#DIV/0!</v>
      </c>
    </row>
    <row r="37" spans="1:9" ht="27.6">
      <c r="A37" s="23" t="s">
        <v>14</v>
      </c>
      <c r="B37" s="23" t="s">
        <v>151</v>
      </c>
      <c r="C37" s="23" t="s">
        <v>29</v>
      </c>
      <c r="D37" s="24" t="s">
        <v>158</v>
      </c>
      <c r="E37" s="23" t="s">
        <v>71</v>
      </c>
      <c r="F37" s="25">
        <f>H27</f>
        <v>0</v>
      </c>
      <c r="G37" s="26" t="e">
        <f>H28</f>
        <v>#DIV/0!</v>
      </c>
      <c r="H37" s="27" t="e">
        <f t="shared" si="5"/>
        <v>#DIV/0!</v>
      </c>
    </row>
    <row r="38" spans="1:9" ht="14.4">
      <c r="A38" s="23" t="s">
        <v>15</v>
      </c>
      <c r="B38" s="23" t="s">
        <v>155</v>
      </c>
      <c r="C38" s="23" t="s">
        <v>150</v>
      </c>
      <c r="D38" s="24" t="s">
        <v>159</v>
      </c>
      <c r="E38" s="23" t="s">
        <v>71</v>
      </c>
      <c r="F38" s="25">
        <f>I27</f>
        <v>0</v>
      </c>
      <c r="G38" s="26" t="e">
        <f>I28</f>
        <v>#DIV/0!</v>
      </c>
      <c r="H38" s="27" t="e">
        <f t="shared" si="5"/>
        <v>#DIV/0!</v>
      </c>
    </row>
    <row r="39" spans="1:9" ht="14.4">
      <c r="A39" s="23" t="s">
        <v>16</v>
      </c>
      <c r="B39" s="23" t="s">
        <v>151</v>
      </c>
      <c r="C39" s="23" t="s">
        <v>29</v>
      </c>
      <c r="D39" s="24" t="s">
        <v>160</v>
      </c>
      <c r="E39" s="23" t="s">
        <v>82</v>
      </c>
      <c r="F39" s="25">
        <f>J27</f>
        <v>0</v>
      </c>
      <c r="G39" s="26" t="e">
        <f>J28</f>
        <v>#DIV/0!</v>
      </c>
      <c r="H39" s="27" t="e">
        <f t="shared" si="5"/>
        <v>#DIV/0!</v>
      </c>
      <c r="I39" s="28" t="s">
        <v>161</v>
      </c>
    </row>
    <row r="40" spans="1:9" ht="27.6">
      <c r="A40" s="23" t="s">
        <v>17</v>
      </c>
      <c r="B40" s="23" t="s">
        <v>151</v>
      </c>
      <c r="C40" s="23" t="s">
        <v>34</v>
      </c>
      <c r="D40" s="24" t="s">
        <v>162</v>
      </c>
      <c r="E40" s="23" t="s">
        <v>71</v>
      </c>
      <c r="F40" s="25">
        <f>K27</f>
        <v>0</v>
      </c>
      <c r="G40" s="26" t="e">
        <f>K28</f>
        <v>#DIV/0!</v>
      </c>
      <c r="H40" s="27" t="e">
        <f t="shared" si="5"/>
        <v>#DIV/0!</v>
      </c>
    </row>
    <row r="41" spans="1:9" ht="14.4">
      <c r="A41" s="23" t="s">
        <v>18</v>
      </c>
      <c r="B41" s="23" t="s">
        <v>151</v>
      </c>
      <c r="C41" s="23" t="s">
        <v>34</v>
      </c>
      <c r="D41" s="24" t="s">
        <v>163</v>
      </c>
      <c r="E41" s="23" t="s">
        <v>82</v>
      </c>
      <c r="F41" s="25">
        <f>L27</f>
        <v>0</v>
      </c>
      <c r="G41" s="26" t="e">
        <f>L28</f>
        <v>#DIV/0!</v>
      </c>
      <c r="H41" s="27" t="e">
        <f t="shared" si="5"/>
        <v>#DIV/0!</v>
      </c>
    </row>
    <row r="42" spans="1:9" ht="27.6">
      <c r="A42" s="23" t="s">
        <v>19</v>
      </c>
      <c r="B42" s="23" t="s">
        <v>151</v>
      </c>
      <c r="C42" s="23" t="s">
        <v>34</v>
      </c>
      <c r="D42" s="24" t="s">
        <v>164</v>
      </c>
      <c r="E42" s="23" t="s">
        <v>71</v>
      </c>
      <c r="F42" s="25">
        <f>M27</f>
        <v>0</v>
      </c>
      <c r="G42" s="26" t="e">
        <f>M28</f>
        <v>#DIV/0!</v>
      </c>
      <c r="H42" s="27" t="e">
        <f t="shared" si="5"/>
        <v>#DIV/0!</v>
      </c>
    </row>
    <row r="43" spans="1:9" ht="14.4">
      <c r="A43" s="23" t="s">
        <v>20</v>
      </c>
      <c r="B43" s="23" t="s">
        <v>151</v>
      </c>
      <c r="C43" s="23" t="s">
        <v>34</v>
      </c>
      <c r="D43" s="24" t="s">
        <v>165</v>
      </c>
      <c r="E43" s="23" t="s">
        <v>82</v>
      </c>
      <c r="F43" s="25">
        <f>N27</f>
        <v>0</v>
      </c>
      <c r="G43" s="26" t="e">
        <f>N28</f>
        <v>#DIV/0!</v>
      </c>
      <c r="H43" s="27" t="e">
        <f t="shared" si="5"/>
        <v>#DIV/0!</v>
      </c>
    </row>
    <row r="44" spans="1:9" ht="27.6">
      <c r="A44" s="23" t="s">
        <v>21</v>
      </c>
      <c r="B44" s="23" t="s">
        <v>151</v>
      </c>
      <c r="C44" s="23" t="s">
        <v>34</v>
      </c>
      <c r="D44" s="24" t="s">
        <v>166</v>
      </c>
      <c r="E44" s="23" t="s">
        <v>71</v>
      </c>
      <c r="F44" s="25">
        <f>O27</f>
        <v>0</v>
      </c>
      <c r="G44" s="26" t="e">
        <f>O28</f>
        <v>#DIV/0!</v>
      </c>
      <c r="H44" s="27" t="e">
        <f t="shared" si="5"/>
        <v>#DIV/0!</v>
      </c>
    </row>
    <row r="45" spans="1:9" ht="27.6">
      <c r="A45" s="23" t="s">
        <v>22</v>
      </c>
      <c r="B45" s="23" t="s">
        <v>151</v>
      </c>
      <c r="C45" s="23" t="s">
        <v>29</v>
      </c>
      <c r="D45" s="24" t="s">
        <v>167</v>
      </c>
      <c r="E45" s="23" t="s">
        <v>77</v>
      </c>
      <c r="F45" s="25">
        <f>P27</f>
        <v>0</v>
      </c>
      <c r="G45" s="26" t="e">
        <f>P28</f>
        <v>#DIV/0!</v>
      </c>
      <c r="H45" s="27" t="e">
        <f t="shared" si="5"/>
        <v>#DIV/0!</v>
      </c>
    </row>
    <row r="46" spans="1:9" ht="27.6">
      <c r="A46" s="23" t="s">
        <v>23</v>
      </c>
      <c r="B46" s="23" t="s">
        <v>168</v>
      </c>
      <c r="C46" s="23" t="s">
        <v>35</v>
      </c>
      <c r="D46" s="24" t="s">
        <v>169</v>
      </c>
      <c r="E46" s="23" t="s">
        <v>80</v>
      </c>
      <c r="F46" s="25">
        <f>Q27</f>
        <v>0</v>
      </c>
      <c r="G46" s="26" t="e">
        <f>Q28</f>
        <v>#DIV/0!</v>
      </c>
      <c r="H46" s="27" t="e">
        <f t="shared" si="5"/>
        <v>#DIV/0!</v>
      </c>
    </row>
    <row r="47" spans="1:9" ht="27.6">
      <c r="A47" s="23" t="s">
        <v>24</v>
      </c>
      <c r="B47" s="23" t="s">
        <v>168</v>
      </c>
      <c r="C47" s="23" t="s">
        <v>35</v>
      </c>
      <c r="D47" s="24" t="s">
        <v>170</v>
      </c>
      <c r="E47" s="23" t="s">
        <v>80</v>
      </c>
      <c r="F47" s="25">
        <f>R27</f>
        <v>0</v>
      </c>
      <c r="G47" s="26" t="e">
        <f>R28</f>
        <v>#DIV/0!</v>
      </c>
      <c r="H47" s="27" t="e">
        <f t="shared" si="5"/>
        <v>#DIV/0!</v>
      </c>
    </row>
    <row r="48" spans="1:9" ht="16.5" customHeight="1">
      <c r="A48" s="71" t="s">
        <v>103</v>
      </c>
      <c r="B48" s="69"/>
      <c r="C48" s="69"/>
      <c r="D48" s="69"/>
      <c r="E48" s="70"/>
      <c r="F48" s="15">
        <f>SUM(F32:F47)</f>
        <v>0</v>
      </c>
      <c r="G48" s="16" t="e">
        <f>AVERAGE(G32:G47)</f>
        <v>#DIV/0!</v>
      </c>
      <c r="H48" s="17" t="e">
        <f t="shared" si="5"/>
        <v>#DIV/0!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5">
    <mergeCell ref="A1:U2"/>
    <mergeCell ref="A27:B27"/>
    <mergeCell ref="A28:B28"/>
    <mergeCell ref="A30:H30"/>
    <mergeCell ref="A48:E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Azərbaycan dili</vt:lpstr>
      <vt:lpstr>Riyaziyyat</vt:lpstr>
      <vt:lpstr>Həyat bilgisi</vt:lpstr>
      <vt:lpstr>Musiqi</vt:lpstr>
      <vt:lpstr>Təsviri incəsənət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mehtiyevasevinc@bk.ru</dc:creator>
  <cp:lastModifiedBy>User</cp:lastModifiedBy>
  <dcterms:created xsi:type="dcterms:W3CDTF">2026-09-20T18:25:15Z</dcterms:created>
  <dcterms:modified xsi:type="dcterms:W3CDTF">2026-09-28T14:59:09Z</dcterms:modified>
</cp:coreProperties>
</file>